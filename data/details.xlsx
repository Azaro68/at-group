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176DEBE9-3D6F-46F9-8547-535ADDC479A9}" xr6:coauthVersionLast="47" xr6:coauthVersionMax="47" xr10:uidLastSave="{00000000-0000-0000-0000-000000000000}"/>
  <bookViews>
    <workbookView xWindow="210" yWindow="30" windowWidth="12450" windowHeight="14940" xr2:uid="{00000000-000D-0000-FFFF-FFFF00000000}"/>
  </bookViews>
  <sheets>
    <sheet name="Наличие" sheetId="1" r:id="rId1"/>
  </sheets>
  <definedNames>
    <definedName name="_xlnm._FilterDatabase" localSheetId="0" hidden="1">Наличие!$A$1:$G$1501</definedName>
  </definedNames>
  <calcPr calcId="181029" refMode="R1C1"/>
</workbook>
</file>

<file path=xl/calcChain.xml><?xml version="1.0" encoding="utf-8"?>
<calcChain xmlns="http://schemas.openxmlformats.org/spreadsheetml/2006/main">
  <c r="B605" i="1" l="1"/>
  <c r="B144" i="1"/>
  <c r="B143" i="1"/>
  <c r="B130" i="1"/>
  <c r="B725" i="1"/>
  <c r="B1266" i="1"/>
  <c r="B767" i="1"/>
  <c r="B803" i="1"/>
  <c r="B1306" i="1"/>
  <c r="B1296" i="1"/>
  <c r="B1251" i="1"/>
  <c r="B1267" i="1"/>
  <c r="B1202" i="1"/>
  <c r="B1201" i="1"/>
  <c r="B129" i="1" l="1"/>
  <c r="B481" i="1"/>
  <c r="B1369" i="1" l="1"/>
  <c r="B1441" i="1"/>
  <c r="B1199" i="1"/>
  <c r="B598" i="1"/>
  <c r="B597" i="1"/>
  <c r="B713" i="1" l="1"/>
  <c r="B1163" i="1" l="1"/>
  <c r="B362" i="1"/>
  <c r="B968" i="1"/>
  <c r="B1069" i="1"/>
  <c r="B1089" i="1"/>
  <c r="B562" i="1" l="1"/>
  <c r="B91" i="1"/>
  <c r="B758" i="1"/>
  <c r="B1137" i="1"/>
  <c r="B1179" i="1"/>
  <c r="B1173" i="1"/>
  <c r="B1140" i="1"/>
  <c r="B229" i="1"/>
  <c r="B824" i="1"/>
  <c r="B846" i="1"/>
  <c r="B1213" i="1"/>
  <c r="B1299" i="1"/>
  <c r="B1321" i="1"/>
  <c r="B1264" i="1"/>
  <c r="B1292" i="1"/>
  <c r="B399" i="1" l="1"/>
  <c r="B348" i="1"/>
  <c r="B238" i="1"/>
  <c r="B242" i="1"/>
  <c r="B1532" i="1"/>
  <c r="B422" i="1" l="1"/>
  <c r="B1411" i="1"/>
  <c r="B555" i="1"/>
  <c r="B554" i="1"/>
  <c r="B1265" i="1"/>
  <c r="B745" i="1" l="1"/>
  <c r="B744" i="1"/>
  <c r="B181" i="1" l="1"/>
  <c r="B873" i="1"/>
  <c r="B423" i="1"/>
  <c r="B185" i="1" l="1"/>
  <c r="B833" i="1" l="1"/>
  <c r="B832" i="1"/>
  <c r="B783" i="1"/>
  <c r="B827" i="1"/>
  <c r="B890" i="1"/>
  <c r="B1319" i="1"/>
  <c r="B1303" i="1"/>
  <c r="B1240" i="1"/>
  <c r="B909" i="1"/>
  <c r="B797" i="1"/>
  <c r="B768" i="1"/>
  <c r="B809" i="1"/>
  <c r="B840" i="1"/>
  <c r="B780" i="1"/>
  <c r="B835" i="1"/>
  <c r="B814" i="1"/>
  <c r="B785" i="1"/>
  <c r="B599" i="1" l="1"/>
  <c r="B150" i="1" l="1"/>
  <c r="B1143" i="1" l="1"/>
  <c r="B1419" i="1" l="1"/>
  <c r="B1298" i="1"/>
  <c r="B1214" i="1"/>
  <c r="B277" i="1"/>
  <c r="B627" i="1" l="1"/>
  <c r="B1526" i="1" l="1"/>
  <c r="B1095" i="1" l="1"/>
  <c r="B1421" i="1"/>
  <c r="B1464" i="1"/>
  <c r="B1381" i="1"/>
  <c r="B1315" i="1"/>
  <c r="B1248" i="1"/>
  <c r="B1182" i="1"/>
  <c r="B180" i="1"/>
  <c r="B128" i="1"/>
  <c r="B739" i="1" l="1"/>
  <c r="B421" i="1"/>
  <c r="B196" i="1"/>
  <c r="B436" i="1"/>
  <c r="B435" i="1"/>
  <c r="B566" i="1" l="1"/>
  <c r="B702" i="1"/>
  <c r="B1148" i="1" l="1"/>
  <c r="B800" i="1" l="1"/>
  <c r="B892" i="1"/>
  <c r="B893" i="1"/>
  <c r="B586" i="1"/>
  <c r="B535" i="1"/>
  <c r="B1366" i="1" l="1"/>
  <c r="B1318" i="1"/>
  <c r="B1180" i="1"/>
  <c r="B1448" i="1" l="1"/>
  <c r="B1401" i="1"/>
  <c r="B1391" i="1"/>
  <c r="B1447" i="1"/>
  <c r="B1373" i="1"/>
  <c r="B1368" i="1"/>
  <c r="B1385" i="1"/>
  <c r="B1274" i="1"/>
  <c r="B1217" i="1"/>
  <c r="B1210" i="1"/>
  <c r="B1279" i="1" l="1"/>
  <c r="B1145" i="1"/>
  <c r="B986" i="1"/>
  <c r="B907" i="1"/>
  <c r="B781" i="1"/>
  <c r="B239" i="1"/>
  <c r="B44" i="1"/>
  <c r="B458" i="1"/>
  <c r="B615" i="1" l="1"/>
  <c r="B974" i="1" l="1"/>
  <c r="B133" i="1" l="1"/>
  <c r="B1379" i="1"/>
  <c r="B1378" i="1"/>
  <c r="B668" i="1"/>
  <c r="B1175" i="1" l="1"/>
  <c r="B1252" i="1"/>
  <c r="B1253" i="1"/>
  <c r="B1322" i="1"/>
  <c r="B1383" i="1" l="1"/>
  <c r="B1134" i="1"/>
  <c r="B1165" i="1"/>
  <c r="B1442" i="1"/>
  <c r="B787" i="1" l="1"/>
  <c r="B1449" i="1" l="1"/>
  <c r="B1429" i="1"/>
  <c r="B1380" i="1"/>
  <c r="B1257" i="1"/>
  <c r="B1471" i="1"/>
  <c r="B1417" i="1"/>
  <c r="B1278" i="1"/>
  <c r="B1273" i="1"/>
  <c r="B1211" i="1"/>
  <c r="B1176" i="1"/>
  <c r="B1171" i="1"/>
  <c r="B1036" i="1"/>
  <c r="B1002" i="1"/>
  <c r="B935" i="1"/>
  <c r="B921" i="1"/>
  <c r="B916" i="1"/>
  <c r="B655" i="1"/>
  <c r="B643" i="1"/>
  <c r="B500" i="1"/>
  <c r="B465" i="1"/>
  <c r="B322" i="1"/>
  <c r="B319" i="1"/>
  <c r="B317" i="1"/>
  <c r="B230" i="1"/>
  <c r="B223" i="1"/>
  <c r="B221" i="1"/>
  <c r="B216" i="1"/>
  <c r="B213" i="1"/>
  <c r="B1138" i="1" l="1"/>
  <c r="B950" i="1"/>
  <c r="B237" i="1"/>
  <c r="B236" i="1"/>
  <c r="B692" i="1"/>
  <c r="B447" i="1"/>
  <c r="B446" i="1"/>
  <c r="B1291" i="1" l="1"/>
  <c r="B1068" i="1"/>
  <c r="B1236" i="1"/>
  <c r="B779" i="1"/>
  <c r="B669" i="1"/>
  <c r="B1245" i="1"/>
  <c r="B959" i="1"/>
  <c r="B990" i="1"/>
  <c r="B742" i="1"/>
  <c r="B1209" i="1"/>
  <c r="B1307" i="1" l="1"/>
  <c r="B1434" i="1" l="1"/>
  <c r="B1433" i="1"/>
  <c r="B156" i="1" l="1"/>
  <c r="B1320" i="1" l="1"/>
  <c r="B866" i="1"/>
  <c r="B310" i="1" l="1"/>
  <c r="B39" i="1" l="1"/>
  <c r="B899" i="1" l="1"/>
  <c r="B193" i="1" l="1"/>
  <c r="B510" i="1" l="1"/>
  <c r="B604" i="1" l="1"/>
  <c r="B1350" i="1" l="1"/>
  <c r="B1271" i="1"/>
  <c r="B1256" i="1"/>
  <c r="B1205" i="1"/>
  <c r="B726" i="1" l="1"/>
  <c r="B22" i="1" l="1"/>
  <c r="B933" i="1"/>
  <c r="B393" i="1" l="1"/>
  <c r="B908" i="1" l="1"/>
  <c r="B1339" i="1"/>
  <c r="B1189" i="1"/>
  <c r="B1276" i="1" l="1"/>
  <c r="B1010" i="1" l="1"/>
  <c r="B874" i="1"/>
  <c r="B769" i="1"/>
  <c r="B901" i="1"/>
  <c r="B869" i="1"/>
  <c r="B804" i="1"/>
  <c r="B571" i="1"/>
  <c r="B1204" i="1"/>
  <c r="B815" i="1" l="1"/>
  <c r="B505" i="1" l="1"/>
  <c r="B620" i="1"/>
  <c r="B1071" i="1"/>
  <c r="B867" i="1" l="1"/>
  <c r="B1026" i="1"/>
  <c r="B99" i="1" l="1"/>
  <c r="B879" i="1"/>
  <c r="B865" i="1" l="1"/>
  <c r="B773" i="1"/>
  <c r="B926" i="1"/>
  <c r="B625" i="1"/>
  <c r="B167" i="1" l="1"/>
  <c r="B527" i="1" l="1"/>
  <c r="B146" i="1"/>
  <c r="B395" i="1"/>
  <c r="B389" i="1"/>
  <c r="B139" i="1" l="1"/>
  <c r="B326" i="1"/>
  <c r="B1450" i="1" l="1"/>
  <c r="B1351" i="1"/>
  <c r="B1316" i="1"/>
  <c r="B603" i="1" l="1"/>
  <c r="B1235" i="1" l="1"/>
  <c r="B915" i="1"/>
  <c r="B1028" i="1"/>
  <c r="B211" i="1" l="1"/>
  <c r="B1436" i="1"/>
  <c r="B1409" i="1"/>
  <c r="B1404" i="1"/>
  <c r="B602" i="1"/>
  <c r="B1304" i="1"/>
  <c r="B1297" i="1"/>
  <c r="B1275" i="1"/>
  <c r="B1224" i="1"/>
  <c r="B1225" i="1"/>
  <c r="B1146" i="1"/>
  <c r="B1359" i="1"/>
  <c r="B1025" i="1"/>
  <c r="B1034" i="1"/>
  <c r="B232" i="1"/>
  <c r="B1203" i="1"/>
  <c r="B1106" i="1"/>
  <c r="B778" i="1" l="1"/>
  <c r="B564" i="1"/>
  <c r="B656" i="1"/>
  <c r="B104" i="1"/>
  <c r="B1046" i="1" l="1"/>
  <c r="B930" i="1"/>
  <c r="B881" i="1" l="1"/>
  <c r="B140" i="1"/>
  <c r="B808" i="1"/>
  <c r="B858" i="1" l="1"/>
  <c r="B403" i="1" l="1"/>
  <c r="B241" i="1" l="1"/>
  <c r="B1282" i="1" l="1"/>
  <c r="B776" i="1" l="1"/>
  <c r="B822" i="1"/>
  <c r="B526" i="1" l="1"/>
  <c r="B660" i="1"/>
  <c r="B381" i="1"/>
  <c r="B1301" i="1"/>
  <c r="B1295" i="1" l="1"/>
  <c r="B929" i="1" l="1"/>
  <c r="B1149" i="1"/>
  <c r="B777" i="1"/>
  <c r="B1311" i="1" l="1"/>
  <c r="B1475" i="1" l="1"/>
  <c r="B1467" i="1"/>
  <c r="B1423" i="1"/>
  <c r="B1347" i="1"/>
  <c r="B1153" i="1"/>
  <c r="B969" i="1"/>
  <c r="B895" i="1"/>
  <c r="B1439" i="1"/>
  <c r="B1052" i="1" l="1"/>
  <c r="B108" i="1"/>
  <c r="B1152" i="1" l="1"/>
  <c r="B551" i="1" l="1"/>
  <c r="B151" i="1"/>
  <c r="B11" i="1"/>
  <c r="B690" i="1"/>
  <c r="B450" i="1" l="1"/>
  <c r="B820" i="1" l="1"/>
  <c r="B1262" i="1"/>
  <c r="B246" i="1"/>
  <c r="B1415" i="1"/>
  <c r="B1263" i="1"/>
  <c r="B932" i="1" l="1"/>
  <c r="B958" i="1"/>
  <c r="B811" i="1"/>
  <c r="B871" i="1"/>
  <c r="B864" i="1"/>
  <c r="B905" i="1"/>
  <c r="B269" i="1"/>
  <c r="B268" i="1"/>
  <c r="B1223" i="1" l="1"/>
  <c r="B878" i="1" l="1"/>
  <c r="B1234" i="1" l="1"/>
  <c r="B774" i="1" l="1"/>
  <c r="B906" i="1" l="1"/>
  <c r="B1027" i="1"/>
  <c r="B1250" i="1" l="1"/>
  <c r="B1231" i="1"/>
  <c r="B1387" i="1"/>
  <c r="B366" i="1" l="1"/>
  <c r="B988" i="1"/>
  <c r="B799" i="1" l="1"/>
  <c r="B817" i="1"/>
  <c r="B1364" i="1" l="1"/>
  <c r="B1280" i="1" l="1"/>
  <c r="B851" i="1"/>
  <c r="B722" i="1" l="1"/>
  <c r="B859" i="1" l="1"/>
  <c r="B565" i="1"/>
  <c r="B154" i="1"/>
  <c r="B113" i="1" l="1"/>
  <c r="B1244" i="1"/>
  <c r="B920" i="1" l="1"/>
  <c r="B1129" i="1"/>
  <c r="B1131" i="1"/>
  <c r="B1132" i="1"/>
  <c r="B761" i="1"/>
  <c r="B1187" i="1"/>
  <c r="B1198" i="1" l="1"/>
  <c r="B1398" i="1" l="1"/>
  <c r="B521" i="1"/>
  <c r="B106" i="1" l="1"/>
  <c r="B1249" i="1"/>
  <c r="B813" i="1" l="1"/>
  <c r="B530" i="1" l="1"/>
  <c r="B882" i="1" l="1"/>
  <c r="B245" i="1" l="1"/>
  <c r="B1300" i="1" l="1"/>
  <c r="B575" i="1" l="1"/>
  <c r="B641" i="1" l="1"/>
  <c r="B640" i="1"/>
  <c r="B875" i="1"/>
  <c r="B101" i="1"/>
  <c r="B451" i="1" l="1"/>
  <c r="B1230" i="1" l="1"/>
  <c r="B860" i="1" l="1"/>
  <c r="B983" i="1"/>
  <c r="B788" i="1" l="1"/>
  <c r="B910" i="1" l="1"/>
  <c r="B524" i="1" l="1"/>
  <c r="B212" i="1" l="1"/>
  <c r="B513" i="1" l="1"/>
  <c r="B810" i="1"/>
  <c r="B845" i="1"/>
  <c r="B574" i="1" l="1"/>
  <c r="B798" i="1" l="1"/>
  <c r="B796" i="1"/>
  <c r="B441" i="1" l="1"/>
  <c r="B872" i="1" l="1"/>
  <c r="B984" i="1"/>
  <c r="B1232" i="1"/>
  <c r="B1453" i="1"/>
  <c r="B365" i="1"/>
  <c r="B360" i="1"/>
  <c r="B948" i="1" l="1"/>
  <c r="B534" i="1" l="1"/>
  <c r="B938" i="1"/>
  <c r="B1162" i="1"/>
  <c r="B86" i="1" l="1"/>
  <c r="B877" i="1"/>
  <c r="B364" i="1" l="1"/>
  <c r="B497" i="1" l="1"/>
  <c r="B1382" i="1" l="1"/>
  <c r="B1384" i="1"/>
  <c r="B296" i="1" l="1"/>
  <c r="B931" i="1" l="1"/>
  <c r="B1186" i="1" l="1"/>
  <c r="B1207" i="1" l="1"/>
  <c r="B1328" i="1" l="1"/>
  <c r="B61" i="1" l="1"/>
  <c r="B757" i="1" l="1"/>
  <c r="B198" i="1" l="1"/>
  <c r="B636" i="1" l="1"/>
  <c r="B559" i="1" l="1"/>
  <c r="B680" i="1" l="1"/>
  <c r="B1484" i="1" l="1"/>
  <c r="B1170" i="1"/>
  <c r="B1133" i="1"/>
  <c r="B33" i="1" l="1"/>
  <c r="B663" i="1" l="1"/>
  <c r="B1365" i="1" l="1"/>
  <c r="B1229" i="1" l="1"/>
  <c r="B1312" i="1" l="1"/>
  <c r="B1078" i="1" l="1"/>
  <c r="B997" i="1"/>
  <c r="B1309" i="1" l="1"/>
  <c r="B1406" i="1"/>
  <c r="B1243" i="1"/>
  <c r="B978" i="1" l="1"/>
  <c r="B454" i="1"/>
  <c r="B841" i="1" l="1"/>
  <c r="B949" i="1" l="1"/>
  <c r="B1226" i="1"/>
  <c r="B1407" i="1"/>
  <c r="B679" i="1"/>
  <c r="B1397" i="1"/>
  <c r="B537" i="1" l="1"/>
  <c r="B374" i="1" l="1"/>
  <c r="B1161" i="1" l="1"/>
  <c r="B1459" i="1" l="1"/>
  <c r="B1446" i="1"/>
  <c r="B1430" i="1"/>
  <c r="B1394" i="1"/>
  <c r="B925" i="1"/>
  <c r="B349" i="1"/>
  <c r="B637" i="1" l="1"/>
  <c r="B771" i="1" l="1"/>
  <c r="B863" i="1"/>
  <c r="B432" i="1"/>
  <c r="B634" i="1" l="1"/>
  <c r="B786" i="1" l="1"/>
  <c r="B7" i="1"/>
  <c r="B823" i="1" l="1"/>
  <c r="B518" i="1" l="1"/>
  <c r="B439" i="1" l="1"/>
  <c r="B426" i="1" l="1"/>
  <c r="B784" i="1" l="1"/>
  <c r="B1097" i="1"/>
  <c r="B313" i="1"/>
  <c r="B207" i="1" l="1"/>
  <c r="B283" i="1"/>
  <c r="B197" i="1"/>
  <c r="B650" i="1"/>
  <c r="B501" i="1"/>
  <c r="B437" i="1"/>
  <c r="B1045" i="1"/>
  <c r="B1047" i="1"/>
  <c r="B1049" i="1"/>
  <c r="B1048" i="1"/>
  <c r="B1260" i="1" l="1"/>
  <c r="B819" i="1" l="1"/>
  <c r="B138" i="1" l="1"/>
  <c r="B730" i="1" l="1"/>
  <c r="B619" i="1"/>
  <c r="B1015" i="1" l="1"/>
  <c r="B94" i="1" l="1"/>
  <c r="B936" i="1" l="1"/>
  <c r="B913" i="1"/>
  <c r="B914" i="1"/>
  <c r="B675" i="1" l="1"/>
  <c r="B633" i="1"/>
  <c r="B299" i="1"/>
  <c r="B298" i="1"/>
  <c r="B1070" i="1" l="1"/>
  <c r="B775" i="1" l="1"/>
  <c r="B759" i="1" l="1"/>
  <c r="B397" i="1" l="1"/>
  <c r="B1200" i="1" l="1"/>
  <c r="B617" i="1" l="1"/>
  <c r="B267" i="1"/>
  <c r="B609" i="1"/>
  <c r="B218" i="1"/>
  <c r="B488" i="1" l="1"/>
  <c r="B1440" i="1" l="1"/>
  <c r="B438" i="1"/>
  <c r="B1000" i="1" l="1"/>
  <c r="B192" i="1" l="1"/>
  <c r="B922" i="1" l="1"/>
  <c r="B1242" i="1"/>
  <c r="B1033" i="1" l="1"/>
  <c r="B763" i="1"/>
  <c r="B943" i="1" l="1"/>
  <c r="B992" i="1" l="1"/>
  <c r="B996" i="1"/>
  <c r="B995" i="1"/>
  <c r="B977" i="1"/>
  <c r="B976" i="1"/>
  <c r="B966" i="1"/>
  <c r="B965" i="1"/>
  <c r="B975" i="1"/>
  <c r="B967" i="1"/>
  <c r="B973" i="1"/>
  <c r="B961" i="1" l="1"/>
  <c r="B963" i="1"/>
  <c r="B962" i="1"/>
  <c r="B960" i="1"/>
  <c r="B956" i="1"/>
  <c r="B955" i="1"/>
  <c r="B952" i="1"/>
  <c r="B945" i="1"/>
  <c r="B942" i="1"/>
  <c r="B1480" i="1" l="1"/>
  <c r="B1389" i="1"/>
  <c r="B1444" i="1"/>
  <c r="B662" i="1"/>
  <c r="B455" i="1" l="1"/>
  <c r="B394" i="1" l="1"/>
  <c r="B982" i="1" l="1"/>
  <c r="B937" i="1" l="1"/>
  <c r="B1431" i="1" l="1"/>
  <c r="B954" i="1" l="1"/>
  <c r="B674" i="1" l="1"/>
  <c r="B1219" i="1" l="1"/>
  <c r="B1259" i="1" l="1"/>
  <c r="B1215" i="1"/>
  <c r="B323" i="1"/>
  <c r="B328" i="1" l="1"/>
  <c r="B324" i="1"/>
  <c r="B311" i="1"/>
  <c r="B346" i="1" l="1"/>
  <c r="B345" i="1"/>
  <c r="B344" i="1"/>
  <c r="B343" i="1"/>
  <c r="B161" i="1" l="1"/>
  <c r="B560" i="1" l="1"/>
  <c r="B870" i="1" l="1"/>
  <c r="B1086" i="1" l="1"/>
  <c r="B416" i="1" l="1"/>
  <c r="B658" i="1" l="1"/>
  <c r="B1329" i="1" l="1"/>
  <c r="B531" i="1" l="1"/>
  <c r="B608" i="1" l="1"/>
  <c r="B523" i="1" l="1"/>
  <c r="B831" i="1" l="1"/>
  <c r="B862" i="1" l="1"/>
  <c r="B718" i="1" l="1"/>
  <c r="B801" i="1" l="1"/>
  <c r="B1287" i="1" l="1"/>
  <c r="B1425" i="1" l="1"/>
  <c r="B1452" i="1"/>
  <c r="B1500" i="1"/>
  <c r="B1030" i="1" l="1"/>
  <c r="B1495" i="1" l="1"/>
  <c r="B550" i="1" l="1"/>
  <c r="B666" i="1" l="1"/>
  <c r="B900" i="1" l="1"/>
  <c r="B884" i="1" l="1"/>
  <c r="B839" i="1" l="1"/>
  <c r="B843" i="1" l="1"/>
  <c r="B1399" i="1" l="1"/>
  <c r="B1334" i="1"/>
  <c r="B1327" i="1"/>
  <c r="B1317" i="1"/>
  <c r="B1288" i="1"/>
  <c r="B1237" i="1"/>
  <c r="B1218" i="1"/>
  <c r="B1031" i="1" l="1"/>
  <c r="B1109" i="1" l="1"/>
  <c r="B332" i="1" l="1"/>
  <c r="B939" i="1" l="1"/>
  <c r="B153" i="1" l="1"/>
  <c r="B553" i="1" l="1"/>
  <c r="B544" i="1" l="1"/>
  <c r="B1157" i="1" l="1"/>
  <c r="B335" i="1" l="1"/>
  <c r="B1277" i="1" l="1"/>
  <c r="B532" i="1" l="1"/>
  <c r="B1479" i="1" l="1"/>
  <c r="B635" i="1" l="1"/>
  <c r="B1497" i="1" l="1"/>
  <c r="B1501" i="1"/>
  <c r="B1496" i="1"/>
  <c r="B330" i="1" l="1"/>
  <c r="B327" i="1"/>
  <c r="B318" i="1"/>
  <c r="B281" i="1"/>
  <c r="B282" i="1"/>
  <c r="B1474" i="1" l="1"/>
  <c r="B1340" i="1"/>
  <c r="B1011" i="1" l="1"/>
  <c r="B812" i="1"/>
  <c r="B552" i="1" l="1"/>
  <c r="B1090" i="1" l="1"/>
  <c r="B280" i="1" l="1"/>
  <c r="B818" i="1" l="1"/>
  <c r="B191" i="1" l="1"/>
  <c r="B1477" i="1" l="1"/>
  <c r="B1255" i="1" l="1"/>
  <c r="B721" i="1" l="1"/>
  <c r="B1269" i="1" l="1"/>
  <c r="B53" i="1" l="1"/>
  <c r="B1258" i="1" l="1"/>
  <c r="B1177" i="1" l="1"/>
  <c r="B677" i="1" l="1"/>
  <c r="B1220" i="1" l="1"/>
  <c r="B68" i="1" l="1"/>
  <c r="B1493" i="1" l="1"/>
  <c r="B1008" i="1" l="1"/>
  <c r="B836" i="1"/>
  <c r="B828" i="1" l="1"/>
  <c r="B880" i="1" l="1"/>
  <c r="B876" i="1"/>
  <c r="B1403" i="1" l="1"/>
  <c r="B1438" i="1" l="1"/>
  <c r="B314" i="1" l="1"/>
  <c r="B352" i="1"/>
  <c r="B75" i="1" l="1"/>
  <c r="B1348" i="1" l="1"/>
  <c r="B363" i="1" l="1"/>
  <c r="B1424" i="1" l="1"/>
  <c r="B934" i="1" l="1"/>
  <c r="B1488" i="1" l="1"/>
  <c r="B1485" i="1"/>
  <c r="B1486" i="1"/>
  <c r="B1482" i="1"/>
  <c r="B1478" i="1"/>
  <c r="B1476" i="1"/>
  <c r="B1472" i="1"/>
  <c r="B1470" i="1"/>
  <c r="B1469" i="1"/>
  <c r="B1468" i="1"/>
  <c r="B1463" i="1"/>
  <c r="B1462" i="1"/>
  <c r="B1461" i="1"/>
  <c r="B1458" i="1"/>
  <c r="B1457" i="1"/>
  <c r="B1456" i="1"/>
  <c r="B1455" i="1"/>
  <c r="B1454" i="1"/>
  <c r="B1437" i="1"/>
  <c r="B1427" i="1"/>
  <c r="B1428" i="1"/>
  <c r="B1410" i="1"/>
  <c r="B1412" i="1"/>
  <c r="B1388" i="1"/>
  <c r="B1377" i="1"/>
  <c r="B1361" i="1"/>
  <c r="B1349" i="1"/>
  <c r="B1342" i="1"/>
  <c r="B1333" i="1"/>
  <c r="B1338" i="1"/>
  <c r="B1331" i="1"/>
  <c r="B1293" i="1"/>
  <c r="B1290" i="1"/>
  <c r="B1268" i="1"/>
  <c r="B1233" i="1"/>
  <c r="B1284" i="1"/>
  <c r="B1254" i="1"/>
  <c r="B1190" i="1"/>
  <c r="B1188" i="1"/>
  <c r="B1185" i="1"/>
  <c r="B1183" i="1"/>
  <c r="B1158" i="1"/>
  <c r="B1075" i="1"/>
  <c r="B1073" i="1"/>
  <c r="B1111" i="1"/>
  <c r="B953" i="1"/>
  <c r="B928" i="1"/>
  <c r="B919" i="1"/>
  <c r="B917" i="1"/>
  <c r="B911" i="1"/>
  <c r="B904" i="1"/>
  <c r="B903" i="1"/>
  <c r="B856" i="1"/>
  <c r="B883" i="1"/>
  <c r="B891" i="1"/>
  <c r="B855" i="1"/>
  <c r="B848" i="1"/>
  <c r="B826" i="1"/>
  <c r="B1516" i="1"/>
  <c r="B228" i="1" l="1"/>
  <c r="B76" i="1" l="1"/>
  <c r="B152" i="1" l="1"/>
  <c r="B687" i="1" l="1"/>
  <c r="B93" i="1" l="1"/>
  <c r="B316" i="1" l="1"/>
  <c r="B485" i="1" l="1"/>
  <c r="B321" i="1" l="1"/>
  <c r="B1504" i="1" l="1"/>
  <c r="B391" i="1" l="1"/>
  <c r="B782" i="1"/>
  <c r="B285" i="1" l="1"/>
  <c r="B740" i="1" l="1"/>
  <c r="B350" i="1" l="1"/>
  <c r="B720" i="1" l="1"/>
  <c r="B320" i="1" l="1"/>
  <c r="B628" i="1" l="1"/>
  <c r="B1520" i="1"/>
  <c r="B78" i="1" l="1"/>
  <c r="B648" i="1" l="1"/>
  <c r="B315" i="1" l="1"/>
  <c r="B14" i="1" l="1"/>
  <c r="B561" i="1" l="1"/>
  <c r="B464" i="1" l="1"/>
  <c r="B1422" i="1" l="1"/>
  <c r="B772" i="1" l="1"/>
  <c r="B593" i="1" l="1"/>
  <c r="B1522" i="1" l="1"/>
  <c r="B300" i="1" l="1"/>
  <c r="B466" i="1" l="1"/>
  <c r="B351" i="1" l="1"/>
  <c r="B704" i="1" l="1"/>
  <c r="B542" i="1" l="1"/>
  <c r="B647" i="1" l="1"/>
  <c r="B98" i="1" l="1"/>
  <c r="B4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88" authorId="0" shapeId="0" xr:uid="{00000000-0006-0000-0000-000002000000}">
      <text>
        <r>
          <rPr>
            <b/>
            <sz val="8"/>
            <color indexed="81"/>
            <rFont val="Tahoma"/>
            <family val="2"/>
            <charset val="204"/>
          </rPr>
          <t>РЕБОЛЛИНГ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B565" authorId="0" shapeId="0" xr:uid="{00000000-0006-0000-0000-000003000000}">
      <text>
        <r>
          <rPr>
            <b/>
            <sz val="8"/>
            <color indexed="81"/>
            <rFont val="Tahoma"/>
            <family val="2"/>
            <charset val="204"/>
          </rPr>
          <t xml:space="preserve">38шт - паяные
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<sst xmlns="http://schemas.openxmlformats.org/spreadsheetml/2006/main" count="12411" uniqueCount="6996">
  <si>
    <t>Yageo</t>
  </si>
  <si>
    <t>http://www.yageo.com/NewPortal/yageodocoutput?fileName=/pdf/R-Chip/PYu-RC_Group_51_RoHS_L_0.pdf</t>
  </si>
  <si>
    <t>RC0805JR-07560KL</t>
  </si>
  <si>
    <t>RC0603JR-0715KL</t>
  </si>
  <si>
    <t>GRM1885C1H7R5BZ01D</t>
  </si>
  <si>
    <t>Murata Electronics</t>
  </si>
  <si>
    <t>Многослойные керамические конденсаторы - поверхностного монтажа 0603 7.5pF 50volts C0G +/-0.1pF</t>
  </si>
  <si>
    <t>http://www.murata.com/~/media/webrenewal/support/library/catalog/products/capacitor/mlcc/c02e.ashx</t>
  </si>
  <si>
    <t>GRM1885C1H6R2CZ01D</t>
  </si>
  <si>
    <t>Многослойные керамические конденсаторы - поверхностного монтажа 0603 6.2pF 50volts C0G +/-0.25pF</t>
  </si>
  <si>
    <t>GRM1885C1H3R6CZ01D</t>
  </si>
  <si>
    <t>GRM1885C1H3R9BZ01D</t>
  </si>
  <si>
    <t>T491A225K016AH</t>
  </si>
  <si>
    <t>Kemet</t>
  </si>
  <si>
    <t>http://www.kemet.com/Lists/ProductCatalog/Attachments/254/KEM_T2005_T491.pdf</t>
  </si>
  <si>
    <t>293D225X9010A2TE3</t>
  </si>
  <si>
    <t>Vishay / Sprague</t>
  </si>
  <si>
    <t>http://www.vishay.com/docs/40002/293d.pdf</t>
  </si>
  <si>
    <t>Fairchild Semiconductor</t>
  </si>
  <si>
    <t>BC857W,115</t>
  </si>
  <si>
    <t>NXP Semiconductors</t>
  </si>
  <si>
    <t>http://www.nxp.com/documents/data_sheet/BC856W_BC857W_BC858W.pdf</t>
  </si>
  <si>
    <t>RC0402FR-072KL</t>
  </si>
  <si>
    <t>RC0402FR-071KL</t>
  </si>
  <si>
    <t>1.5KE180CA</t>
  </si>
  <si>
    <t xml:space="preserve">Диоды подавления переходных скачков напряжения (TVS) 1500W 180V Bidirect </t>
  </si>
  <si>
    <t>STMicroelectronics</t>
  </si>
  <si>
    <t>не марк</t>
  </si>
  <si>
    <t>http://www.st.com/web/en/resource/technical/document/datasheet/CD00000663.pdf</t>
  </si>
  <si>
    <t>74HC123N</t>
  </si>
  <si>
    <t>Ждущий мультивибратор DUAL RETRIG MONOSTABLE MULTI</t>
  </si>
  <si>
    <t>http://www.nxp.com/documents/data_sheet/74HC_HCT123.pdf?ecmp=mouser</t>
  </si>
  <si>
    <t xml:space="preserve">Стандартные светодиоды - Сквозного монтажа RED WATER CLEAR </t>
  </si>
  <si>
    <t>Kingbright</t>
  </si>
  <si>
    <t>http://www.soselectronic.hu/a_info/resource/d/kingbright/L-934SRD-C.pdf</t>
  </si>
  <si>
    <t>http://194.75.38.69/pdfs/ADT16-1T.pdf</t>
  </si>
  <si>
    <t>ADT16-1T+</t>
  </si>
  <si>
    <t>Mini-Circuits</t>
  </si>
  <si>
    <t>RF Transformer</t>
  </si>
  <si>
    <t>TC16-161T+</t>
  </si>
  <si>
    <t>http://194.75.38.69/pdfs/TC16-161T+.pdf</t>
  </si>
  <si>
    <t>74AC573SC</t>
  </si>
  <si>
    <t xml:space="preserve">Защелки Octal Latch </t>
  </si>
  <si>
    <t>http://www.mouser.com/ds/2/149/74ac573-288275.pdf</t>
  </si>
  <si>
    <t>KBPC102PBF</t>
  </si>
  <si>
    <t>Vishay Semiconductors</t>
  </si>
  <si>
    <t>0647</t>
  </si>
  <si>
    <t>http://www.vishay.com/docs/93585/kbpc1.pdf</t>
  </si>
  <si>
    <t>Мостовые выпрямители 200 Volt 3.0 Amp</t>
  </si>
  <si>
    <t>881H-1AC-F-C 24VDC</t>
  </si>
  <si>
    <t>SONG CHUAN PRECISION Corp. Ltd.</t>
  </si>
  <si>
    <t>Реле электромеханическое общего назначения (версия с увелич. мощностью), 29,0X12,7X15,7; T 105 C; 24 VDC; 240 VAC, 16 A; SPNO</t>
  </si>
  <si>
    <t>http://www.songchuan.com/db/pictures/AdminModules/PDT/PDT090410001/200982920184746683.pdf</t>
  </si>
  <si>
    <t>GRM219R71C474KA01D</t>
  </si>
  <si>
    <t>GRM31MR71C105KA01K</t>
  </si>
  <si>
    <t>PYC-A1</t>
  </si>
  <si>
    <t>Omron Automation and Safety</t>
  </si>
  <si>
    <t xml:space="preserve">Панели для реле и оборудование HOLD DOWN 2 CLIPS </t>
  </si>
  <si>
    <t>https://components.omron.com/components/web/PDFLIB.nsf/0/0EBF7B9FF347100085257201007DD582/$file/LY_0911.pdf</t>
  </si>
  <si>
    <t>http://www.hitano.com.tw/download/ECR_2014.pdf</t>
  </si>
  <si>
    <t>Hitano</t>
  </si>
  <si>
    <t>ECR 35В-22 мкф 5x11 (ECR220M35B)</t>
  </si>
  <si>
    <t>BAS16LT1G</t>
  </si>
  <si>
    <t>ON Semiconductor</t>
  </si>
  <si>
    <t>http://www.onsemi.com/pub_link/Collateral/BAS16LT1-D.PDF</t>
  </si>
  <si>
    <t>ADUM1250ARZ</t>
  </si>
  <si>
    <t xml:space="preserve">Диоды - общего назначения, управление питанием, коммутация 75V 200mA </t>
  </si>
  <si>
    <t xml:space="preserve">Цифровые изоляторы Hot Swappable Dual I2C </t>
  </si>
  <si>
    <t>http://www.analog.com/media/en/technical-documentation/data-sheets/ADUM1250_1251.pdf</t>
  </si>
  <si>
    <t>CRCW0603120RFKEA</t>
  </si>
  <si>
    <t>Analog Devices</t>
  </si>
  <si>
    <t>Vishay / Dale</t>
  </si>
  <si>
    <t>http://www.vishay.com/docs/20035/dcrcwe3.pdf</t>
  </si>
  <si>
    <t>MACOM</t>
  </si>
  <si>
    <t>MF-R160-0-99</t>
  </si>
  <si>
    <t>Восстанавливаемые предохранители - PPTC 1.6A 30V</t>
  </si>
  <si>
    <t>Bourns</t>
  </si>
  <si>
    <t>http://www.bourns.com/data/global/pdfs/mfr.pdf</t>
  </si>
  <si>
    <t>NTCLE203E3202SB0</t>
  </si>
  <si>
    <t>Vishay / BC Components</t>
  </si>
  <si>
    <t>http://www.vishay.com/docs/29118/ntcle203.pdf</t>
  </si>
  <si>
    <t>ERJ-3EKF3011V</t>
  </si>
  <si>
    <t>Panasonic</t>
  </si>
  <si>
    <t>http://industrial.panasonic.com/lecs/www-data/pdf/AOA0000/AOA0000CE2.pdf</t>
  </si>
  <si>
    <t>NANOSMDC075F-2</t>
  </si>
  <si>
    <t xml:space="preserve">Восстанавливаемые предохранители - PPTC .75A 6V 100A Imax </t>
  </si>
  <si>
    <t>TE Connectivity / Raychem</t>
  </si>
  <si>
    <t>http://www.te.com/catalog/pn/en/RF1348-000</t>
  </si>
  <si>
    <t>SM4005PL-TP</t>
  </si>
  <si>
    <t>Micro Commercial Components (MCC)</t>
  </si>
  <si>
    <t>Выпрямители Standard 600V 1A</t>
  </si>
  <si>
    <t>http://www.mccsemi.com/up_pdf/SM4001PL-SM4007PL%28SOD-123FL%29.PDF</t>
  </si>
  <si>
    <t>Maxim Integrated</t>
  </si>
  <si>
    <t>MC33078DG</t>
  </si>
  <si>
    <t xml:space="preserve">Операционные усилители 5-18V Dual Lo Noise 7V/us Ind. Temp </t>
  </si>
  <si>
    <t>http://www.onsemi.com/pub_link/Collateral/MC33078-D.PDF</t>
  </si>
  <si>
    <t>ADSP-2185MKSTZ-300</t>
  </si>
  <si>
    <t>0042</t>
  </si>
  <si>
    <t xml:space="preserve">Процессоры и контроллеры цифровых сигналов (DSP, DSC) 16B 33 MIPS 5V 2 Serial Prts Host Prt </t>
  </si>
  <si>
    <t>http://www.analog.com/media/en/technical-documentation/data-sheets/ADSP-2185M.pdf</t>
  </si>
  <si>
    <t>HSMS-2802-BLKG</t>
  </si>
  <si>
    <t>Avago Technologies</t>
  </si>
  <si>
    <t>http://download.siliconexpert.com/pdfs/2010/4/19/0/36/25/375/avago_/manual/av02-0533en.pdf</t>
  </si>
  <si>
    <t xml:space="preserve">Диоды и выпрямители Шоттки 70 VBR 2 pF </t>
  </si>
  <si>
    <t>MAX326CSE+</t>
  </si>
  <si>
    <t xml:space="preserve">ИС аналогового переключателя Quad SPST CMOS Ultra-Low-Leakage </t>
  </si>
  <si>
    <t>http://datasheets.maximintegrated.com/en/ds/MAX326-MAX327.pdf</t>
  </si>
  <si>
    <t>TOKO</t>
  </si>
  <si>
    <t>Infineon Technologies</t>
  </si>
  <si>
    <t>0937</t>
  </si>
  <si>
    <t>http://www.infineon.com/dgdl/bcv29_bcv49.pdf?folderId=db3a30431441fb5d011445c30f210183&amp;fileId=db3a30431441fb5d011445c8b0d30186</t>
  </si>
  <si>
    <t>SMV1251-004LF</t>
  </si>
  <si>
    <t xml:space="preserve">Варакторные диоды Ls=1.5nH SOT-23 Common Cathode </t>
  </si>
  <si>
    <t>Skyworks Solutions, Inc.</t>
  </si>
  <si>
    <t>http://www.mouser.com/ds/2/472/SMV1247_SMV1255_Series_200061O-462952.pdf</t>
  </si>
  <si>
    <t>BC817W</t>
  </si>
  <si>
    <t>BC807W</t>
  </si>
  <si>
    <t>BFR360T E6327</t>
  </si>
  <si>
    <t>0710</t>
  </si>
  <si>
    <t>http://media.digikey.com/pdf/Data%20Sheets/Infineon%20PDFs/BFR360T.pdf</t>
  </si>
  <si>
    <t>0747</t>
  </si>
  <si>
    <t>http://www.nxp.com/documents/data_sheet/BC807_BC807W_BC327.pdf</t>
  </si>
  <si>
    <t>0942</t>
  </si>
  <si>
    <t>http://www.nxp.com/documents/data_sheet/BC817_BC817W_BC337.pdf</t>
  </si>
  <si>
    <t>FDC6305N</t>
  </si>
  <si>
    <t>2002</t>
  </si>
  <si>
    <t>http://www.fairchildsemi.com/ds/FD/FDC6305N.pdf</t>
  </si>
  <si>
    <t>МОП-транзистор SSOT-6 N-CH 20V</t>
  </si>
  <si>
    <t>GRM188R71E333KA01D</t>
  </si>
  <si>
    <t>S-8241ABBMC-GBB-T2</t>
  </si>
  <si>
    <t xml:space="preserve">Управление питанием от батарей Lithium-Ion battery protection (1 cell) </t>
  </si>
  <si>
    <t>Seiko Semiconductors</t>
  </si>
  <si>
    <t>http://datasheet.sii-ic.com/en/battery_protection/S8241_E.pdf</t>
  </si>
  <si>
    <t xml:space="preserve">Плавкие предохранители поверхностного монтажа </t>
  </si>
  <si>
    <t>Littelfuse</t>
  </si>
  <si>
    <t>http://www.littelfuse.com/data/en/data_sheets/431.pdf</t>
  </si>
  <si>
    <t>LTF0431.500NRI</t>
  </si>
  <si>
    <t>1PS79SB70</t>
  </si>
  <si>
    <t>Philips</t>
  </si>
  <si>
    <t>2PC4617Q</t>
  </si>
  <si>
    <t>0223</t>
  </si>
  <si>
    <t>http://www.nxp.com/documents/data_sheet/2PC4617.pdf</t>
  </si>
  <si>
    <t>0233</t>
  </si>
  <si>
    <t xml:space="preserve">Диоды и выпрямители Шоттки DIODE SCHOTTKY TAPE-7 </t>
  </si>
  <si>
    <t>http://www.nxp.com/documents/data_sheet/BAS70_1PS7XSB70_SER.pdf</t>
  </si>
  <si>
    <t>BAV70T</t>
  </si>
  <si>
    <t xml:space="preserve">Диоды - общего назначения, управление питанием, коммутация DIODE SW TAPE-7 </t>
  </si>
  <si>
    <t>http://www.nxp.com/documents/data_sheet/BAV70_SER.pdf</t>
  </si>
  <si>
    <t>Epcos</t>
  </si>
  <si>
    <t>B57619C2472A160</t>
  </si>
  <si>
    <t>apr 2002</t>
  </si>
  <si>
    <t>Термисторы – отрицательный температурный коэффициент 0603 4K7 A60 NTC Thermistor</t>
  </si>
  <si>
    <t>CM21X5R475K06AT</t>
  </si>
  <si>
    <t>mar 2002</t>
  </si>
  <si>
    <t>Kyocera</t>
  </si>
  <si>
    <t>http://global.kyocera.com/prdct/electro/pdf/capacitors/cm-ce.pdf</t>
  </si>
  <si>
    <t>STZ5.6N</t>
  </si>
  <si>
    <t>0040</t>
  </si>
  <si>
    <t xml:space="preserve">Стабилитроны 5.6V </t>
  </si>
  <si>
    <t>RC0603FR-07330RL</t>
  </si>
  <si>
    <t>RC0603FR-075K1L</t>
  </si>
  <si>
    <t>http://www.yageo.com.tw/exep/pages/download/literatures/PYu-R_INT-thick_7.pdf</t>
  </si>
  <si>
    <t>RC0805JR-070RL</t>
  </si>
  <si>
    <t>RC0603JR-070RL</t>
  </si>
  <si>
    <t>RC0603JR-07100RL</t>
  </si>
  <si>
    <t>RC0603FR-0710KL</t>
  </si>
  <si>
    <t>CRCW06031K05FKEA</t>
  </si>
  <si>
    <t>CRCW06031K24FKEA</t>
  </si>
  <si>
    <t>CRCW06031K87FKEA</t>
  </si>
  <si>
    <t>CRCW06032K26FKEA</t>
  </si>
  <si>
    <t>CRCW06032K80FKEA</t>
  </si>
  <si>
    <t>CRCW06033K48FKEA</t>
  </si>
  <si>
    <t>CRCW06035K90FKEA</t>
  </si>
  <si>
    <t>CRCW06037K32FKEA</t>
  </si>
  <si>
    <t>CRCW06039K53FKEA</t>
  </si>
  <si>
    <t>CRCW060314K0FKEA</t>
  </si>
  <si>
    <t>CRCW060328K7FKEA</t>
  </si>
  <si>
    <t>CRCW060339K2FKEA</t>
  </si>
  <si>
    <t>CRCW060353K6FKEA</t>
  </si>
  <si>
    <t>CRCW060361K9FKEA</t>
  </si>
  <si>
    <t>CRCW060384K5FKEA</t>
  </si>
  <si>
    <t>CRCW060393K1FKEA</t>
  </si>
  <si>
    <t>1442, 1503</t>
  </si>
  <si>
    <t>CRCW08051K30JNEA</t>
  </si>
  <si>
    <t>HSMP-3822-TR1G</t>
  </si>
  <si>
    <t xml:space="preserve">Регулируемые резистивные диоды 50 VBR 0.8 pF </t>
  </si>
  <si>
    <t>http://www.avagotech.com/docs/AV02-1395EN</t>
  </si>
  <si>
    <t>Molex</t>
  </si>
  <si>
    <t>RC0603FR-079K76L</t>
  </si>
  <si>
    <t>RC0603FR-078K66L</t>
  </si>
  <si>
    <t>RC0603FR-078K45L</t>
  </si>
  <si>
    <t>RC0603FR-071K65L</t>
  </si>
  <si>
    <t>TS5A4594DBVR</t>
  </si>
  <si>
    <t>LTZ1000CH#PBF</t>
  </si>
  <si>
    <t>http://cds.linear.com/docs/en/datasheet/1000afd.pdf</t>
  </si>
  <si>
    <t>IC VREF SHUNT 7.2V TO5</t>
  </si>
  <si>
    <t>GRM155R71H332KA01D</t>
  </si>
  <si>
    <t>RC0603FR-074K02L</t>
  </si>
  <si>
    <t>GRM155R61E104KA87D</t>
  </si>
  <si>
    <t>RC0402FR-0710RL</t>
  </si>
  <si>
    <t>RC0603JR-0739RL</t>
  </si>
  <si>
    <t>RC0805FR-073KL</t>
  </si>
  <si>
    <t>CRCW08053R30FKEA</t>
  </si>
  <si>
    <t>RC0805FR-07360KL</t>
  </si>
  <si>
    <t>RC0603FR-079K1L</t>
  </si>
  <si>
    <t>http://search.murata.co.jp/Ceramy/image/img/A01X/G101/ENG/GRM155R71H332KA01-01.pdf</t>
  </si>
  <si>
    <t>CRCW08051R24FKEA</t>
  </si>
  <si>
    <t>Подавители статического заряда 0603 30volts-1A Ceradiode CDS3C05GTA</t>
  </si>
  <si>
    <t xml:space="preserve">Texas Instruments </t>
  </si>
  <si>
    <t xml:space="preserve">ИС аналогового переключателя Sngl-Ch 8-Ohm SPST Analog Switch </t>
  </si>
  <si>
    <t>4309R-101-222</t>
  </si>
  <si>
    <t>7MC-8128Z</t>
  </si>
  <si>
    <t>http://media.digikey.com/pdf/Data%20Sheets/Toko%20PDFs/7MCS-8128Z.pdf</t>
  </si>
  <si>
    <t>Китай</t>
  </si>
  <si>
    <t>год не марк.</t>
  </si>
  <si>
    <t xml:space="preserve">Быстродействующие оптопары 10MBd 1Ch 5mA </t>
  </si>
  <si>
    <t>PIC32-PINGUINO-MX220</t>
  </si>
  <si>
    <t>Olimex</t>
  </si>
  <si>
    <t>SG-531P 4.0960M</t>
  </si>
  <si>
    <t xml:space="preserve">Стандартные тактовые генераторы 4.096MHz 100ppm -20C +70C </t>
  </si>
  <si>
    <t>Epson Timing</t>
  </si>
  <si>
    <t>PYF14AE</t>
  </si>
  <si>
    <t>Панели для реле и оборудование TRK MT SCKT 4PDT MY</t>
  </si>
  <si>
    <t>BCV29E6327</t>
  </si>
  <si>
    <t>MJD122T4G</t>
  </si>
  <si>
    <t>MC14013BCP</t>
  </si>
  <si>
    <t>0132</t>
  </si>
  <si>
    <t>Триггеры 3-18V CMOS Dual</t>
  </si>
  <si>
    <t>Д815Г, "5"</t>
  </si>
  <si>
    <t>0812</t>
  </si>
  <si>
    <t>CRCW060336R0FKEA</t>
  </si>
  <si>
    <t>http://www.bourns.com/docs/Product-Datasheets/4300R.pdf</t>
  </si>
  <si>
    <t>http://www.epsondevice.com/docs/qd/en/DownloadServlet?id=ID000639</t>
  </si>
  <si>
    <t>http://www.ti.com/lit/ds/symlink/ts5a4594.pdf</t>
  </si>
  <si>
    <t>apr 2015</t>
  </si>
  <si>
    <t>http://www.molex.com/pdm_docs/sd/901420026_sd.pdf</t>
  </si>
  <si>
    <t>RC0603FR-0716K9L</t>
  </si>
  <si>
    <t>RC0603FR-0782KL</t>
  </si>
  <si>
    <t>RC0402FR-0733KL</t>
  </si>
  <si>
    <t>RC0805FR-07360RL</t>
  </si>
  <si>
    <t>RC0805FR-07680RL</t>
  </si>
  <si>
    <t>RC0603FR-07560KL</t>
  </si>
  <si>
    <t>GRM1555C1H5R6CA01D</t>
  </si>
  <si>
    <t>CRCW060350R0FKEA</t>
  </si>
  <si>
    <t>Vishay</t>
  </si>
  <si>
    <t>CRCW040224R0FKED</t>
  </si>
  <si>
    <t>RC0603FR-079K09L</t>
  </si>
  <si>
    <t>RC0805FR-076R8L</t>
  </si>
  <si>
    <t>RC0402FR-07330RL</t>
  </si>
  <si>
    <t>TAJA476K006RNJ</t>
  </si>
  <si>
    <t>AVX</t>
  </si>
  <si>
    <t>ILQ621GB</t>
  </si>
  <si>
    <t xml:space="preserve">Транзисторные выходные оптопары Phototransistor Out Quad CTR &gt;100% </t>
  </si>
  <si>
    <t>http://www.vishay.com/docs/83654/83654.pdf</t>
  </si>
  <si>
    <t>RC0603FR-073K3L</t>
  </si>
  <si>
    <t>RC0603FR-0718KL</t>
  </si>
  <si>
    <t>RC0603FR-07169RL</t>
  </si>
  <si>
    <t>GRM1885C1H151JA01D</t>
  </si>
  <si>
    <t>2015г.</t>
  </si>
  <si>
    <t>RC0805FR-07301KL</t>
  </si>
  <si>
    <t>RC0805FR-071KL</t>
  </si>
  <si>
    <t>RC0603FR-074K7L</t>
  </si>
  <si>
    <t>RC0603FR-071K5L</t>
  </si>
  <si>
    <t>RC0805JR-0743KL</t>
  </si>
  <si>
    <t>RC0805FR-07200RL</t>
  </si>
  <si>
    <t>RC0603FR-07150RL</t>
  </si>
  <si>
    <t>RC0805FR-07150KL</t>
  </si>
  <si>
    <t>RC0603FR-07360KL</t>
  </si>
  <si>
    <t>08055A220JAT2A</t>
  </si>
  <si>
    <t>1530</t>
  </si>
  <si>
    <t>http://datasheets.avx.com/C0GNP0-Dielectric.pdf</t>
  </si>
  <si>
    <t>лента</t>
  </si>
  <si>
    <t>Тайвань</t>
  </si>
  <si>
    <t>CF-25 (C1-4) 0.25Вт 220 Ом</t>
  </si>
  <si>
    <t xml:space="preserve">Резистор   углеродистый   </t>
  </si>
  <si>
    <t>BB171X</t>
  </si>
  <si>
    <t xml:space="preserve">Варакторные диоды VHF variable capacitance diode </t>
  </si>
  <si>
    <t>http://www.nxp.com/documents/data_sheet/BB171.pdf</t>
  </si>
  <si>
    <t xml:space="preserve">KLS </t>
  </si>
  <si>
    <t>SWT-9R-GR, (KLS7-TSC12-GRAY)</t>
  </si>
  <si>
    <t>колпачок для кнопки  серый круглый 12х12</t>
  </si>
  <si>
    <t>L7815ABV</t>
  </si>
  <si>
    <t xml:space="preserve">Линейные регуляторы напряжения 15V 1.0A Positive </t>
  </si>
  <si>
    <t>http://www.st.com/content/ccc/resource/technical/document/datasheet/41/4f/b3/b0/12/d4/47/88/CD00000444.pdf/files/CD00000444.pdf/jcr:content/translations/en.CD00000444.pdf</t>
  </si>
  <si>
    <t>Т132-50-10</t>
  </si>
  <si>
    <t>тиристор</t>
  </si>
  <si>
    <t>Тор</t>
  </si>
  <si>
    <t>0946</t>
  </si>
  <si>
    <t>микросхема</t>
  </si>
  <si>
    <t>9006</t>
  </si>
  <si>
    <t>НЭВЗ-Союз</t>
  </si>
  <si>
    <t>стабилитрон</t>
  </si>
  <si>
    <t>стабилитрон кремниевый большой мощности</t>
  </si>
  <si>
    <t>0311</t>
  </si>
  <si>
    <t>0904</t>
  </si>
  <si>
    <t>Транзистор</t>
  </si>
  <si>
    <t>транзистор</t>
  </si>
  <si>
    <t>КТ644А, мет</t>
  </si>
  <si>
    <t>0801</t>
  </si>
  <si>
    <t>Кремний</t>
  </si>
  <si>
    <t>2Д522Б, стекло</t>
  </si>
  <si>
    <t>Орбита</t>
  </si>
  <si>
    <t>диод</t>
  </si>
  <si>
    <t>Фотон</t>
  </si>
  <si>
    <t>2Д212А, "5", металл</t>
  </si>
  <si>
    <t>0909</t>
  </si>
  <si>
    <t>КС596В</t>
  </si>
  <si>
    <t>8906</t>
  </si>
  <si>
    <t>2Т610А, Au</t>
  </si>
  <si>
    <t>КР556РТ7, Ni</t>
  </si>
  <si>
    <t>542НД1, Au</t>
  </si>
  <si>
    <t>сен 2007</t>
  </si>
  <si>
    <t>конденсатор</t>
  </si>
  <si>
    <t>CRCW040275K0FKED</t>
  </si>
  <si>
    <t>RC0603FR-07390RL</t>
  </si>
  <si>
    <t>Connfly</t>
  </si>
  <si>
    <t>CR16AM12</t>
  </si>
  <si>
    <t>пластик</t>
  </si>
  <si>
    <t>Mitsubishi</t>
  </si>
  <si>
    <t>DS1073-02-MALE (контакт для колодок "вилка")</t>
  </si>
  <si>
    <t>C0805C150J5GAC7800</t>
  </si>
  <si>
    <t>RC0402JR-07100RL</t>
  </si>
  <si>
    <t>RC0402JR-07100KL</t>
  </si>
  <si>
    <t>RC0805FR-0710KL</t>
  </si>
  <si>
    <t>RC0603JR-0751KL</t>
  </si>
  <si>
    <t>RC0603FR-0751RL</t>
  </si>
  <si>
    <t>RC0805FR-07120RL</t>
  </si>
  <si>
    <t>RC0603JR-0756KL</t>
  </si>
  <si>
    <t>RC0805JR-073RL</t>
  </si>
  <si>
    <t>09.45</t>
  </si>
  <si>
    <t>544УД2А, (Au)</t>
  </si>
  <si>
    <t>проверены в Детесте, годные</t>
  </si>
  <si>
    <t>лазерная маркировка, короткие выводы. проверены в Детесте, годные</t>
  </si>
  <si>
    <t>Восток</t>
  </si>
  <si>
    <t>12.35</t>
  </si>
  <si>
    <t>маркировка краской, длинные выводы. проверены в Детесте, годные</t>
  </si>
  <si>
    <t>133ТМ2, Au</t>
  </si>
  <si>
    <t>14.14</t>
  </si>
  <si>
    <t>Интеграл</t>
  </si>
  <si>
    <t>RC0805JR-072RL</t>
  </si>
  <si>
    <t>8901</t>
  </si>
  <si>
    <t>2Т982А-2</t>
  </si>
  <si>
    <t>транзистор. проверены в Детесте, годные</t>
  </si>
  <si>
    <t>Пульсар</t>
  </si>
  <si>
    <t>RC0402FR-073K3L</t>
  </si>
  <si>
    <t>RC0402FR-0769R8L</t>
  </si>
  <si>
    <t>евровилка сетевая на корпус с гнездом под выключателем и держателем предохранителя</t>
  </si>
  <si>
    <t>GRM1885C1H560JA01D</t>
  </si>
  <si>
    <t>GRM1885C1H181JA01D</t>
  </si>
  <si>
    <t>GRM1882C1H101JA01D</t>
  </si>
  <si>
    <t>RC0603FR-0710K7L</t>
  </si>
  <si>
    <t>RC0603FR-077K5L</t>
  </si>
  <si>
    <t>2016г.</t>
  </si>
  <si>
    <t>RC0603FR-071K2L</t>
  </si>
  <si>
    <t>RC0805JR-07470RL</t>
  </si>
  <si>
    <t>B72500D0050A060 (CDS3C05GTA)</t>
  </si>
  <si>
    <t>Варисторы 2220 20V RMS 1200A</t>
  </si>
  <si>
    <t>B72540V250K62 (CN2220K25G)</t>
  </si>
  <si>
    <t>Д816A, "5"</t>
  </si>
  <si>
    <t>2Т396А-2 бескорпусные</t>
  </si>
  <si>
    <t>Светлана</t>
  </si>
  <si>
    <t>CRCW0805200RFKEA</t>
  </si>
  <si>
    <t>SS41</t>
  </si>
  <si>
    <t>Датчик Холла</t>
  </si>
  <si>
    <t>Honeywell</t>
  </si>
  <si>
    <t>C3216X5R0J476M160AC</t>
  </si>
  <si>
    <t>TDK</t>
  </si>
  <si>
    <t>http://www.kemet.com/Lists/ProductCatalog/Attachments/46/KEM_C1003_C0G_SMD.pdf</t>
  </si>
  <si>
    <t>https://product.tdk.com/info/en/catalog/datasheets/mlcc_commercial_general_en.pdf</t>
  </si>
  <si>
    <t>https://docs.broadcom.com/docs/AV02-0940EN</t>
  </si>
  <si>
    <t xml:space="preserve">Изолирующая насадка </t>
  </si>
  <si>
    <t>BOOT174-B (BNC RG-174, черный)</t>
  </si>
  <si>
    <t>RC0603FR-0722KL</t>
  </si>
  <si>
    <t>RC0402FR-0720KL</t>
  </si>
  <si>
    <t>RC0805JR-072K2L</t>
  </si>
  <si>
    <t>RC0805FR-07330RL</t>
  </si>
  <si>
    <t>RC0603JR-07220RL</t>
  </si>
  <si>
    <t>RC0603FR-076K19L</t>
  </si>
  <si>
    <t>RC0603FR-07120RL</t>
  </si>
  <si>
    <t>RC0603FR-0768KL</t>
  </si>
  <si>
    <t>RC0805JR-07100RL</t>
  </si>
  <si>
    <t>RC0603FR-0723K2L</t>
  </si>
  <si>
    <t>CPF0603B1K8E</t>
  </si>
  <si>
    <t>TE Connectivity</t>
  </si>
  <si>
    <t>BL-D30F-21UB</t>
  </si>
  <si>
    <t xml:space="preserve">двухразрядный светодиодный индикатор </t>
  </si>
  <si>
    <t>BETLUX</t>
  </si>
  <si>
    <t>http://www.betlux.com/product/LED_seven_segment_display/two_digit_seven_segment_display/BL-D30E-21.pdf</t>
  </si>
  <si>
    <t>HSMC-A401-U80M1</t>
  </si>
  <si>
    <t>Broadcom Limited (Avago)</t>
  </si>
  <si>
    <t>Стандартные светодиоды - Накладного монтажа</t>
  </si>
  <si>
    <t>https://docs.broadcom.com/docs/AV02-0479EN</t>
  </si>
  <si>
    <t>2N7002CK,215</t>
  </si>
  <si>
    <t>2017</t>
  </si>
  <si>
    <t>Nexperia</t>
  </si>
  <si>
    <t>МОП-транзистор</t>
  </si>
  <si>
    <t>http://assets.nexperia.com/documents/data-sheet/2N7002CK.pdf</t>
  </si>
  <si>
    <t>KLS1-AS-303-1</t>
  </si>
  <si>
    <t>PLLD1.27-20S</t>
  </si>
  <si>
    <t>Штыри двухрядные 2x10 конт. шаг 1.27 мм (1.27x1.27), прямой угол на плату, позол</t>
  </si>
  <si>
    <t>2017г.</t>
  </si>
  <si>
    <t>NCV317BD2TG</t>
  </si>
  <si>
    <t>Линейный регулятор напряжения</t>
  </si>
  <si>
    <t>http://www.onsemi.ru.com/PowerSolutions/document/LM317-D.PDF</t>
  </si>
  <si>
    <t>ADP1148AR-Reel</t>
  </si>
  <si>
    <t>d/c 98+</t>
  </si>
  <si>
    <t>http://www.analog.com/media/en/technical-documentation/obsolete-data-sheets/ADP1148.pdf</t>
  </si>
  <si>
    <t>Регулятор напряжения</t>
  </si>
  <si>
    <t>RC0805JR-07750RL</t>
  </si>
  <si>
    <t>ERA-3APB182V</t>
  </si>
  <si>
    <t>https://industrial.panasonic.com/cdbs/www-data/pdf/RDM0000/AOA0000C237.pdf</t>
  </si>
  <si>
    <t>ERA-3APB272V</t>
  </si>
  <si>
    <t>RC0603FR-072KL</t>
  </si>
  <si>
    <t>RC1206JR-070RL</t>
  </si>
  <si>
    <t>http://www.yageo.com/documents/recent/PYu-RC_Group_51_RoHS_L_6.pdf</t>
  </si>
  <si>
    <t>RC0402FR-07100KL</t>
  </si>
  <si>
    <t>RC0805FR-07510RL</t>
  </si>
  <si>
    <t>564КТ3В, Au</t>
  </si>
  <si>
    <t>2015</t>
  </si>
  <si>
    <t>Экситон</t>
  </si>
  <si>
    <t>микросхема, проверены в Детесте, годные</t>
  </si>
  <si>
    <t>RC0805JR-07220RL</t>
  </si>
  <si>
    <t>GRM188R71E105KA12D</t>
  </si>
  <si>
    <t>Реле общего назначения</t>
  </si>
  <si>
    <t xml:space="preserve">JZX-22F (D)/4Z </t>
  </si>
  <si>
    <t>SHALUO</t>
  </si>
  <si>
    <t>RC0402FR-074K7L</t>
  </si>
  <si>
    <t>RC0603JR-07680RL</t>
  </si>
  <si>
    <t>RC0603JR-0713KL</t>
  </si>
  <si>
    <t>RC0603JR-072K7L</t>
  </si>
  <si>
    <t>RC0603JR-07430RL</t>
  </si>
  <si>
    <t>RC0805JR-071K1L</t>
  </si>
  <si>
    <t>RC1206JR-071K2L</t>
  </si>
  <si>
    <t>RC0805JR-0718KL</t>
  </si>
  <si>
    <t>RC0805JR-072K7L</t>
  </si>
  <si>
    <t>RC1206FR-071KL</t>
  </si>
  <si>
    <t>RC1206JR-074K3L</t>
  </si>
  <si>
    <t>RC0603JR-07820RL</t>
  </si>
  <si>
    <t>RC0805JR-07620RL</t>
  </si>
  <si>
    <t>RT314524</t>
  </si>
  <si>
    <t xml:space="preserve">Реле общего назначения 24AC 16A 1CO THT POWER RELAY </t>
  </si>
  <si>
    <t>http://www.te.com/commerce/DocumentDelivery/DDEController?Action=srchrtrv&amp;DocNm=RT1&amp;DocType=DS&amp;DocLang=English</t>
  </si>
  <si>
    <t>http://www.yageo.com/exep/pages/download/literatures/ProductSelectionGuide%202014_Final_2.pdf</t>
  </si>
  <si>
    <t>RC0603FR-0733KL</t>
  </si>
  <si>
    <t xml:space="preserve">CC0402JRNPO9BN120 </t>
  </si>
  <si>
    <t xml:space="preserve">Многослойные керамические конденсаторы - поверхностного монтажа 0402 12pF 50V C0G 5% </t>
  </si>
  <si>
    <t>EP4CGX150DF31I7N</t>
  </si>
  <si>
    <t>Altera</t>
  </si>
  <si>
    <t xml:space="preserve">FPGA - Программируемая вентильная матрица FPGA - Cyclone IV GX 9360 LABs 475 IOs </t>
  </si>
  <si>
    <t>https://www.altera.com/content/dam/altera-www/global/en_US/pdfs/literature/hb/cyclone-iv/cyiv-53001.pdf</t>
  </si>
  <si>
    <t>LQH6PPN3R3N43L</t>
  </si>
  <si>
    <t>http://www.farnell.com/datasheets/490902.pdf?_ga=2.10585972.1709382607.1496845357-1456365254.1486477938</t>
  </si>
  <si>
    <t>RC0603JR-078K2L</t>
  </si>
  <si>
    <t>RC0402JR-075K1L</t>
  </si>
  <si>
    <t>RC0402JR-071RL</t>
  </si>
  <si>
    <t>RC0402JR-07820RL</t>
  </si>
  <si>
    <t>RC0402JR-078R2L</t>
  </si>
  <si>
    <t>CC0603KRX7R9BB183</t>
  </si>
  <si>
    <t>RC0603FR-0791RL</t>
  </si>
  <si>
    <t>GRM21BR72A103KA01L</t>
  </si>
  <si>
    <t>BYV26EGP-E3/73</t>
  </si>
  <si>
    <t>Выпрямители 1000 Volt 1.0A 75ns Glass Passivated</t>
  </si>
  <si>
    <t>http://www.vishay.com/docs/88554/byv26dgp.pdf</t>
  </si>
  <si>
    <t>MMSZ5256BT1G</t>
  </si>
  <si>
    <t xml:space="preserve">Стабилитроны 30V 500mW </t>
  </si>
  <si>
    <t>http://www.onsemi.ru.com/PowerSolutions/document/MMSZ5221BT1-D.PDF</t>
  </si>
  <si>
    <t>SMF10A</t>
  </si>
  <si>
    <t>Диод защитный 10В 200Вт [SOD-123FL]</t>
  </si>
  <si>
    <t>Yangjie Technology</t>
  </si>
  <si>
    <t>https://lib.chipdip.ru/051/DOC000051113.pdf</t>
  </si>
  <si>
    <t>SMGS11-TR</t>
  </si>
  <si>
    <t>https://cdn.macom.com/datasheets/SMGS11.pdf</t>
  </si>
  <si>
    <t>Schottky Diode</t>
  </si>
  <si>
    <t>россыпь</t>
  </si>
  <si>
    <t>293D336X9020C2TE3</t>
  </si>
  <si>
    <t>RC0603JR-078R2L</t>
  </si>
  <si>
    <t>RC0603JR-07120KL</t>
  </si>
  <si>
    <t>RC0805FR-073K6L</t>
  </si>
  <si>
    <t>1N4730A</t>
  </si>
  <si>
    <t>RC0603FR-0791KL</t>
  </si>
  <si>
    <t>RC0805JR-0710RL</t>
  </si>
  <si>
    <t>RC0603FR-071KL</t>
  </si>
  <si>
    <t>RC0603FR-0720KL</t>
  </si>
  <si>
    <t>RC0603FR-0710RL</t>
  </si>
  <si>
    <t>DZ23C12-7-F</t>
  </si>
  <si>
    <t>Diodes</t>
  </si>
  <si>
    <t xml:space="preserve">Стабилитроны 12V 300mW </t>
  </si>
  <si>
    <t>https://www.diodes.com/assets/Datasheets/ds18002.pdf</t>
  </si>
  <si>
    <t>Стабилитрон 3.9В, 5%, 1Вт, DO-41</t>
  </si>
  <si>
    <t>https://www.promelec.ru/pdf/sprav-inf-resonator.pdf</t>
  </si>
  <si>
    <t>Кварцевый резонатор 8000kHz 20ppm, 20pF, корп. HC-49/S, -20...+60C</t>
  </si>
  <si>
    <t>Taizhou</t>
  </si>
  <si>
    <t>RC0603FR-0722RL</t>
  </si>
  <si>
    <t>RC0603FR-078K25L</t>
  </si>
  <si>
    <t>RC0603FR-073KL</t>
  </si>
  <si>
    <t>RC0603FR-076K81L</t>
  </si>
  <si>
    <t>RC0805FR-0718KL</t>
  </si>
  <si>
    <t>RC0805FR-0710RL</t>
  </si>
  <si>
    <t>DS1021-1*40 SF11 (PLS-40)</t>
  </si>
  <si>
    <t>Штыри однорядные 1x40 конт. шаг 2.54 мм, вертик. на плату (3.0 мм/ 6.1 мм), позол. (DS1021-1*40SF11-B) (аналог PLS-40)</t>
  </si>
  <si>
    <t>TPS3823-33DBVT</t>
  </si>
  <si>
    <t>Контрольные цепи w/ Watchdog</t>
  </si>
  <si>
    <t>http://www.ti.com/lit/ds/symlink/tps3828.pdf</t>
  </si>
  <si>
    <t>BZX55C30</t>
  </si>
  <si>
    <t xml:space="preserve">Стабилитроны 30V 0.5W Zener </t>
  </si>
  <si>
    <t>https://media.digikey.com/pdf/Data%20Sheets/Fairchild%20PDFs/BZX55C2V4%20-%20BZX55C56.pdf</t>
  </si>
  <si>
    <t>GRM033R71E102KA01D</t>
  </si>
  <si>
    <t>https://search.murata.co.jp/Ceramy/image/img/A01X/G101/ENG/GRM033R71E102KA01-01.pdf</t>
  </si>
  <si>
    <t xml:space="preserve">0805CS-430XGLC </t>
  </si>
  <si>
    <t xml:space="preserve">Coilcraft </t>
  </si>
  <si>
    <t>https://eu.mouser.com/ds/2/597/0805cs-270614.pdf</t>
  </si>
  <si>
    <t>2014 (не марк)</t>
  </si>
  <si>
    <t xml:space="preserve">GRM31CR61H106KA12L </t>
  </si>
  <si>
    <t>https://www.murata.com/~/media/webrenewal/support/library/catalog/products/capacitor/mlcc/c02e.ashx</t>
  </si>
  <si>
    <t>3296W-334I-LF (3296W-1-334)</t>
  </si>
  <si>
    <t>http://www.trimmer.ru/pdf/katalog/3296w-1-334lf.pdf</t>
  </si>
  <si>
    <t>Резистор подстроечный 330кОм</t>
  </si>
  <si>
    <t>Катушки постоянной индуктивности 22uH 25.2A 2 PAD MPI4040</t>
  </si>
  <si>
    <t>https://www.ecsxtal.com/store/pdf/ECS-MPI4040.pdf</t>
  </si>
  <si>
    <t>ECS Inc.</t>
  </si>
  <si>
    <t xml:space="preserve">ECS-MPI4040R3-220-R </t>
  </si>
  <si>
    <t>IHHP1008ABERR47M01</t>
  </si>
  <si>
    <t>Катушки постоянной индуктивности 470NH 4.5A 24MOhm SMD</t>
  </si>
  <si>
    <t>http://www.vishay.com/docs/34391/ihhp-1008ab-01.pdf</t>
  </si>
  <si>
    <t xml:space="preserve">Катушки постоянной индуктивности 0805CS AEC-Q200 43nH 2 % 0.5 A </t>
  </si>
  <si>
    <t>600S180GT250XT</t>
  </si>
  <si>
    <t xml:space="preserve">American Technical Ceramics (ATC) </t>
  </si>
  <si>
    <t>http://www.atceramics.com/UserFiles/600s.pdf</t>
  </si>
  <si>
    <t>600S100GT250XT</t>
  </si>
  <si>
    <t>GRM219R71E274KA01D</t>
  </si>
  <si>
    <t>135-3711-801</t>
  </si>
  <si>
    <t xml:space="preserve">Cinch Connectivity Solutions </t>
  </si>
  <si>
    <t xml:space="preserve">РЧ соединители / Коаксиальные соединители PC END MNT JCK </t>
  </si>
  <si>
    <t>https://belfuse.com/resources/Johnson/drawings/dr-1353711801.pdf</t>
  </si>
  <si>
    <t>CC0603KRX7R9BB822</t>
  </si>
  <si>
    <t>http://www.yageo.com/documents/recent/UPY-GPHC_X7R_6.3V-to-50V_18.pdf</t>
  </si>
  <si>
    <t xml:space="preserve">CC0603KRX7R9BB123 </t>
  </si>
  <si>
    <t xml:space="preserve">Многослойные керамические конденсаторы - поверхностного монтажа 0603 8200pF 50V X7R 10% </t>
  </si>
  <si>
    <t xml:space="preserve">Многослойные керамические конденсаторы - поверхностного монтажа 0603 1200pF 50V X7R 10% </t>
  </si>
  <si>
    <t>SN74LVC86AD</t>
  </si>
  <si>
    <t xml:space="preserve">Логические элементы Quad 2 Input </t>
  </si>
  <si>
    <t>http://www.ti.com/lit/ds/symlink/sn74lvc86a.pdf</t>
  </si>
  <si>
    <t xml:space="preserve">MAX6160EUS+T </t>
  </si>
  <si>
    <t xml:space="preserve">Источники опорного напряжения Low-Dropout 3-Term Voltage Ref </t>
  </si>
  <si>
    <t>https://datasheets.maximintegrated.com/en/ds/MAX6125-MAX6160.pdf</t>
  </si>
  <si>
    <t xml:space="preserve">TPS73618MDBVREP </t>
  </si>
  <si>
    <t>http://www.ti.com/lit/ds/symlink/tps73615-ep.pdf</t>
  </si>
  <si>
    <t xml:space="preserve">LDO регуляторы напряжения Mil Enh Cap-Free NMOS 400-mA LDO Reg </t>
  </si>
  <si>
    <t>http://www.ti.com/lit/ds/symlink/tps73601-ep.pdf</t>
  </si>
  <si>
    <t xml:space="preserve">TPS73633MDBVREP </t>
  </si>
  <si>
    <t xml:space="preserve">VCC1-B3B-125M0000 </t>
  </si>
  <si>
    <t xml:space="preserve">Vectron </t>
  </si>
  <si>
    <t xml:space="preserve">Стандартные тактовые генераторы 3.3V 50ppm 125MHz 15pF -10C + 70C </t>
  </si>
  <si>
    <t>SG5032CBN 156.250000M-TJGA3</t>
  </si>
  <si>
    <t>Epson</t>
  </si>
  <si>
    <t xml:space="preserve">Стандартные тактовые генераторы 156.25MHz 50ppm -40C +85C </t>
  </si>
  <si>
    <t>https://support.epson.biz/td/api/doc_check.php?dl=brief_SG5032CAN_en.pdf</t>
  </si>
  <si>
    <t>RC0603FR-0715RL</t>
  </si>
  <si>
    <t>Толстопленочные резисторы – для поверхностного монтажа 0603 15 Ohm 1%</t>
  </si>
  <si>
    <t>1N4751A-TR</t>
  </si>
  <si>
    <t xml:space="preserve">Стабилитроны 30 Volt 1.3 Watt DO-41-2 </t>
  </si>
  <si>
    <t>http://www.vishay.com/docs/85816/1n4728a.pdf</t>
  </si>
  <si>
    <t>бесконтактный считыватель для proxi-карт, белая и черная крышки в комплекте</t>
  </si>
  <si>
    <t>http://prox.ru/doc/PROX-13_Manual-v1.2.pdf</t>
  </si>
  <si>
    <t>RC0805FR-07130RL</t>
  </si>
  <si>
    <t>RC0805FR-071RL</t>
  </si>
  <si>
    <t xml:space="preserve">GRM21BR71A475KA73L </t>
  </si>
  <si>
    <t>2060-452/998-404</t>
  </si>
  <si>
    <t>Клеммная колодка типа провод к плате, 4 мм, 2 вывод(-ов), 24 AWG, 18 AWG, 0.75 мм²</t>
  </si>
  <si>
    <t>WAGO</t>
  </si>
  <si>
    <t xml:space="preserve">Колодка раз. п./с."гн." 2 конт.(1x2) ш. 2.50 мм, на каб. </t>
  </si>
  <si>
    <t>https://api.e-components.ru/api/item/ds-1069-2-fcw/doc/0</t>
  </si>
  <si>
    <t>DS1069-2 FCW (CHU-2* без конт.)</t>
  </si>
  <si>
    <t>DS1069-3 FCW (CHU-3* без конт.)</t>
  </si>
  <si>
    <t>Колодка раз. п./с."гн." 3 конт.(1x3) ш. 2.50 мм, на каб.</t>
  </si>
  <si>
    <t>https://api.e-components.ru/api/item/ds-1069-3-fcw/doc/0</t>
  </si>
  <si>
    <t>DS1069-4 FCW (CHU-4* без конт.)</t>
  </si>
  <si>
    <t>Колодка раз. п./с."гн." 4 конт.(1x4) ш. 2.50 мм, на каб.</t>
  </si>
  <si>
    <t>https://api.e-components.ru/api/item/ds-1069-3-fcw/doc/1</t>
  </si>
  <si>
    <t>https://api.e-components.ru/api/item/ds-1069-terminal/doc/0</t>
  </si>
  <si>
    <t>RC0805FR-0724KL</t>
  </si>
  <si>
    <t xml:space="preserve">Стяжка 100 х 2,5 мм неоткр. с маркером, нейл. (белый) </t>
  </si>
  <si>
    <t>MCV-100 (CC-MCV-100) (уп.100шт.)</t>
  </si>
  <si>
    <t>2 уп.</t>
  </si>
  <si>
    <t>IT-1187 (4x4x1.5), Кнопка тактовая\Китай</t>
  </si>
  <si>
    <t>Кнопка тактовая (4x4x1.5)</t>
  </si>
  <si>
    <t>ICM7218AIJI</t>
  </si>
  <si>
    <t xml:space="preserve">Драйверы светодиодных дисплеев DISPLAY 8 DIG LED DRIVER 28CDIP IND </t>
  </si>
  <si>
    <t>https://www.intersil.com/content/dam/Intersil/documents/icm7/icm7218.pdf</t>
  </si>
  <si>
    <t xml:space="preserve">GRM188R71H103KA01D </t>
  </si>
  <si>
    <t>2018г.</t>
  </si>
  <si>
    <t>SFH4650</t>
  </si>
  <si>
    <t xml:space="preserve">Osram Opto Semiconductor </t>
  </si>
  <si>
    <t xml:space="preserve">Инфракрасные излучатели - высокой мощности 850 nm, MIDLED HALF ANGLE +/-15DEG </t>
  </si>
  <si>
    <t>https://www.digikey.com/product-detail/en/osram-opto-semiconductors-inc/SFH-4650-Z/475-2569-1-ND/1228114</t>
  </si>
  <si>
    <t>BFS20,215</t>
  </si>
  <si>
    <t xml:space="preserve">CC0805JRNPO9BN241 </t>
  </si>
  <si>
    <t xml:space="preserve">Многослойные керамические конденсаторы - поверхностного монтажа 0805 240pF 50V NPO 5% </t>
  </si>
  <si>
    <t>http://www.yageo.com/documents/recent/UPY-GP_NP0_16V-to-50V_16.pdf</t>
  </si>
  <si>
    <t>L-132XIT</t>
  </si>
  <si>
    <t xml:space="preserve">Стандартные светодиоды - Сквозного монтажа RED TRANSPARENT </t>
  </si>
  <si>
    <t>https://eu.mouser.com/datasheet/2/216/kingbright_wp132xit-1173680.pdf</t>
  </si>
  <si>
    <t xml:space="preserve">Nexperia </t>
  </si>
  <si>
    <t>https://assets.nexperia.com/documents/data-sheet/BFS20.pdf</t>
  </si>
  <si>
    <t>RC0805FR-076K81L</t>
  </si>
  <si>
    <t>RC0805JR-0775KL</t>
  </si>
  <si>
    <t>RC0805FR-075K76L</t>
  </si>
  <si>
    <t>RC0805FR-076K65L</t>
  </si>
  <si>
    <t>RC0805FR-075K62L</t>
  </si>
  <si>
    <t>RC0805FR-077K15L</t>
  </si>
  <si>
    <t>RC0805FR-077K32L</t>
  </si>
  <si>
    <t>RC0805FR-077K68L</t>
  </si>
  <si>
    <t>RC0805FR-077K87L</t>
  </si>
  <si>
    <t>RC0805FR-076K19L</t>
  </si>
  <si>
    <t>RC0805FR-076K04L</t>
  </si>
  <si>
    <t>RC0805FR-076K34L</t>
  </si>
  <si>
    <t>RC0805FR-076K49L</t>
  </si>
  <si>
    <t>RC0805FR-076K98L</t>
  </si>
  <si>
    <t>RC0805FR-075K9L</t>
  </si>
  <si>
    <t>RC0805FR-078K06L</t>
  </si>
  <si>
    <t>RC0603FR-0738K3L</t>
  </si>
  <si>
    <t>RC0603FR-07100RL</t>
  </si>
  <si>
    <t xml:space="preserve">TAJR225K010RNJ </t>
  </si>
  <si>
    <t>http://datasheets.avx.com/TAJ_LOW_PROFILE.pdf</t>
  </si>
  <si>
    <t>Neosid</t>
  </si>
  <si>
    <t>https://search.murata.co.jp/Ceramy/image/img/A01X/G101/ENG/GRM32ER61A107ME20-01.pdf</t>
  </si>
  <si>
    <t>http://datasheets.avx.com/TAJ.pdf</t>
  </si>
  <si>
    <t>GRM188R72A104KA35D</t>
  </si>
  <si>
    <t xml:space="preserve">GRM32ER71E226KE15L </t>
  </si>
  <si>
    <t>TFML-130-02-S-D-LC</t>
  </si>
  <si>
    <t xml:space="preserve">Разъем типа провод-плата, 1.27 мм, 60 контакт(-ов), Штыревой Разъем, Серия TFML </t>
  </si>
  <si>
    <t>SAMTEC</t>
  </si>
  <si>
    <t>http://suddendocs.samtec.com/prints/tfml-1xx-xx-xxx-d-xxx-mkt.pdf</t>
  </si>
  <si>
    <t>RC0805FR-07510KL</t>
  </si>
  <si>
    <t>RR4853</t>
  </si>
  <si>
    <t>Ручка приборная (6mm круг желтый)</t>
  </si>
  <si>
    <t>RC0603FR-07309RL</t>
  </si>
  <si>
    <t xml:space="preserve">CC0603KRX7R0BB104 </t>
  </si>
  <si>
    <t>MBRS320</t>
  </si>
  <si>
    <t xml:space="preserve">Диоды и выпрямители Шоттки 3.0a Power Rectifier Schottky </t>
  </si>
  <si>
    <t>https://www.fairchildsemi.com/datasheets/MB/MBRS320.pdf</t>
  </si>
  <si>
    <t xml:space="preserve">GRM2195C1H123JA01D </t>
  </si>
  <si>
    <t>GRM155R71H104KE14D</t>
  </si>
  <si>
    <t>RC0603FR-07560RL</t>
  </si>
  <si>
    <t xml:space="preserve">TAJA225K020RNJ </t>
  </si>
  <si>
    <t>CC0603JRNPO9BN330</t>
  </si>
  <si>
    <t xml:space="preserve">Yageo </t>
  </si>
  <si>
    <t>1206CS-101XJL</t>
  </si>
  <si>
    <t>https://eu.mouser.com/datasheet/2/597/1206cs-270667.pdf</t>
  </si>
  <si>
    <t xml:space="preserve">CC0402KRX7R7BB473 </t>
  </si>
  <si>
    <t>17+</t>
  </si>
  <si>
    <t>RC0603FR-0727RL</t>
  </si>
  <si>
    <t>RC0805FR-073RL</t>
  </si>
  <si>
    <t>RC0805FR-074K7L</t>
  </si>
  <si>
    <t>RC0805FR-0751RL</t>
  </si>
  <si>
    <t>RC0805FR-0791RL</t>
  </si>
  <si>
    <t xml:space="preserve">GRM188R71H154KAC4D </t>
  </si>
  <si>
    <t>https://search.murata.co.jp/Ceramy/image/img/A01X/G101/ENG/GRM188R71H154KAC4-01.pdf</t>
  </si>
  <si>
    <t>SQP10AJB-0R27</t>
  </si>
  <si>
    <t>SQP10AJB-1R5</t>
  </si>
  <si>
    <t>SQP10AJB-2R2</t>
  </si>
  <si>
    <t>Резисторы с проволочной обмоткой – сквозное отверстие 270mOhms  ±5% 10W</t>
  </si>
  <si>
    <t>http://www.yageo.com/NewPortal/yageodocoutput?fileName=/pdf/throughhole/Yageo_LR_SQP_NSP_2013.pdf</t>
  </si>
  <si>
    <t>Резисторы с проволочной обмоткой – сквозное отверстие 1.5Ohms  ±5% 10W</t>
  </si>
  <si>
    <t>Резисторы с проволочной обмоткой – сквозное отверстие 2.2Ohms  ±5% 10W</t>
  </si>
  <si>
    <t>http://www.onsemi.com/pub/Collateral/MT9P031-D.PDF</t>
  </si>
  <si>
    <t>MT9P031I12STMH  color</t>
  </si>
  <si>
    <t xml:space="preserve">CL10A106MQ8NNNC </t>
  </si>
  <si>
    <t>Samsung Electro-Mechanics</t>
  </si>
  <si>
    <t>http://www.samsungsem.com/kr/support/product-search/mlcc/__icsFiles/afieldfile/2018/06/20/CL10A106MQ8NNNC.pdf</t>
  </si>
  <si>
    <t xml:space="preserve">CL05C180JB5NNNC </t>
  </si>
  <si>
    <t xml:space="preserve">Многослойные керамические конденсаторы - поверхностного монтажа 0402 18pF 50V C0G 5% </t>
  </si>
  <si>
    <t>http://www.samsungsem.com/kr/support/product-search/mlcc/__icsFiles/afieldfile/2018/06/05/CL05C180JB5NNNC.pdf</t>
  </si>
  <si>
    <t>https://www.murata.com/~/media/webrenewal/support/library/catalog/products/capacitor/mlcc/c02e.ashx?la=en-us</t>
  </si>
  <si>
    <t>RC0603FR-072M2L</t>
  </si>
  <si>
    <t>TL431IDBZR (SOT23)</t>
  </si>
  <si>
    <t xml:space="preserve">Источники опорного напряжения Adjustable Precision Shunt Regulator </t>
  </si>
  <si>
    <t>http://www.ti.com/lit/ds/symlink/tl431a.pdf?HQS=TI-null-null-mousermode-df-pf-null-wwe&amp;DCM=yes&amp;ref_url=https%3A%2F%2Feu.mouser.com%2F</t>
  </si>
  <si>
    <t>AM1/4L-0505S-NZ</t>
  </si>
  <si>
    <t>AIMTEC</t>
  </si>
  <si>
    <t>Преобразователь: DC/DC; 0,25Вт; Uвх:4,5÷5,5В; Uвых:5ВDC; SMD</t>
  </si>
  <si>
    <t>MMBZ5230BW-7-F</t>
  </si>
  <si>
    <t>Diodes Incorporated</t>
  </si>
  <si>
    <t>https://www.diodes.com/assets/Datasheets/ds31037.pdf</t>
  </si>
  <si>
    <t xml:space="preserve">Стабилитроны 4.7V 200mW </t>
  </si>
  <si>
    <t xml:space="preserve">GRM155R61C225KE11D </t>
  </si>
  <si>
    <t>https://search.murata.co.jp/Ceramy/image/img/A01X/G101/ENG/GRM155R61C225KE11-01.pdf</t>
  </si>
  <si>
    <t>Катушки постоянной индуктивности 1206CS 100nH 5% 0.85A AEC-Q200</t>
  </si>
  <si>
    <t>АЛ307БМ</t>
  </si>
  <si>
    <t>светодиод</t>
  </si>
  <si>
    <t>http://www.proton-orel.ru/files/products/svetoizluchaiushchie-diody-i-moduli/al307.pdf</t>
  </si>
  <si>
    <t>К155ЛА4</t>
  </si>
  <si>
    <t>DS1033-25 MBNSISS (DB-25M)</t>
  </si>
  <si>
    <t>Разъем D-Sub 25 конт. "вилка", пайка на кабель (черный изолятор, никелир. корпус/фланец) (аналог DB-25M никелир. корп./черный изол.)</t>
  </si>
  <si>
    <t>https://api.e-components.ru/api/item/ds-1033-25-mbnsiss/doc/0</t>
  </si>
  <si>
    <t>TSL237T</t>
  </si>
  <si>
    <t>AMS</t>
  </si>
  <si>
    <t xml:space="preserve">Light To Frequency &amp; Light To Voltage Light to Frequency High Responsivity </t>
  </si>
  <si>
    <t>Штыри 3x5 конт. шаг 2.54 мм, верт. на пл. (3.0/ 6.1 мм) (ан. PLT-15*) DS1021-3*5 SF11</t>
  </si>
  <si>
    <t>https://api.e-components.ru/api/item/ds-1021-3-40-sf11/doc/0</t>
  </si>
  <si>
    <t>DS1022-3*5 SF11 (PLT-15R)</t>
  </si>
  <si>
    <t>DS1022-3*7 SF11 (PLT-21R)</t>
  </si>
  <si>
    <t>Штыри 3x7 конт. шаг 2.54 мм, верт. на пл. (3.0/ 6.1 мм) (ан. PLT-21*) DS1021-3*7 SF11</t>
  </si>
  <si>
    <t>https://api.e-components.ru/api/item/ds-1021-2-40-sf11/doc/0</t>
  </si>
  <si>
    <t>DS1021-2*17 SF11 (PLD-34)</t>
  </si>
  <si>
    <t>Штыри 2x17 конт. шаг 2.54 мм, вертик. на пл. (3.0/ 6.1 мм) (ан. PLD-34) DS1021-2*17 SF11</t>
  </si>
  <si>
    <t>EP4CGX110DF31I7N</t>
  </si>
  <si>
    <t>https://ru.mouser.com/datasheet/2/612/cyiv-51001-1299459.pdf</t>
  </si>
  <si>
    <t>FPGA - Field Programmable Gate Array FPGA - Cyclone IV GX 6839 LABs 475 Ios</t>
  </si>
  <si>
    <t>RC0805FR-0733K2L</t>
  </si>
  <si>
    <t>RC0805FR-073K83L</t>
  </si>
  <si>
    <t>RC0805FR-0747K5L</t>
  </si>
  <si>
    <t>RC0805FR-0782RL</t>
  </si>
  <si>
    <t>RC0805FR-0786K6L</t>
  </si>
  <si>
    <t>MTS-101 A-2</t>
  </si>
  <si>
    <t>Микротумблер ON-OFF SPST 2P 250B/3A</t>
  </si>
  <si>
    <t>http://at-grupp.ru/upload/iblock/e06/VCC1.pdf</t>
  </si>
  <si>
    <t>RC0805FR-0738K3L</t>
  </si>
  <si>
    <t>RC0805FR-0761K9L</t>
  </si>
  <si>
    <t>RC0805FR-071K1L</t>
  </si>
  <si>
    <t>RC0805FR-072K26L</t>
  </si>
  <si>
    <t>CY7C1381D-133AXI</t>
  </si>
  <si>
    <t>https://www.cypress.com/file/39121/download</t>
  </si>
  <si>
    <t xml:space="preserve">Стат. ОЗУ 18Mb 133Mhz 512Kx36 Flow-Thru Стат. ОЗУ </t>
  </si>
  <si>
    <t xml:space="preserve">Cypress Semiconductor </t>
  </si>
  <si>
    <t>RC0603JR-074K7L</t>
  </si>
  <si>
    <t>SN74AHCT1G04DCKR</t>
  </si>
  <si>
    <t>Инвертеры Single</t>
  </si>
  <si>
    <t>http://www.ti.com/lit/ds/symlink/sn74ahct1g04.pdf</t>
  </si>
  <si>
    <t xml:space="preserve">Проводные клеммы и зажимы MF 3.0 TERM 20-24G F </t>
  </si>
  <si>
    <t>https://www.molex.com/pdm_docs/sd/430300001_sd.pdf</t>
  </si>
  <si>
    <t xml:space="preserve">Проводные клеммы и зажимы C-GRID III 4 CKT SHR </t>
  </si>
  <si>
    <t>https://www.molex.com/pdm_docs/sd/901361104_sd.pdf</t>
  </si>
  <si>
    <t>RC0603FR-07681RL</t>
  </si>
  <si>
    <t>RC0603FR-0733R2L</t>
  </si>
  <si>
    <t>https://www.amphenolrf.com/media/downloads/7034/132360.pdf</t>
  </si>
  <si>
    <t xml:space="preserve">RMCF1210FT33R2 </t>
  </si>
  <si>
    <t>https://www.seielect.com/catalog/sei-rmcf_rmcp.pdf</t>
  </si>
  <si>
    <t>Stackpole Electronics Inc</t>
  </si>
  <si>
    <t>RC0402FR-0751R1L</t>
  </si>
  <si>
    <t>GRM1555C1H471FA01D</t>
  </si>
  <si>
    <t>L-KLS1-SMA001</t>
  </si>
  <si>
    <t>Разъем SMA гнездо на плату прям. 50Ом</t>
  </si>
  <si>
    <t>росс</t>
  </si>
  <si>
    <t>KLS Electronic</t>
  </si>
  <si>
    <t>http://www.platan.ru/pdf/datasheets/kls/KLS1-SMA001.pdf</t>
  </si>
  <si>
    <t>L-KLS1-SMA005</t>
  </si>
  <si>
    <t>Разъем SMA вилка обжимн.на кабель RG-174 50Ом</t>
  </si>
  <si>
    <t>http://www.platan.ru/pdf/datasheets/kls/KLS1-SMA005.pdf</t>
  </si>
  <si>
    <t>http://www.samsungsem.com/kr/support/product-search/mlcc/__icsFiles/afieldfile/2019/06/18/CL10B103KC8NNNC-19.pdf</t>
  </si>
  <si>
    <t>RC0603JR-072RL</t>
  </si>
  <si>
    <t>росс.</t>
  </si>
  <si>
    <t>http://www.aimtec.com/site/Aimtec/files/Datasheet/HighResolution/AM1_4L-N-Z.pdf</t>
  </si>
  <si>
    <t xml:space="preserve">Тонкопленочные резисторы – для поверхностного монтажа 0603 1.8K Ohm 0.1% </t>
  </si>
  <si>
    <t>RN73C1J1K78B</t>
  </si>
  <si>
    <t xml:space="preserve">Тонкопленочные резисторы – для поверхностного монтажа 0603 1.78K Ohm 0.1% 10PPM CUT LENGTH </t>
  </si>
  <si>
    <t>https://www.te.com/commerce/DocumentDelivery/DDEController?Action=srchrtrv&amp;DocNm=1773270&amp;DocType=DS&amp;DocLang=English</t>
  </si>
  <si>
    <t xml:space="preserve">GRM1885C1H5R0BA01D </t>
  </si>
  <si>
    <t xml:space="preserve">SSC54-E3/57T </t>
  </si>
  <si>
    <t xml:space="preserve">Vishay </t>
  </si>
  <si>
    <t xml:space="preserve">Диоды и выпрямители Шоттки </t>
  </si>
  <si>
    <t>http://www.vishay.com/docs/88885/ssc53l.pdf</t>
  </si>
  <si>
    <t>SMAJ58CA</t>
  </si>
  <si>
    <t>Brightk</t>
  </si>
  <si>
    <t>https://www.bourns.com/docs/Product-Datasheets/SMAJ.pdf</t>
  </si>
  <si>
    <t xml:space="preserve">Подавители ЭСР / диоды для подавления переходных скачков напряжения 400W 58V 5% Bi-Directional </t>
  </si>
  <si>
    <t>KA-3528SGC</t>
  </si>
  <si>
    <t>Светодиод зеленый SMD 3528, 10-25мКд, 120°, 568нМ</t>
  </si>
  <si>
    <t>https://4donline.ihs.com/images/VipMasterIC/IC/KNGB/KNGBS09279/KNGBS09279-1.pdf?hkey=52A5661711E402568146F3353EA87419</t>
  </si>
  <si>
    <t xml:space="preserve">DSGP.1575.25.4.A.02 </t>
  </si>
  <si>
    <t xml:space="preserve">Taoglas </t>
  </si>
  <si>
    <t xml:space="preserve">Антенны 25*25*4mm DSGP.1575.25 GPS L1 &amp; GALILEO E1 Ceramic Patch </t>
  </si>
  <si>
    <t>http://cdn.taoglas.com/datasheets/DSGP.1575.25.4.A.02.pdf</t>
  </si>
  <si>
    <t xml:space="preserve">Разъем D-Sub 44 конт. "вилка", пайка на каб. (ан. DHS-44M/ DBH-44M гол.из.) </t>
  </si>
  <si>
    <t>https://api.eltech.spb.ru/api/item/ds-1035-44-mwnsiss/doc/0</t>
  </si>
  <si>
    <t>GRM155R71E473JA88D</t>
  </si>
  <si>
    <t xml:space="preserve">Многослойные керамические конденсаторы - поверхностного монтажа 0402 470pF 50V C0G 1% </t>
  </si>
  <si>
    <t>MC7818BTG</t>
  </si>
  <si>
    <t xml:space="preserve">Линейные регуляторы напряжения 18V 1A Positive </t>
  </si>
  <si>
    <t>https://www.onsemi.com/pub/Collateral/MC7800-D.PDF</t>
  </si>
  <si>
    <t xml:space="preserve">Оборудование для печатных плат - PCB 1mm PC BOARD SOCKET GOLD </t>
  </si>
  <si>
    <t>Harwin</t>
  </si>
  <si>
    <t>H3183-05</t>
  </si>
  <si>
    <t>https://cdn.harwin.com/pdfs/H3183.pdf</t>
  </si>
  <si>
    <t xml:space="preserve">GRM155R71H681KA01D </t>
  </si>
  <si>
    <t>Многослойные керамические конденсаторы - поверхностного монтажа 0402 680pF 50V X7R 10%</t>
  </si>
  <si>
    <t>https://www.molex.com/pdm_docs/sd/901560148_sd.pdf</t>
  </si>
  <si>
    <t>Проводные клеммы и зажимы 8P HOUSING</t>
  </si>
  <si>
    <t>5352069-1</t>
  </si>
  <si>
    <t xml:space="preserve">TE Connectivity </t>
  </si>
  <si>
    <t xml:space="preserve">Жесткие метрические разъемы REC B/125P R/A B-PLANE HM </t>
  </si>
  <si>
    <t>https://www.te.com/commerce/DocumentDelivery/DDEController?Action=srchrtrv&amp;DocNm=5352069&amp;DocType=Customer+Drawing&amp;DocLang=English</t>
  </si>
  <si>
    <t>1759088 (MSTB_2,5/_9-G-5,08)</t>
  </si>
  <si>
    <t xml:space="preserve">Phoenix Contact </t>
  </si>
  <si>
    <t xml:space="preserve">Съемные клеммные колодки 9 Pos 5.08mm pitch Through Hole Header </t>
  </si>
  <si>
    <t>https://media.digikey.com/pdf/Data%20Sheets/Phoenix%20Contact%20PDFs/1759088.pdf</t>
  </si>
  <si>
    <t xml:space="preserve">Съемные клеммные колодки 15 Pos 5.08mm pitch Through Hole Header </t>
  </si>
  <si>
    <t>1759143 (MSTB_2,5/15-G-5,08)</t>
  </si>
  <si>
    <t>https://media.digikey.com/pdf/Data%20Sheets/Phoenix%20Contact%20PDFs/1759143.pdf</t>
  </si>
  <si>
    <t>КР1162ЕН5Б</t>
  </si>
  <si>
    <t>13.10</t>
  </si>
  <si>
    <t>SN74LVC1GU04DRYR</t>
  </si>
  <si>
    <t xml:space="preserve">Инвертеры Sgl Inverter Gate </t>
  </si>
  <si>
    <t>http://www.ti.com/general/docs/suppproductinfo.tsp?distId=10&amp;gotoUrl=http%3A%2F%2Fwww.ti.com%2Flit%2Fgpn%2Fsn74lvc1gu04</t>
  </si>
  <si>
    <t>GRM155R71H183KA12D</t>
  </si>
  <si>
    <t>GRM155R71H472JA01D</t>
  </si>
  <si>
    <t xml:space="preserve">GRM31CC72A475ME11L‎ </t>
  </si>
  <si>
    <t xml:space="preserve">Многослойные керамические конденсаторы - поверхностного монтажа 1206 4.7µF 100Volts X7S ±20% </t>
  </si>
  <si>
    <t>https://search.murata.co.jp/Ceramy/image/img/A01X/G101/ENG/GRM31CC72A475ME11-01A.pdf</t>
  </si>
  <si>
    <t xml:space="preserve">GRM155R71E223JA61D </t>
  </si>
  <si>
    <t>TPS82085SILR</t>
  </si>
  <si>
    <t xml:space="preserve">Импульсные регуляторы напряжения 3A, High-Efficiency Step-Down Converter Module with Integrated Inductor 8-uSiP -40 to 125 </t>
  </si>
  <si>
    <t>http://www.ti.com/lit/ds/symlink/tps82085.pdf</t>
  </si>
  <si>
    <t>18+</t>
  </si>
  <si>
    <t xml:space="preserve">CC0603CRNPO0BN1R0 </t>
  </si>
  <si>
    <t>https://media.digikey.com/pdf/Data%20Sheets/Yageo%20PDFs/CCseries_mlcc_2002.pdf</t>
  </si>
  <si>
    <t xml:space="preserve">Panasonic </t>
  </si>
  <si>
    <t>Патч-корд медный UTP 5e кат. литой 1.0м  PVC СЕРЫЙ REXANT</t>
  </si>
  <si>
    <t>Патч-корд медный UTP 5e кат. литой 2.0м  PVC СЕРЫЙ REXANT</t>
  </si>
  <si>
    <t xml:space="preserve">SN74LVC02APWR </t>
  </si>
  <si>
    <t xml:space="preserve">Логические элементы Quad 2-Input </t>
  </si>
  <si>
    <t>http://www.ti.com/lit/ds/symlink/sn74lvc02a.pdf</t>
  </si>
  <si>
    <t xml:space="preserve">B82496C3150G000 </t>
  </si>
  <si>
    <t xml:space="preserve">Катушки постоянной индуктивности SMT-INDUCTOR 0603 15NH 2% </t>
  </si>
  <si>
    <t>https://www.tdk-electronics.tdk.com/inf/30/db/ind_2008/b82496c.pdf</t>
  </si>
  <si>
    <t>0900-0-15-20-76-14-11-0</t>
  </si>
  <si>
    <t>https://www.mill-max.com/catalog/download/2019-05%3A023.pdf</t>
  </si>
  <si>
    <t>Mill-Max</t>
  </si>
  <si>
    <t xml:space="preserve">Контактные датчики Short Stroke Lo-Pro SMT .137 </t>
  </si>
  <si>
    <t>1210GC821KAT2A</t>
  </si>
  <si>
    <t>http://catalogs.avx.com/SurfaceMount.pdf</t>
  </si>
  <si>
    <t xml:space="preserve">Amphenol </t>
  </si>
  <si>
    <t>https://www.atceramics.com/UserFiles/slc_catalog.pdf</t>
  </si>
  <si>
    <t>111TG101M100TT</t>
  </si>
  <si>
    <t xml:space="preserve">ECW-F4105JL </t>
  </si>
  <si>
    <t>https://industrial.panasonic.com/ww/products/capacitors/film-capacitors/film-cap-electroequip/ecwfl/ECWF4105JL</t>
  </si>
  <si>
    <t>GRM188D71A106KA73D</t>
  </si>
  <si>
    <t xml:space="preserve">Многослойные керамические конденсаторы - поверхностного монтажа 0402 3300pF 50V X7R 10% </t>
  </si>
  <si>
    <t>RC0603FR-07619RL</t>
  </si>
  <si>
    <t>RC0805FR-072K55L</t>
  </si>
  <si>
    <t>GRM1555C1H102JA01D</t>
  </si>
  <si>
    <t>GRM1555C1H470FA01D</t>
  </si>
  <si>
    <t xml:space="preserve">Многослойные керамические конденсаторы - поверхностного монтажа 0402 47pF 50V C0G 1% </t>
  </si>
  <si>
    <t>GRM1555C1H750GA01D</t>
  </si>
  <si>
    <t xml:space="preserve">Многослойные керамические конденсаторы - поверхностного монтажа 0402 75pF 50V C0G 1% </t>
  </si>
  <si>
    <t>https://assets.nexperia.com/documents/data-sheet/BSS63.pdf</t>
  </si>
  <si>
    <t>LoRa1276-C1-868</t>
  </si>
  <si>
    <t>CE 868 module|sx1276 lora module|RF module|LORA1276-C1|100mW long range wireless transceiver module</t>
  </si>
  <si>
    <t>https://www.nicerf.com/product_146_198.html</t>
  </si>
  <si>
    <t>2018+</t>
  </si>
  <si>
    <t>Стабилитроны 500MW 3.6V</t>
  </si>
  <si>
    <t>https://assets.nexperia.com/documents/data-sheet/BZV55_SER.pdf</t>
  </si>
  <si>
    <t>BZV55-C3V6.115</t>
  </si>
  <si>
    <t>BC817-40.215</t>
  </si>
  <si>
    <t>https://assets.nexperia.com/documents/data-sheet/BC817_SER.pdf</t>
  </si>
  <si>
    <t>http://www.ti.com/lit/ds/symlink/tl16c754b.pdf</t>
  </si>
  <si>
    <t xml:space="preserve">TL16C754BPN </t>
  </si>
  <si>
    <t>1610, 1630</t>
  </si>
  <si>
    <t>ИС, интерфейс UART Quad UART With 64-Byte FIFO</t>
  </si>
  <si>
    <t xml:space="preserve">B32926C3685M </t>
  </si>
  <si>
    <t xml:space="preserve">EPCOS / TDK </t>
  </si>
  <si>
    <t>https://www.tdk-electronics.tdk.com/inf/20/20/db/fc_2009/X2_B32921_928.pdf</t>
  </si>
  <si>
    <t>RDER73A222K2K1H03B</t>
  </si>
  <si>
    <t xml:space="preserve">Murata </t>
  </si>
  <si>
    <t xml:space="preserve">Многослойные керамические конденсаторы - покрытие с содержанием свинца Radial 2200pF 1kVDC X7R </t>
  </si>
  <si>
    <t>https://psearch.en.murata.com/capacitor/product/RDER73A222K2K1H03B.pdf</t>
  </si>
  <si>
    <t>К73-17 0,01мкф 630В 20%</t>
  </si>
  <si>
    <t>http://www.rtkt.ru/files/k73-17.pdf</t>
  </si>
  <si>
    <t>1658621-1</t>
  </si>
  <si>
    <t>Проводные клеммы и зажимы CNTR PLRZD RECPT 10P NOVO</t>
  </si>
  <si>
    <t>https://eu.mouser.com/datasheet/2/418/NG_CD_1658621_C1-1242408.pdf</t>
  </si>
  <si>
    <t xml:space="preserve">SMBZ5927B-E3/52 </t>
  </si>
  <si>
    <t xml:space="preserve">Стабилитроны 12 Volt 3.0 Watt 5% </t>
  </si>
  <si>
    <t>http://www.vishay.com/docs/88485/smbz59xb.pdf</t>
  </si>
  <si>
    <t>HX5008FNL</t>
  </si>
  <si>
    <t xml:space="preserve">Pulse </t>
  </si>
  <si>
    <t xml:space="preserve">Трансформаторы звуковой частоты / сигнальные трансформаторы 1000BaseT SMD NonPoE 325uH 1-Port </t>
  </si>
  <si>
    <t>https://eu.mouser.com/datasheet/2/336/-595196.pdf</t>
  </si>
  <si>
    <t>RC0805JR-075K1L</t>
  </si>
  <si>
    <t xml:space="preserve">B32520C3104K </t>
  </si>
  <si>
    <t>https://www.tdk-electronics.tdk.com/inf/20/20/db/fc_2009/B32520_529.pdf?ref_disty=digikey</t>
  </si>
  <si>
    <t>https://www.yageo.com/upload/media/product/products/datasheet/lr/Yageo_LR_SQP_NSP_1.pdf</t>
  </si>
  <si>
    <t>C0805C202KDRAC7800</t>
  </si>
  <si>
    <t>https://content.kemet.com/datasheets/KEM_C1010_X7R_HV_SMD.pdf</t>
  </si>
  <si>
    <t>Würth Elektronik</t>
  </si>
  <si>
    <t xml:space="preserve">Ферритовые фильтры WE-MPSB Ferrite 100MHz 100Ohm </t>
  </si>
  <si>
    <t>https://www.we-online.de/katalog/datasheet/74279226101.pdf</t>
  </si>
  <si>
    <t>RC0603FR-07200RL</t>
  </si>
  <si>
    <t>1473005-4</t>
  </si>
  <si>
    <t>https://www.te.com/commerce/DocumentDelivery/DDEController?Action=srchrtrv&amp;DocNm=1473005&amp;DocType=Customer+Drawing&amp;DocLang=English</t>
  </si>
  <si>
    <t xml:space="preserve">Соединители DIMM DDR2 SODIMM 200P STANDARD HOUSING </t>
  </si>
  <si>
    <t>USB-коннекторы USB Mini-B Recept On-The-Go Rt.Angle</t>
  </si>
  <si>
    <t>https://www.molex.com/pdm_docs/sd/513870578_sd.pdf</t>
  </si>
  <si>
    <t>5145274-1</t>
  </si>
  <si>
    <t>https://www.te.com/commerce/DocumentDelivery/DDEController?Action=srchrtrv&amp;DocNm=5145274&amp;DocType=Customer+Drawing&amp;DocLang=English</t>
  </si>
  <si>
    <t>TPS7A4700RGWT</t>
  </si>
  <si>
    <t xml:space="preserve">LDO регуляторы напряжения Low Noise,1A,Hi Vltg LDO Reg </t>
  </si>
  <si>
    <t>http://www.ti.com/lit/ds/symlink/tps7a47.pdf</t>
  </si>
  <si>
    <t>HARTING</t>
  </si>
  <si>
    <t>https://b2b.harting.com/files/download/PRD/PDF_TS/096700099XX_BL06_R29760_100196598DRW002A.pdf</t>
  </si>
  <si>
    <t>Инструменты и аппаратное оборудование D-Sub KNURLED JACK SCREW M3 THREAD</t>
  </si>
  <si>
    <t>09670009930</t>
  </si>
  <si>
    <t>Катушки постоянной индуктивности 3.3uH 20% 6.6A 28.6mOhms AEC-Q200</t>
  </si>
  <si>
    <t>XAL4030-332MEС</t>
  </si>
  <si>
    <t>https://www.coilcraft.com/pdfs/xal4000.pdf</t>
  </si>
  <si>
    <t>MF0207FRE52-100R</t>
  </si>
  <si>
    <t>https://www.yageo.com/upload/media/product/products/datasheet/lr/Yageo_LR_MF0_1.pdf</t>
  </si>
  <si>
    <t xml:space="preserve">Металлические пленочные резисторы – сквозное отверстие 0.6W 100 Ohm 1% </t>
  </si>
  <si>
    <t>HC-49S (US) усеченный корпус</t>
  </si>
  <si>
    <t>09670090443</t>
  </si>
  <si>
    <t xml:space="preserve">Корпуса разъемов D-Sub 9P HOOD TOP ENTRY 4-40 SHORT SCREWS </t>
  </si>
  <si>
    <t>https://b2b.harting.com/files/download/PRD/PDF_TS/096700904X3_BL01_R31085_100078600DRW002A.pdf</t>
  </si>
  <si>
    <t>08055C104KAT2A</t>
  </si>
  <si>
    <t>http://datasheets.avx.com/X7RDielectric.pdf</t>
  </si>
  <si>
    <t>VJ0505D560JXPAJ</t>
  </si>
  <si>
    <t xml:space="preserve">Многослойные керамические конденсаторы - поверхностного монтажа 0505 56pF 250V C0G 5% HI FREQ </t>
  </si>
  <si>
    <t>http://www.vishay.com/docs/45221/quadhifreq.pdf</t>
  </si>
  <si>
    <t>800A1R0BT250XT</t>
  </si>
  <si>
    <t>American Technical Ceramics</t>
  </si>
  <si>
    <t>https://atceramics.com/UserFiles/800a.pdf</t>
  </si>
  <si>
    <t>http://www.ti.com/lit/ds/symlink/sn74lvt244b.pdf</t>
  </si>
  <si>
    <t>ERJ-2RKF43R2X</t>
  </si>
  <si>
    <t>GCR-DB902-1,8m</t>
  </si>
  <si>
    <t>Greenconnect</t>
  </si>
  <si>
    <t>GCR Кабель 1.8m 0-модемный COM, DB9/DB9 9M/9M, серый, 30 AWG</t>
  </si>
  <si>
    <t>DS1033-09M (DB-9M)</t>
  </si>
  <si>
    <t>Разъем D-Sub 9 конт. "вилка", пайка на каб. (ан. DB-9M ) DS1033-09</t>
  </si>
  <si>
    <t>https://api.e-components.ru/api/item/ds-1033-09-mwnsiss/doc/0</t>
  </si>
  <si>
    <t xml:space="preserve">GRM188D71A475KE11D </t>
  </si>
  <si>
    <t>https://industrial.panasonic.com/cdbs/www-data/pdf/RDN0000/AOA0000C313.pdf</t>
  </si>
  <si>
    <t>252100-М</t>
  </si>
  <si>
    <t>ДКС</t>
  </si>
  <si>
    <t>Хомут P6.6 маркировочный, белый, 2,5х100, табличка 8х25,4</t>
  </si>
  <si>
    <t>RC0603JR-07220KL</t>
  </si>
  <si>
    <t>RC0805FR-076R2L</t>
  </si>
  <si>
    <t>Макетные платы и комплекты - PIC / DSPIC PINGUINO PIC32 MX220 PIC32MX220 DEV BOARD</t>
  </si>
  <si>
    <t>https://eu.mouser.com/datasheet/2/306/PIC32-PINGUINO-MX220-Rev-A-707312.pdf</t>
  </si>
  <si>
    <t>RC0805JR-0720RL</t>
  </si>
  <si>
    <t>RC0805JR-0710KL</t>
  </si>
  <si>
    <t>RC0603FR-07162KL</t>
  </si>
  <si>
    <t>SN74LVT244BNSR (SO-20)</t>
  </si>
  <si>
    <t>RC0805FR-071R3L</t>
  </si>
  <si>
    <t>TPSC686M016R0200</t>
  </si>
  <si>
    <t>http://datasheets.avx.com/TPS.pdf</t>
  </si>
  <si>
    <t>Viking</t>
  </si>
  <si>
    <t>CR-03FL7---24K (RC0603FR-0724KL)</t>
  </si>
  <si>
    <t>L-H311G</t>
  </si>
  <si>
    <t>Para Light Electronics</t>
  </si>
  <si>
    <t>Светодиод монохромный LH311g 3mm with holder Y</t>
  </si>
  <si>
    <t>https://www.compel.ru/item-pdf/9f62648829de4673dfb26ddee3dd101c/pn/para~l-h311g.pdf</t>
  </si>
  <si>
    <t>RC0603FR-071K02L</t>
  </si>
  <si>
    <t>RC0603FR-071K15L</t>
  </si>
  <si>
    <t>RC0603FR-071K27L</t>
  </si>
  <si>
    <t>RC0603FR-076K34L</t>
  </si>
  <si>
    <t>DS1021-1*21 SF11 (PLS-21)</t>
  </si>
  <si>
    <t>Штыри однорядные 1x21 конт. шаг 2.54 мм, вертик. на плату (3.0 мм/ 6.1 мм), позол. (DS1021-1*21SF11-B) (аналог PLS-21)</t>
  </si>
  <si>
    <t>Штыри однорядные 1x17 конт. шаг 2.54 мм, вертик. на плату (3.0 мм/ 6.1 мм), позол. (DS1021-1*17SF11-B) (аналог PLS-17)</t>
  </si>
  <si>
    <t>DS1021-1*17 SF11 (PLS-17)</t>
  </si>
  <si>
    <t>PSU S2171 MN</t>
  </si>
  <si>
    <t>адаптер GB</t>
  </si>
  <si>
    <t>http://4spi.com/uploads/3/4/1/5/34154692/qn-b320.pdf</t>
  </si>
  <si>
    <t>P6KE18A</t>
  </si>
  <si>
    <t xml:space="preserve">Littelfuse </t>
  </si>
  <si>
    <t xml:space="preserve">Подавители ЭСР / диоды для подавления переходных скачков напряжения 15.3Vr 600W 24A 5% Uni-Directional </t>
  </si>
  <si>
    <t>https://www.littelfuse.com/~/media/electronics/datasheets/tvs_diodes/littelfuse_tvs_diode_p6ke_datasheet.pdf.pdf</t>
  </si>
  <si>
    <t>Штыри однорядные 1x7 конт. шаг 2.54 мм, вертик. на плату (3.0 мм/ 6.1 мм), позол. (DS1021-1*07SF11-B) (аналог PLS-7)</t>
  </si>
  <si>
    <t>Штыри однорядные 1x2 конт. шаг 2.54 мм, вертик. на плату (3.0 мм/ 6.1 мм), позол. (DS1021-1*02SF11-B) (аналог PLS-2)</t>
  </si>
  <si>
    <t>Sd75/470 (purt number 00612220)</t>
  </si>
  <si>
    <t>M1</t>
  </si>
  <si>
    <t>Sd75/100 (purt number 00612212)</t>
  </si>
  <si>
    <t>L0</t>
  </si>
  <si>
    <t>https://api.e-components.ru/api/item/ds-1021-2-40-sf11/doc/1</t>
  </si>
  <si>
    <t>DS1021-2*2 SF11 (PLD-4)</t>
  </si>
  <si>
    <t>DS1021-2*4 SF11 (PLD-8)</t>
  </si>
  <si>
    <t>Штыри 2x2 конт. шаг 2.54 мм, вертик. на пл. (3.0/ 6.1 мм) (ан. PLD-4) DS1021-2*2 SF11</t>
  </si>
  <si>
    <t>Штыри 2x4 конт. шаг 2.54 мм, вертик. на пл. (3.0/ 6.1 мм) (ан. PLD-8) DS1021-2*4 SF11</t>
  </si>
  <si>
    <t>РПИ-М 1.5-3-08</t>
  </si>
  <si>
    <t>Разъемы плоские изолированные «мама» с ПВХ манжетой</t>
  </si>
  <si>
    <t>https://kvt.su/production/insulugs/iplug/rpim/</t>
  </si>
  <si>
    <t xml:space="preserve">Штыри 2x5 конт. шаг 2.00 мм, верт. на пл. (2.8 /4.0мм) (ан. PLD2-10) DS1025-05-2*5 </t>
  </si>
  <si>
    <t>https://e-components.ru/item/ds-1025-06-2-10-p-8-br1</t>
  </si>
  <si>
    <t>CD74HCT138M96</t>
  </si>
  <si>
    <t>CD74HCT244M96</t>
  </si>
  <si>
    <t xml:space="preserve">Кодеры, декодеры, мультиплексоры и демультиплексоры Line Decoder </t>
  </si>
  <si>
    <t>https://www.ti.com/general/docs/suppproductinfo.tsp?distId=10&amp;gotoUrl=http%3A%2F%2Fwww.ti.com%2Flit%2Fgpn%2Fcd74hc138</t>
  </si>
  <si>
    <t xml:space="preserve">Буферы и линейные аппаратные драйверы Tri-St. Octal </t>
  </si>
  <si>
    <t>https://www.ti.com/general/docs/suppproductinfo.tsp?distId=10&amp;gotoUrl=http%3A%2F%2Fwww.ti.com%2Flit%2Fgpn%2Fcd74hc240</t>
  </si>
  <si>
    <t>Триггеры Octal Pos Edge Trig</t>
  </si>
  <si>
    <t>https://www.ti.com/general/docs/suppproductinfo.tsp?distId=10&amp;gotoUrl=http%3A%2F%2Fwww.ti.com%2Flit%2Fgpn%2Fcd74hct374</t>
  </si>
  <si>
    <t>293D105X9016A2TE3</t>
  </si>
  <si>
    <t>https://www.vishay.com/docs/40002/293d.pdf</t>
  </si>
  <si>
    <t xml:space="preserve">EPCS64SI16N </t>
  </si>
  <si>
    <t>https://www.intel.com/content/dam/www/programmable/us/en/pdfs/literature/hb/cfg/cyc_c51014.pdf</t>
  </si>
  <si>
    <t xml:space="preserve">ППВМ - Конфигурационная память IC - Ser. Config Mem Flash 64Mb 40 MHz </t>
  </si>
  <si>
    <t>NiceRF Wireless Technology Co</t>
  </si>
  <si>
    <t>KLS1-233-0-01 (Micro USB 5S-B)</t>
  </si>
  <si>
    <t>http://files.rct.ru/pdf/connectors/kls1-233.pdf</t>
  </si>
  <si>
    <t>Разъем micro USB-B на плату</t>
  </si>
  <si>
    <t>RC0603FR-07510KL</t>
  </si>
  <si>
    <t>RC0805FR-07100KL</t>
  </si>
  <si>
    <t>AMD</t>
  </si>
  <si>
    <t>MPU Geode LX 32-Bit 500MHz 3.3V 481-Pin TEPBGA</t>
  </si>
  <si>
    <t>https://www.amd.com/system/files/TechDocs/33234H_LX_databook.pdf</t>
  </si>
  <si>
    <t>EPF10K30EQI208-2N</t>
  </si>
  <si>
    <t>1731</t>
  </si>
  <si>
    <t xml:space="preserve">FPGA - Программируемая вентильная матрица FPGA - Flex 10K 216 LABs 147 IOs </t>
  </si>
  <si>
    <t>https://www.intel.com/content/dam/www/programmable/us/en/pdfs/literature/ds/archives/dsf10ke.pdf</t>
  </si>
  <si>
    <t>PLL1.27-40</t>
  </si>
  <si>
    <t>Штыри однорядные 1x40 конт. шаг 1.27 мм, вертик. на плату (2.6 мм/ изол. 2.0 мм/ 2.6 мм), позол.</t>
  </si>
  <si>
    <t>PLL1.27-5</t>
  </si>
  <si>
    <t>PLL1.27-4</t>
  </si>
  <si>
    <t>http://files.rct.ru/pdf/connectors/h_2_12.pdf</t>
  </si>
  <si>
    <t>PLL1.27-15</t>
  </si>
  <si>
    <t>Штыри однорядные 1x15 конт. шаг 1.27 мм, вертик. на плату (2.6 мм/ изол. 2.0 мм/ 2.6 мм), позол.</t>
  </si>
  <si>
    <t>Штыри однорядные 1x5 конт. шаг 1.27 мм, вертик. на плату (2.6 мм/ изол. 2.0 мм/ 2.6 мм), позол.</t>
  </si>
  <si>
    <t>Штыри однорядные 1x3 конт. шаг 1.27 мм, вертик. на плату (2.6 мм/ изол. 2.0 мм/ 2.6 мм), позол.</t>
  </si>
  <si>
    <t xml:space="preserve">PROX-13 модуль бесконтактный </t>
  </si>
  <si>
    <t xml:space="preserve">PROX-125 модуль бесконтактный </t>
  </si>
  <si>
    <t xml:space="preserve">43-207-01 Разъем питания на 637 RW white  </t>
  </si>
  <si>
    <t>DS1021-1*7 SF11 (PLS-7)</t>
  </si>
  <si>
    <t>DS1021-1*2 SF11 (PLS-2)</t>
  </si>
  <si>
    <t>MT49H16M36BM-25IT:B</t>
  </si>
  <si>
    <t xml:space="preserve">DRAM Memory IC 576Mb (16M x 36) Parallel 400MHz 20ns 144-µBGA (18.5x11) </t>
  </si>
  <si>
    <t xml:space="preserve">Micron </t>
  </si>
  <si>
    <t>https://www.digikey.com/htmldatasheets/production/1004688/0/0/1/mt49h64-32-16mx-x-.html</t>
  </si>
  <si>
    <t>L-934SRC-G</t>
  </si>
  <si>
    <t>L-934CB/1GD</t>
  </si>
  <si>
    <t>LED; в корпусе; зеленый; 3мм; Кол-во диод: 1; 20мА; 60°; 2,2?2,5В</t>
  </si>
  <si>
    <t>https://4donline.ihs.com/images/VipMasterIC/IC/KNGB/KNGBS00036/KNGBS00036-1.pdf?hkey=52A5661711E402568146F3353EA87419</t>
  </si>
  <si>
    <t xml:space="preserve">Трансформаторы звуковой частоты / сигнальные трансформаторы GIGABIT ISO MOD SMD 24P 1-Port w/Choke </t>
  </si>
  <si>
    <t xml:space="preserve">HALO Electronics </t>
  </si>
  <si>
    <t>https://eu.mouser.com/ProductDetail/HALO-Electronics/TG1G-E001NYRL?qs=%2Fha2pyFaduhk0QZZlQKYaJMv2MLI4e2TVGpAZ%2FZ5yqbwQPlAxsa2fQ%3D%3D</t>
  </si>
  <si>
    <t>USBA-FA</t>
  </si>
  <si>
    <t>SZC</t>
  </si>
  <si>
    <t>разъем</t>
  </si>
  <si>
    <t>ICM7555ESA+</t>
  </si>
  <si>
    <t xml:space="preserve">Renesas / Intersil </t>
  </si>
  <si>
    <t xml:space="preserve">Maxim Integrated </t>
  </si>
  <si>
    <t xml:space="preserve">Таймеры и сопутствующая продукция Low-Power, General-Purpose Timer </t>
  </si>
  <si>
    <t>https://www.maximintegrated.com/en/products/analog/clock-generation-distribution/ICM7555.html</t>
  </si>
  <si>
    <t>https://www.molex.com/molex/products/part-detail/crimp_housings/0355070600</t>
  </si>
  <si>
    <t xml:space="preserve">Проводные клеммы и зажимы 2.00MM HSG 01X06P P/LOCK </t>
  </si>
  <si>
    <t>J01000A0027</t>
  </si>
  <si>
    <t>Telegartner</t>
  </si>
  <si>
    <t>https://www.1-cable.ru/models/20102-0302.html</t>
  </si>
  <si>
    <t>Кабельный разъём BNC · 50 Ом штекер | пайка</t>
  </si>
  <si>
    <t>http://product.samsungsem.com/mlcc/CL21B106KOQNNN.do</t>
  </si>
  <si>
    <t>VS-15MQ040M3/5AT</t>
  </si>
  <si>
    <t>Диоды и выпрямители Шоттки 1.5A 40V Single Die Schottky Rectifier</t>
  </si>
  <si>
    <t>https://www.vishay.com/product?docid=93366</t>
  </si>
  <si>
    <t xml:space="preserve">Проводные клеммы и зажимы 2.00MM HDR 01X06P VT TH P/LOCK </t>
  </si>
  <si>
    <t xml:space="preserve">Molex </t>
  </si>
  <si>
    <t>RC0805FR-07127KL</t>
  </si>
  <si>
    <t>RC0805FR-073K74L</t>
  </si>
  <si>
    <t>CD74ACT241M96</t>
  </si>
  <si>
    <t xml:space="preserve">Буферы и линейные аппаратные драйверы Tri-State Octal </t>
  </si>
  <si>
    <t>CRCW12063R01FKEAHP</t>
  </si>
  <si>
    <t>IDC2-08 (L-KLS1204B-08B)</t>
  </si>
  <si>
    <t xml:space="preserve">CPHS-EFD20/7-1S-10P </t>
  </si>
  <si>
    <t>RC0805FR-071K78L</t>
  </si>
  <si>
    <t>RC0805FR-074R7L</t>
  </si>
  <si>
    <t xml:space="preserve">Штекер черный/золотой </t>
  </si>
  <si>
    <t xml:space="preserve">Штекер красный/золотой </t>
  </si>
  <si>
    <t>IDC2, SOCKET PITCH 2.0mm WITH PITCH 1.0mm FLAT CABLE IDC разъем, На шлейф, гнездо</t>
  </si>
  <si>
    <t>DS1021-1*5 SF11 (PLS-5)</t>
  </si>
  <si>
    <t>Ferroxcube</t>
  </si>
  <si>
    <t>EFD 20/10/7 Каркас 1 сек 10 выв SMD</t>
  </si>
  <si>
    <t>AD7243BRZ</t>
  </si>
  <si>
    <t xml:space="preserve">Цифро-аналоговые преобразователи (ЦАП) 12-BIT SERIAL DACPORT IC </t>
  </si>
  <si>
    <t>2027</t>
  </si>
  <si>
    <t>KS 310  Pin 1,2,3,4,5 (p/n 50953800)</t>
  </si>
  <si>
    <t>Sreening can B 55 A  fire-tinned sn 100 f (p/n 94450511)</t>
  </si>
  <si>
    <t>RC0603FR-07100KL</t>
  </si>
  <si>
    <t xml:space="preserve">CC0603KRX7R9BB202 </t>
  </si>
  <si>
    <t xml:space="preserve">CC0805KRX7RABB102 </t>
  </si>
  <si>
    <t xml:space="preserve">Многослойные керамические конденсаторы - поверхностного монтажа 0805 1000pF 200V X7R 10% </t>
  </si>
  <si>
    <t>STPS5H100H</t>
  </si>
  <si>
    <t xml:space="preserve">Диоды и выпрямители Шоттки High Power Schottky Rectifier </t>
  </si>
  <si>
    <t xml:space="preserve">STMicroelectronics </t>
  </si>
  <si>
    <t>https://www.st.com/content/st_com/en/products/diodes-and-rectifiers/schottky-barrier-diodes/power-schottky/power-schottky-high-temperature/stps5h100.html</t>
  </si>
  <si>
    <t>EHR-9</t>
  </si>
  <si>
    <t>J.S.T.</t>
  </si>
  <si>
    <t>Корпус разъема, Серия EH, Гнездо, 9 вывод(-ов), 2.5 мм</t>
  </si>
  <si>
    <t>GRM21AR72E472KW01D</t>
  </si>
  <si>
    <t xml:space="preserve">Многослойные керамические конденсаторы - поверхностного монтажа 0805 4700pF 250Volts X7R 10% </t>
  </si>
  <si>
    <t>RC1210JR-0751RL</t>
  </si>
  <si>
    <t>STPS20150CR</t>
  </si>
  <si>
    <t xml:space="preserve">Диоды и выпрямители Шоттки Hi Vltg Pwr SCHOTTKY RECTIFIER </t>
  </si>
  <si>
    <t xml:space="preserve">STPS4S200B-TR </t>
  </si>
  <si>
    <t>Диоды и выпрямители Шоттки DFD THYR TRIAC &amp; RECTIFIER</t>
  </si>
  <si>
    <t xml:space="preserve">TAJB685K016RNJ </t>
  </si>
  <si>
    <t>0603HL-102XJRC</t>
  </si>
  <si>
    <t>Катушки постоянной индуктивности 0603 1000nH Unshld 5% 190mA 2.8Ohms</t>
  </si>
  <si>
    <t>RC2512JR-070RL</t>
  </si>
  <si>
    <t xml:space="preserve">Драйверы для управления затвором Sgl 9-A H-S L-S MOSFET Driver </t>
  </si>
  <si>
    <t xml:space="preserve">UCC27322D  SOIC-8 </t>
  </si>
  <si>
    <t>RC0805FR-071K37L</t>
  </si>
  <si>
    <t>MCC</t>
  </si>
  <si>
    <t xml:space="preserve">Диоды и выпрямители Шоттки 200V 1A </t>
  </si>
  <si>
    <t>SMD1200PL-TP</t>
  </si>
  <si>
    <t>CHT4690-QAG</t>
  </si>
  <si>
    <t>United Monolithic Semiconductors</t>
  </si>
  <si>
    <t>Attenuator - Variable Voltage</t>
  </si>
  <si>
    <t>RC0805FR-071M37L</t>
  </si>
  <si>
    <t>RC0402FR-071K87L</t>
  </si>
  <si>
    <t>RC0402FR-07453RL</t>
  </si>
  <si>
    <t>RGEF500</t>
  </si>
  <si>
    <t>Восстанавливаемые предохранители - PPTC RGEF500</t>
  </si>
  <si>
    <t xml:space="preserve">MC14040BCPG </t>
  </si>
  <si>
    <t>1125</t>
  </si>
  <si>
    <t xml:space="preserve">Регистры сдвига счетчика 3-18V 12-Bit Binary </t>
  </si>
  <si>
    <t>RC0805FR-074K53L</t>
  </si>
  <si>
    <t>MA58MF14-7N</t>
  </si>
  <si>
    <t>https://www.murata.com/en-us/products/productdetail?partno=MA58MF14-7N</t>
  </si>
  <si>
    <t>CR-05JL7--150K</t>
  </si>
  <si>
    <t>Штыри 2x20 конт. шаг 2.00 мм, пр.уг. на пл. (2.8/4.0мм)  (ан.PLD2-40R*)</t>
  </si>
  <si>
    <t>Штыри 2x10 конт. шаг 2.00 мм, пр. уг. на пл. (2.8/4.0мм) (ан. PLD2-20R*)</t>
  </si>
  <si>
    <t>Штыри 2x15 конт. шаг 2.00 мм, пр. уг. на пл. (2.8/4.0мм) (ан. PLD2-30R*)</t>
  </si>
  <si>
    <t>Штыри 2x4 конт. шаг 2.00 мм, пр. уг. на пл. (2.8/4.0мм) (ан. PLD2-8R*)</t>
  </si>
  <si>
    <t>GRM1885C1H472JA01D</t>
  </si>
  <si>
    <t>Многослойные керамические конденсаторы - поверхностного монтажа 0603 4700pF 50V C0G +/-5%</t>
  </si>
  <si>
    <t>Многослойные керамические конденсаторы - поверхностного монтажа 0603 3.9pF 50V C0G +/-0.1pF</t>
  </si>
  <si>
    <t>Многослойные керамические конденсаторы - поверхностного монтажа 0603 3.6pF 50V C0G +/-0.25pF</t>
  </si>
  <si>
    <t xml:space="preserve">0215004.MXP </t>
  </si>
  <si>
    <t xml:space="preserve">Патронные плавкие предохранители 250V 4A Slo-Blo </t>
  </si>
  <si>
    <t>1922</t>
  </si>
  <si>
    <t>GRM1555C1HR60WA01D</t>
  </si>
  <si>
    <t>KA-3528SYCKT</t>
  </si>
  <si>
    <t>Светодиод smd 3,5х2,8мм/желтый/588нм/70-200мкд/прозрачный/120°</t>
  </si>
  <si>
    <t>CC0805KRX7RBBB471</t>
  </si>
  <si>
    <t>Многослойные керамические конденсаторы - поверхностного монтажа 0805 470pF 500V X7R 10%</t>
  </si>
  <si>
    <t>CC0805CRNPO9BN2R7</t>
  </si>
  <si>
    <t xml:space="preserve">Многослойные керамические конденсаторы - поверхностного монтажа 0805 2.7pF  50V C0G +/- 0.25pF </t>
  </si>
  <si>
    <t>CC0805BRNPO9BN3R6</t>
  </si>
  <si>
    <t>CL21C5R1CBANNNC</t>
  </si>
  <si>
    <t>Многослойные керамические конденсаторы - поверхностного монтажа 0805 5.1pF 50V C0G ±0.25pF</t>
  </si>
  <si>
    <t>DS1021-1*16 SF11 (PLS-16)</t>
  </si>
  <si>
    <t>LQM2HPZR56ME0L</t>
  </si>
  <si>
    <t xml:space="preserve">Катушки постоянной индуктивности 560 NH 20% </t>
  </si>
  <si>
    <t>Проводные клеммы и зажимы 2.54MM CGRIDIII HDR 3P R/A SR SHRD AU</t>
  </si>
  <si>
    <t>DS1021-1*1 SF11 (PLS-1)</t>
  </si>
  <si>
    <t>DS1021-1*9 SF11 (PLS-9)</t>
  </si>
  <si>
    <t>Штыри однорядные 1x9 конт. шаг 2.54 мм, вертик. на плату (3.0 мм/ 6.1 мм), позол. (DS1021-1*09SF11-B) (аналог PLS-9)</t>
  </si>
  <si>
    <t>DS1021-1*4 SF11 (PLS-4)</t>
  </si>
  <si>
    <t>Штыри однорядные 1x5 конт. шаг 2.54 мм, вертик. на плату (3.0 мм/ 6.1 мм), позол. (DS1021-1*05SF11-B) (аналог PLS-5)</t>
  </si>
  <si>
    <t>KS 3070 5 pins (p/n 71953100)</t>
  </si>
  <si>
    <t>screw core Gw-FK 3 x 0,3 x 3,3 F100b  (p/n 15041830)</t>
  </si>
  <si>
    <t>RC0603FR-0751KL</t>
  </si>
  <si>
    <t>DS1021-2*17 S61 (PLD-34)</t>
  </si>
  <si>
    <t>CC0805JRNPO9BN131</t>
  </si>
  <si>
    <t>XC95288XL-10PQG208I</t>
  </si>
  <si>
    <t xml:space="preserve">CPLD - Complex Programmable Logic Devices 3.3V 288-mc CPLD </t>
  </si>
  <si>
    <t xml:space="preserve">Xilinx </t>
  </si>
  <si>
    <t>RC0402FR-070RL</t>
  </si>
  <si>
    <t>LSM6DSL</t>
  </si>
  <si>
    <t xml:space="preserve">IMU - блоки инерциальных датчиков iNEMO inertial module: 3D accelerometer and 3D gyroscope </t>
  </si>
  <si>
    <t>https://www.st.com/en/mems-and-sensors/lsm6dsl.html</t>
  </si>
  <si>
    <t>CL21B104JBCNNNC</t>
  </si>
  <si>
    <t>WBC1-1TL</t>
  </si>
  <si>
    <t xml:space="preserve">Трансформаторы звуковой частоты / сигнальные трансформаторы WBC SMT Mini Wdebnd 1:1 0.250-750 MHz </t>
  </si>
  <si>
    <t>https://www.coilcraft.com/en-us/products/transformers/wideband-rf-transformers/smt/wbc/wbc16-1tl/</t>
  </si>
  <si>
    <t>DS1021-1*3 SF11 (PLS-3)</t>
  </si>
  <si>
    <t>DS1021-1*10 SF11 (PLS-10)</t>
  </si>
  <si>
    <t>Штыри однорядные 1x3 конт. шаг 2.54 мм, вертик. на плату (3.0 мм/ 6.1 мм), позол. (DS1021-1*03SF11-B) (аналог PLS-3)</t>
  </si>
  <si>
    <t>Штыри однорядные 1x16 конт. шаг 2.54 мм, вертик. на плату (3.0 мм/ 6.1 мм), позол. (DS1021-1*16SF11-B) (аналог PLS-16)</t>
  </si>
  <si>
    <t>ADS8341E</t>
  </si>
  <si>
    <t xml:space="preserve">Аналого-цифровые преобразователи (АЦП) 16-Bit 4-Ch Serial Output Sampling </t>
  </si>
  <si>
    <t>https://www.ti.com/store/ti/en/p/product/?p=ADS8341E</t>
  </si>
  <si>
    <t>AD9731BR</t>
  </si>
  <si>
    <t>10-Bit, 170 MSPSD/A Converter</t>
  </si>
  <si>
    <t>EP1K30TI144-3</t>
  </si>
  <si>
    <t>826656-5</t>
  </si>
  <si>
    <t xml:space="preserve">Проводные клеммы и зажимы 2X05 POS VERT AU </t>
  </si>
  <si>
    <t>https://www.te.com/usa-en/product-826656-5.html</t>
  </si>
  <si>
    <t>RC0402FR-079R1L</t>
  </si>
  <si>
    <t>RC0402FR-07274KL</t>
  </si>
  <si>
    <t>AT42QT1011-TSHR</t>
  </si>
  <si>
    <t xml:space="preserve">Емкостные датчики касания One-Channel Touch Sensor IC </t>
  </si>
  <si>
    <t xml:space="preserve">Microchip </t>
  </si>
  <si>
    <t>EPC2LI20N</t>
  </si>
  <si>
    <t xml:space="preserve">ППВМ - Конфигурационная память IC - Ser. Config Mem Flash 1.6Mb 10 MHz </t>
  </si>
  <si>
    <t xml:space="preserve">Intel </t>
  </si>
  <si>
    <t>RC0805FR-078K66L</t>
  </si>
  <si>
    <t>RC0805FR-070RL</t>
  </si>
  <si>
    <t>RC0603FR-070RL</t>
  </si>
  <si>
    <t>Зарядная плата 5 в 1A Micro USB 18650 type-c Great IT</t>
  </si>
  <si>
    <t>A Micro USB 18650 type-c Great IT</t>
  </si>
  <si>
    <t>TFML-120-02-L-D-LC</t>
  </si>
  <si>
    <t>RC0603FR-0711KL</t>
  </si>
  <si>
    <t>ADS6445MRGCTEP</t>
  </si>
  <si>
    <t xml:space="preserve">Аналого-цифровые преобразователи (АЦП) Enh Prod 4Ch 14B 125 105/80/65MSPS </t>
  </si>
  <si>
    <t>Texas Instruments</t>
  </si>
  <si>
    <t>AC-17F (KLS1-AS-303-1)</t>
  </si>
  <si>
    <t>Евровилка сетевая 250V AC 10A на корпус с выключателем и держателем предохранителя</t>
  </si>
  <si>
    <t>GCM155R71H183JA55D</t>
  </si>
  <si>
    <t xml:space="preserve">Многослойные керамические конденсаторы - поверхностного монтажа 0402 0.018pF 50V X7R 5% </t>
  </si>
  <si>
    <t>ST150-60T2KI</t>
  </si>
  <si>
    <t xml:space="preserve">Танталовые конденсаторы - жидкостные ST150-60T2KI </t>
  </si>
  <si>
    <t>90136-2206</t>
  </si>
  <si>
    <t xml:space="preserve">Проводные клеммы и зажимы 2.54MM CGRIDIII HDR 6P R/A SR SHRD AU </t>
  </si>
  <si>
    <t>90142-0026</t>
  </si>
  <si>
    <t>90156-0148</t>
  </si>
  <si>
    <t>90136-2203</t>
  </si>
  <si>
    <t>90136-1104</t>
  </si>
  <si>
    <t>90136-1206</t>
  </si>
  <si>
    <t xml:space="preserve">Проводные клеммы и зажимы 2.54MM CGRIDIII HDR 6P V SR SHRD AU-E </t>
  </si>
  <si>
    <t>43650-0316</t>
  </si>
  <si>
    <t xml:space="preserve">Проводные клеммы и зажимы HDR VERT SNGL SMT 3P </t>
  </si>
  <si>
    <t>P6SMB100A</t>
  </si>
  <si>
    <t xml:space="preserve">Подавители ЭСР / диоды для подавления переходных скачков напряжения 600W 100V 5% Uni-Directional </t>
  </si>
  <si>
    <t>Yangjie</t>
  </si>
  <si>
    <t>EPF10K20RI208-4 (DBA561625A)</t>
  </si>
  <si>
    <t xml:space="preserve">FPGA - Программируемая вентильная матрица FPGA - Flex 10K 144 LABs 147 IOs </t>
  </si>
  <si>
    <t>NJM78M05DL1A-TE1</t>
  </si>
  <si>
    <t xml:space="preserve">Линейные регуляторы напряжения 3-Term Pos Vreg 35V 100mA 500mW </t>
  </si>
  <si>
    <t>NJR</t>
  </si>
  <si>
    <t>BLM18HE102SN1</t>
  </si>
  <si>
    <t>Murata</t>
  </si>
  <si>
    <t>MAX5488EUD+</t>
  </si>
  <si>
    <t xml:space="preserve">ИС, цифровые потенциометры Dual, 256-Tap, Nonvolatile, SPI-Interface, Linear-Taper Digital Potentiometers </t>
  </si>
  <si>
    <t>LM2990SX-5.0/NOPB</t>
  </si>
  <si>
    <t xml:space="preserve">LDO регуляторы напряжения NEG LDO REG </t>
  </si>
  <si>
    <t>MKT1813447405</t>
  </si>
  <si>
    <t>https://e-components.ru/item/ds-1029-04-2-40-p-8-bvb10</t>
  </si>
  <si>
    <t>T-DS1066-SC600</t>
  </si>
  <si>
    <t>Контакт для колодок разъемов DS1066-x F "гнездо" (PH тип, шаг 2.00 мм), лужен. (Full Tin/Pre-Plating), обжим на пров. сеч. 30-24AWG (T-DS1066-SC600)</t>
  </si>
  <si>
    <t>https://e-components.ru/item/ds-1066-terminal</t>
  </si>
  <si>
    <t>0603CS-82NXJLU</t>
  </si>
  <si>
    <t xml:space="preserve">Катушки постоянной индуктивности 0603 82nH Unshld 5% 400mA 540mOhms AECQ2 </t>
  </si>
  <si>
    <t xml:space="preserve">0603LS-471XJL </t>
  </si>
  <si>
    <t>Катушки постоянной индуктивности 0603 470nH Unshld 5% 620mOhms AEC-Q200</t>
  </si>
  <si>
    <t>датчики</t>
  </si>
  <si>
    <t xml:space="preserve">Многослойные керамические конденсаторы - поверхностного монтажа 0603 2000pF 50V X7R 10% </t>
  </si>
  <si>
    <t>К10-73-16М47, "5", вскрытая з.у.</t>
  </si>
  <si>
    <t>Стандартные краевые разъемы CONN SEC II 13 POS 100C/L</t>
  </si>
  <si>
    <t>Проводные клеммы и зажимы 2.54MM CGRIDIII HSG 26P DR CRIMP</t>
  </si>
  <si>
    <t>DS1035-44 MWNSISS (DHS-44M / DBH-44M)</t>
  </si>
  <si>
    <t>Проводные клеммы и зажимы Tiger Eye High-Reliability Locking Terminal Strip, 0.050 Pitch</t>
  </si>
  <si>
    <t>EXB-28V103JX</t>
  </si>
  <si>
    <t xml:space="preserve">Катушки постоянной индуктивности </t>
  </si>
  <si>
    <t>Штекер зеленый/золотой</t>
  </si>
  <si>
    <t>1930</t>
  </si>
  <si>
    <t>Конденсатор пусковой 30мкф 450В клемма</t>
  </si>
  <si>
    <t>https://asenergi.ru/catalog/kondensatory-puskovye/cbb60.html</t>
  </si>
  <si>
    <t>TM21P-88P(16)</t>
  </si>
  <si>
    <t xml:space="preserve">Модульные соединители / соединители Ethernet COVER MOD 8 8 GREEN 1=50 </t>
  </si>
  <si>
    <t>Hirose Electric</t>
  </si>
  <si>
    <t>SN74LVT245BPW</t>
  </si>
  <si>
    <t xml:space="preserve">Шинные трансиверы 3.3-V ABT Octal Bus Trncvr W/3-St Otpt </t>
  </si>
  <si>
    <t>5AGXMA3D4F27I5N</t>
  </si>
  <si>
    <t xml:space="preserve">FPGA - Программируемая вентильная матрица FPGA - Arria V GX 5890 LABS 336 IOs </t>
  </si>
  <si>
    <t>MT41K256M16HA-125 IT:E</t>
  </si>
  <si>
    <t>SDRAM - DDR3L Memory IC 4Gb (256M x 16) Parallel 800 MHz 13.75 ns 96-FBGA (9x14)</t>
  </si>
  <si>
    <t>Micron</t>
  </si>
  <si>
    <t>CL05A475MQ5NRNC</t>
  </si>
  <si>
    <t>Многослойные керамические конденсаторы - поверхностного монтажа 0402 1000pF 50V C0G 5%</t>
  </si>
  <si>
    <t>Многослойные керамические конденсаторы - поверхностного монтажа 0402 4700pF 50V X7R +/-5%</t>
  </si>
  <si>
    <t>ALXD800EEXJ2VF</t>
  </si>
  <si>
    <t>J01150A0131</t>
  </si>
  <si>
    <t>Кабельный разъем SMA штекер 50 Ом, пайка, G10 (UT-141), IP68, Telegartner | Германия</t>
  </si>
  <si>
    <t>CC0402JRX7R9BB331</t>
  </si>
  <si>
    <t xml:space="preserve">Многослойные керамические конденсаторы - поверхностного монтажа 0402 330pF 50V X7R 5% </t>
  </si>
  <si>
    <t>GRM31BR73A102KW01</t>
  </si>
  <si>
    <t>Многослойные керамические конденсаторы - поверхностного монтажа 1206 1000pF 1000V X7R 10%</t>
  </si>
  <si>
    <t>SRU8043-2R2Y</t>
  </si>
  <si>
    <t xml:space="preserve">Bourns </t>
  </si>
  <si>
    <t>Катушки постоянной индуктивности 2.2uH 30% SMD 8043</t>
  </si>
  <si>
    <t xml:space="preserve">RC0805FR-074K22L </t>
  </si>
  <si>
    <t xml:space="preserve">Многослойные керамические конденсаторы - поверхностного монтажа 1210 820pF 2KV X7R 10% Tol HI VOLT </t>
  </si>
  <si>
    <t>TO-1608BC-PG</t>
  </si>
  <si>
    <t>Светодиод зеленый SMD 1608, 705мКд, 120°, 525нМ (Pure Green)</t>
  </si>
  <si>
    <t>RC0805FR-075K36L</t>
  </si>
  <si>
    <t xml:space="preserve">Тонкопленочные резисторы – для поверхностного монтажа 0603 1.8K Ohm 0.1% 15ppm AEC-Q200 </t>
  </si>
  <si>
    <t xml:space="preserve">Толстопленочные резисторы – для поверхностного монтажа 0805 487 Ohms 1% AEC-Q200 </t>
  </si>
  <si>
    <t xml:space="preserve">Толстопленочные резисторы – для поверхностного монтажа 0603 1.87K Ohms 1% </t>
  </si>
  <si>
    <t xml:space="preserve">Толстопленочные резисторы – для поверхностного монтажа 0603 120 Ohms 1% </t>
  </si>
  <si>
    <t xml:space="preserve">Толстопленочные резисторы – для поверхностного монтажа 0603 14K Ohms 1% </t>
  </si>
  <si>
    <t xml:space="preserve">Толстопленочные резисторы – для поверхностного монтажа 0603 2.26K Ohms 1% </t>
  </si>
  <si>
    <t xml:space="preserve">Толстопленочные резисторы – для поверхностного монтажа 0603 2.8K Ohms 1% </t>
  </si>
  <si>
    <t xml:space="preserve">Толстопленочные резисторы – для поверхностного монтажа 0603 28.7K Ohms 1% </t>
  </si>
  <si>
    <t>Толстопленочные резисторы – для поверхностного монтажа 0603 3.48K Ohms 1%</t>
  </si>
  <si>
    <t>Толстопленочные резисторы – для поверхностного монтажа 0603 36 Ohms 1%</t>
  </si>
  <si>
    <t>Толстопленочные резисторы – для поверхностного монтажа 0603 39.2K Ohms 1%</t>
  </si>
  <si>
    <t>Толстопленочные резисторы – для поверхностного монтажа 0603 61.9K Ohms 1%</t>
  </si>
  <si>
    <t>Толстопленочные резисторы – для поверхностного монтажа 0603 53.6K Ohms 1%</t>
  </si>
  <si>
    <t>Толстопленочные резисторы – для поверхностного монтажа 0603 50 Ohms 1%</t>
  </si>
  <si>
    <t>Толстопленочные резисторы – для поверхностного монтажа 0603 5.9K Ohms 1%</t>
  </si>
  <si>
    <t xml:space="preserve">Толстопленочные резисторы – для поверхностного монтажа 0603 7.32K Ohms 1% </t>
  </si>
  <si>
    <t>Толстопленочные резисторы – для поверхностного монтажа 0603 84.5K Ohms 1%</t>
  </si>
  <si>
    <t>Толстопленочные резисторы – для поверхностного монтажа 0603 9.53K Ohms 1%</t>
  </si>
  <si>
    <t>Толстопленочные резисторы – для поверхностного монтажа 0603 93.1K Ohms 1%</t>
  </si>
  <si>
    <t>RC0805FR-075K23L</t>
  </si>
  <si>
    <t>3296W-1-502LF</t>
  </si>
  <si>
    <t>2107</t>
  </si>
  <si>
    <t xml:space="preserve">Многослойные керамические конденсаторы - поверхностного монтажа case T 100pF 100V 20% Single Layer Cap </t>
  </si>
  <si>
    <t>GCQ1555C1H8R5WB01D</t>
  </si>
  <si>
    <t>Многослойные керамические конденсаторы - поверхностного монтажа 0402 8.5pF 50V C0G +/-0.05pF AEC-Q200</t>
  </si>
  <si>
    <t xml:space="preserve">Токочувствительные резисторы – для поверхностного монтажа 0805 0.010 Ohm 1% Curr Sense AEC-Q200 </t>
  </si>
  <si>
    <t>GJM1555C1H2R2WB01</t>
  </si>
  <si>
    <t>RC0603FR-0747KL</t>
  </si>
  <si>
    <t>Толстопленочные резисторы – для поверхностного монтажа 0805 1.3K Ohms 5%</t>
  </si>
  <si>
    <t xml:space="preserve">Толстопленочные резисторы – для поверхностного монтажа 0805 1.24 Ohms 1% </t>
  </si>
  <si>
    <t xml:space="preserve">Толстопленочные резисторы – для поверхностного монтажа 0805 200 Ohms 1% </t>
  </si>
  <si>
    <t>BC817-25LT1G</t>
  </si>
  <si>
    <t>2008</t>
  </si>
  <si>
    <t>DS1021-2*5 SF11 (PLD-10)</t>
  </si>
  <si>
    <t>DS1021-2*7 SF11 (PLD-14)</t>
  </si>
  <si>
    <t>Штыри 2x5 конт. шаг 2.54 мм, вертик. на пл. (3.0/ 6.1 мм) (ан. PLD-10) DS1021-2*5 SF11</t>
  </si>
  <si>
    <t>Штыри 2x7 конт. шаг 2.54 мм, вертик. на пл. (3.0/ 6.1 мм) (ан. PLD-14) DS1021-2*07 SF11</t>
  </si>
  <si>
    <t xml:space="preserve">B82422H1223J000 </t>
  </si>
  <si>
    <t>Катушки постоянной индуктивности SMT-INDUCTOR 1210-H 22 UH 5%, AEC-Q200</t>
  </si>
  <si>
    <t>RN73C1J20KB</t>
  </si>
  <si>
    <t>Тонкопленочные резисторы – для поверхностного монтажа 0603 20K Ohm 0.1% 10PPM CUT LENGTH</t>
  </si>
  <si>
    <t>Sreening can b7k  (p/n 94454700)</t>
  </si>
  <si>
    <t>SRP1040-R56M</t>
  </si>
  <si>
    <t xml:space="preserve">Катушки постоянной индуктивности 0.56uH 20% SMD 1040 </t>
  </si>
  <si>
    <t>21/05/21, 30/06/21</t>
  </si>
  <si>
    <t>07.12.2020</t>
  </si>
  <si>
    <t>18/08/21, 04/09/20</t>
  </si>
  <si>
    <t>RN73C1J49R9B</t>
  </si>
  <si>
    <t>RC0805FR-07147KL</t>
  </si>
  <si>
    <t>RN73C1J200RBTG</t>
  </si>
  <si>
    <t xml:space="preserve">Толстопленочные резисторы – для поверхностного монтажа 0603 10K Ohms 1% </t>
  </si>
  <si>
    <t>RC0805FR-07287KL</t>
  </si>
  <si>
    <t xml:space="preserve">Толстопленочные резисторы – для поверхностного монтажа 0805 287K Ohms 1% </t>
  </si>
  <si>
    <t>L-KLS1-DB-15P-S-G (DP-15C)</t>
  </si>
  <si>
    <t>Корпус для разъемов D-Sub 15 конт./26 конт.</t>
  </si>
  <si>
    <t>CVS-2308</t>
  </si>
  <si>
    <t xml:space="preserve">Динамики и преобразователи 23 mm, Round Frame, 0.1 W, 8 Ohm, Neodymium Magnet, Mylar Cone, Speaker </t>
  </si>
  <si>
    <t xml:space="preserve">CUI Devices </t>
  </si>
  <si>
    <t>CR-03JL7-820K</t>
  </si>
  <si>
    <t xml:space="preserve">VIKING </t>
  </si>
  <si>
    <t>Толстопленочные резисторы – для поверхностного монтажа 0603 820K Ohm 5%</t>
  </si>
  <si>
    <t>Штыри однорядные 1x1 конт. шаг 2.54 мм, вертик. на плату (3.0 мм/ 6.1 мм), позол. (DS1021-1*01SF11-B) (аналог PLS-1)</t>
  </si>
  <si>
    <t>Штыри однорядные 1x4 конт. шаг 2.54 мм, вертик. на плату (3.0 мм/ 6.1 мм), позол. (DS1021-1*04SF11-B) (аналог PLS-4)</t>
  </si>
  <si>
    <t>MC79L05ABPRAG</t>
  </si>
  <si>
    <t xml:space="preserve">Линейные регуляторы напряжения 5V 100mA Negative </t>
  </si>
  <si>
    <t>https://www.onsemi.com/products/power-management/linear-regulators-ldo/mc79l</t>
  </si>
  <si>
    <t xml:space="preserve">Толстопленочные резисторы – для поверхностного монтажа 0603 100K Ohm 1% </t>
  </si>
  <si>
    <t xml:space="preserve">TPSD686K020R0300 </t>
  </si>
  <si>
    <t>C1280-80BDGAT0R</t>
  </si>
  <si>
    <t>Hsuan Mao</t>
  </si>
  <si>
    <t xml:space="preserve">Разъём на плату. Контакты: 80; Ряды: 2; Шаг: 1.27 мм; Род: вилка. </t>
  </si>
  <si>
    <t>2011</t>
  </si>
  <si>
    <t>C1280-10BDGAT0R</t>
  </si>
  <si>
    <t xml:space="preserve">Разъём на плату. Контакты: 10; Ряды: 2; Шаг: 1.27 мм; Род: вилка. </t>
  </si>
  <si>
    <t>C1280-08BDGAT0R</t>
  </si>
  <si>
    <t xml:space="preserve">Разъём на плату. Контакты: 08; Ряды: 2; Шаг: 1.27 мм; Род: вилка. </t>
  </si>
  <si>
    <t xml:space="preserve">L-1034GDT </t>
  </si>
  <si>
    <t>https://www.kingbright.ru/products/24-flat-top-led/2362-l-1034gdt</t>
  </si>
  <si>
    <t>Стандартные светодиоды - Сквозного монтажа; прямоугольная; 4x2,8мм; зеленый; 8мкд; 70°; 20мА; 2,2?2,5В</t>
  </si>
  <si>
    <t>KPA-2107LVVBC-D</t>
  </si>
  <si>
    <t>Стандартные светодиоды - поверхностного монтажа; 2.1мм x 0.6мм, Синий, SMD, 2.1mm x 0.7mm, 2 мА, 2.65 В, 470 нм</t>
  </si>
  <si>
    <t>DS1021-1*12 SF11 (PLS-12)</t>
  </si>
  <si>
    <t>DS1021-1*26 SF11 (PLS-26)</t>
  </si>
  <si>
    <t>Штыри однорядные 1x12 конт. шаг 2.54 мм, вертик. на плату (3.0 мм/ 6.1 мм), позол. (DS1021-1*12SF11-B) (аналог PLS-12)</t>
  </si>
  <si>
    <t>Штыри однорядные 1x10 конт. шаг 2.54 мм, вертик. на плату (3.0 мм/ 6.1 мм), позол. (DS1021-1*10SF11-B) (аналог PLS-10)</t>
  </si>
  <si>
    <t>Штыри однорядные 1x26 конт. шаг 2.54 мм, вертик. на плату (3.0 мм/ 6.1 мм), позол. (DS1021-1*26SF11-B) (аналог PLS-26)</t>
  </si>
  <si>
    <t xml:space="preserve">DF40C-24DS-0.4V </t>
  </si>
  <si>
    <t xml:space="preserve">Межплатные и промежуточные соединители 24P SMT RECEPTACLE NO FITTING, NO BOSS </t>
  </si>
  <si>
    <t xml:space="preserve">Hirose Electric </t>
  </si>
  <si>
    <t>https://www.hirose.com/en/product/p/CL0684-4006-1-51#documentSection</t>
  </si>
  <si>
    <t>GRM0335C1H9R0BA01D</t>
  </si>
  <si>
    <t>Многослойные керамические конденсаторы - поверхностного монтажа 0402 5.6pF 50V C0G +/-0.25pF</t>
  </si>
  <si>
    <t>GRM155R71H331JA01D</t>
  </si>
  <si>
    <t>https://www.vishay.com/docs/20035/dcrcwe3.pdf</t>
  </si>
  <si>
    <t>ADP3338AKCZ-5-R7</t>
  </si>
  <si>
    <t xml:space="preserve">Линейные регуляторы напряжения 1A anyCAP LDO </t>
  </si>
  <si>
    <t xml:space="preserve">Толстопленочные резисторы – для поверхностного монтажа 0805 10 Ohm 1% </t>
  </si>
  <si>
    <t>IRF7416PBF</t>
  </si>
  <si>
    <t xml:space="preserve">МОП-транзистор 1 P-CH -30V HEXFET 20mOhms 61nC </t>
  </si>
  <si>
    <t xml:space="preserve">Infineon / IR </t>
  </si>
  <si>
    <t>RC0603FR-0747RL</t>
  </si>
  <si>
    <t xml:space="preserve">Толстопленочные резисторы – для поверхностного монтажа 0805 1.37K Ohm 1% </t>
  </si>
  <si>
    <t xml:space="preserve">Толстопленочные резисторы – для поверхностного монтажа 0805 1.37M Ohm 1% </t>
  </si>
  <si>
    <t>Толстопленочные резисторы – для поверхностного монтажа 0603 510K Ohm 1%</t>
  </si>
  <si>
    <t xml:space="preserve">Толстопленочные резисторы – для поверхностного монтажа 0603 47K Ohm 1% </t>
  </si>
  <si>
    <t>EEE-FK1C221P</t>
  </si>
  <si>
    <t>EEE-FK1E471P</t>
  </si>
  <si>
    <t xml:space="preserve">Толстопленочные резисторы – для поверхностного монтажа 0603 390 Ohm 1% </t>
  </si>
  <si>
    <t>Толстопленочные резисторы – для поверхностного монтажа 0603 51K Ohm 1%</t>
  </si>
  <si>
    <t>RC0805FR-07107RL</t>
  </si>
  <si>
    <t>Толстопленочные резисторы – для поверхностного монтажа 0805 107 Ohm 1%</t>
  </si>
  <si>
    <t xml:space="preserve">STP21N90K5  </t>
  </si>
  <si>
    <t xml:space="preserve">МОП-транзистор N-Ch 900V 0.25 Ohm 18.5A MDmesh K5 </t>
  </si>
  <si>
    <t>TAJE227K016RNJ</t>
  </si>
  <si>
    <t xml:space="preserve">GRM033R71E472KE14D </t>
  </si>
  <si>
    <t>RC0603FR-076K2L</t>
  </si>
  <si>
    <t xml:space="preserve">Толстопленочные резисторы – для поверхностного монтажа 0603 6.2K Ohm 1% </t>
  </si>
  <si>
    <t xml:space="preserve">CPHS-EFD20-1S-10P </t>
  </si>
  <si>
    <t xml:space="preserve">EFD 20 1/10 SMD E-066 </t>
  </si>
  <si>
    <t>E32-868T20D</t>
  </si>
  <si>
    <t>Модуль LoRa, SX1276, 868MHz, UART, 3 км = E32-868T20S</t>
  </si>
  <si>
    <t>RN73C2A2K67B</t>
  </si>
  <si>
    <t>SI2307BDS-T1-E3</t>
  </si>
  <si>
    <t xml:space="preserve">МОП-транзистор 30V 3.2A 1.25W </t>
  </si>
  <si>
    <t>2113</t>
  </si>
  <si>
    <t xml:space="preserve">RC0805FR-079K76L </t>
  </si>
  <si>
    <t>Толстопленочные резисторы – для поверхностного монтажа 0805 9.76K Ohm 1%</t>
  </si>
  <si>
    <t>Толстопленочные резисторы – для поверхностного монтажа 0805 91 OhmM 1%</t>
  </si>
  <si>
    <t>TMK325BJ106MM-T</t>
  </si>
  <si>
    <t>Taiyo Yuden</t>
  </si>
  <si>
    <t>TNPW0201249RBEED</t>
  </si>
  <si>
    <t>https://www.vishay.com/docs/28758/tnpw_e3.pdf</t>
  </si>
  <si>
    <t>ADUM1301CRW</t>
  </si>
  <si>
    <t>https://www.analog.com/media/en/technical-documentation/data-sheets/ADuM1300_1301.pdf</t>
  </si>
  <si>
    <t>Цифровые изоляторы THREE-CHANNEL DIGITAL ISOLATOR</t>
  </si>
  <si>
    <t xml:space="preserve">MMBT3904T-7-F </t>
  </si>
  <si>
    <t>https://www.diodes.com/assets/Datasheets/ds30270.pdf</t>
  </si>
  <si>
    <t xml:space="preserve">CC1210KKX7RDBB102 </t>
  </si>
  <si>
    <t xml:space="preserve">YAGEO </t>
  </si>
  <si>
    <t xml:space="preserve">Многослойные керамические конденсаторы - поверхностного монтажа 1210 1000pF 2kV X7R 10% </t>
  </si>
  <si>
    <t>https://www.yageo.com/upload/media/product/productsearch/datasheet/mlcc/UPY-NP0X7R_HV_1KV-to-3KV_13.pdf</t>
  </si>
  <si>
    <t xml:space="preserve">CL32A107MQVNNNE </t>
  </si>
  <si>
    <t xml:space="preserve">Samsung Electro-Mechanics </t>
  </si>
  <si>
    <t>http://weblib.samsungsem.com/mlcc/mlcc-ec-data-sheet.do?partNumber=CL32A107MQVNNN</t>
  </si>
  <si>
    <t>Eurolan</t>
  </si>
  <si>
    <t>https://eurolan.ru/ru/products/1444/7258/</t>
  </si>
  <si>
    <t>41F-30-LC-LC-0E</t>
  </si>
  <si>
    <t>Оптический коммутационный шнур дуплексный, 2х50/125, OM3, LC-LC, 0.5 м</t>
  </si>
  <si>
    <t>74FCT3807AQGI</t>
  </si>
  <si>
    <t>https://www.renesas.com/us/en/document/dst/74fct3807-datasheet</t>
  </si>
  <si>
    <t xml:space="preserve">Синхронизаторы и распределители тактового сигнала 3.3V 1:10 Clock Driver </t>
  </si>
  <si>
    <t xml:space="preserve">Renesas Electronics </t>
  </si>
  <si>
    <t xml:space="preserve">RC0805FR-07100RL </t>
  </si>
  <si>
    <t xml:space="preserve">Толстопленочные резисторы – для поверхностного монтажа 0805 100 Ohm 1% </t>
  </si>
  <si>
    <t xml:space="preserve">Толстопленочные резисторы – для поверхностного монтажа 0805 100 Ohm 5% </t>
  </si>
  <si>
    <t>CD74HCT374M96</t>
  </si>
  <si>
    <t>SQCAEM101AJME</t>
  </si>
  <si>
    <t xml:space="preserve">Kyocera AVX </t>
  </si>
  <si>
    <t>https://media.digikey.com/pdf/Data%20Sheets/AVX%20PDFs/SQCA_SQCB_Ultra_Low_DS.pdf</t>
  </si>
  <si>
    <t xml:space="preserve">Многослойные керамические конденсаторы - поверхностного монтажа 0505 (A Case) 100pF 150V  0+-30ppm/oC 5% Tol </t>
  </si>
  <si>
    <t>VJ0505D101JXCAJ</t>
  </si>
  <si>
    <t xml:space="preserve">Многослойные керамические конденсаторы - поверхностного монтажа 0505 100pF 250V C0G 5% HI FREQ </t>
  </si>
  <si>
    <t>https://media.digikey.com/pdf/Data%20Sheets/Vishay%20Vitramon/VJSeries_Quad_HIFREQ.pdf</t>
  </si>
  <si>
    <t xml:space="preserve">Толстопленочные резисторы – для поверхностного монтажа 0805 10K Ohm 1% </t>
  </si>
  <si>
    <t xml:space="preserve">Толстопленочные резисторы – для поверхностного монтажа 0805 10K Ohm 5% </t>
  </si>
  <si>
    <t xml:space="preserve">Толстопленочные резисторы – для поверхностного монтажа 0805 10 Ohm 5% </t>
  </si>
  <si>
    <t>CL10C3R3BB8NNNC</t>
  </si>
  <si>
    <t xml:space="preserve">Многослойные керамические конденсаторы - поверхностного монтажа 0603 3.3pF 50V C0G +/-0.1pF </t>
  </si>
  <si>
    <t>Многослойные керамические конденсаторы - поверхностного монтажа 0603 33pF 50V C0G 5%</t>
  </si>
  <si>
    <t>TAJB106K025RNJ</t>
  </si>
  <si>
    <t>SDR1307-391KL</t>
  </si>
  <si>
    <t xml:space="preserve">Катушки постоянной индуктивности 390uH 10% SMD 1307 </t>
  </si>
  <si>
    <t>https://www.bourns.com/docs/Product-Datasheets/SDR1307.pdf</t>
  </si>
  <si>
    <t>BAS216</t>
  </si>
  <si>
    <t>SDR1307-820KL</t>
  </si>
  <si>
    <t>2139</t>
  </si>
  <si>
    <t xml:space="preserve">Катушки постоянной индуктивности 82uH 10% SMD 1307 </t>
  </si>
  <si>
    <t>GRM42A5C3F220JW01L</t>
  </si>
  <si>
    <t>Многослойные керамические конденсаторы - поверхностного монтажа 1808 22pF 3.1KV C0G 5%</t>
  </si>
  <si>
    <t>https://search.murata.co.jp/Ceramy/image/img/A01X/G101/ENG/GRM42A5C3F220JW01-01.pdf</t>
  </si>
  <si>
    <t xml:space="preserve">CW160808-15NJ  </t>
  </si>
  <si>
    <t xml:space="preserve">Катушки постоянной индуктивности 15nH 5% </t>
  </si>
  <si>
    <t>https://www.bourns.com/docs/Product-Datasheets/cw160808.pdf</t>
  </si>
  <si>
    <t>SQCB7M101JAJME</t>
  </si>
  <si>
    <t xml:space="preserve">Многослойные керамические конденсаторы - поверхностного монтажа 0505 (B Case) 100pF 500V  +90+-20ppm/oC 5% Tol </t>
  </si>
  <si>
    <t>CD74HCT14M96</t>
  </si>
  <si>
    <t xml:space="preserve">Инвертеры Hex Schmitt-Trigger </t>
  </si>
  <si>
    <t>https://www.ti.com/lit/ds/symlink/cd74hc14.pdf?HQS=dis-dk-null-digikeymode-dsf-pf-null-wwe&amp;ts=1645194928427&amp;ref_url=https%253A%252F%252Fwww.ti.com%252Fgeneral%252Fdocs%252Fsuppproductinfo.tsp%253FdistId%253D10%2526gotoUrl%253Dhttps%253A%252F%252Fwww.ti.com%252Flit%252Fgpn%252Fcd74hc14</t>
  </si>
  <si>
    <t>https://www.ti.com/lit/ds/symlink/cd74act240.pdf?HQS=dis-dk-null-digikeymode-dsf-pf-null-wwe&amp;ts=1645195099820&amp;ref_url=https%253A%252F%252Fwww.ti.com%252Fgeneral%252Fdocs%252Fsuppproductinfo.tsp%253FdistId%253D10%2526gotoUrl%253Dhttps%253A%252F%252Fwww.ti.com%252Flit%252Fgpn%252Fcd74act240</t>
  </si>
  <si>
    <t>TPSE227M016R0150</t>
  </si>
  <si>
    <t>https://datasheets.kyocera-avx.com/TPS.pdf</t>
  </si>
  <si>
    <t>Разъем RJ-45(8P8C) под витую пару, категория 5e (50 µ"/ 50 микродюймов), универсальный (для одножильного и многожильного кабеля) (100 шт)</t>
  </si>
  <si>
    <t>https://www.hyperline.ru/catalog/komponenty-mednoy-sistemy/razemy/hyperline-plug-8p8c-u-c5-100-rj-45-8p8c-5e-50-50-100-/</t>
  </si>
  <si>
    <t xml:space="preserve">CC0603JRX7R9BB102 </t>
  </si>
  <si>
    <t xml:space="preserve">Многослойные керамические конденсаторы - поверхностного монтажа 0603 100pF 50V CH 5% </t>
  </si>
  <si>
    <t xml:space="preserve">Многослойные керамические конденсаторы - поверхностного монтажа 0603 10pF 250V C0G 2% </t>
  </si>
  <si>
    <t>Многослойные керамические конденсаторы - поверхностного монтажа 0603 1pF 100V C0G 0.25pF</t>
  </si>
  <si>
    <t xml:space="preserve">Многослойные керамические конденсаторы - поверхностного монтажа 0603 1000pF 50V X7R 5% </t>
  </si>
  <si>
    <t>https://www.yageo.com/upload/media/product/productsearch/datasheet/mlcc/UPY-GPHC_X7R_6.3V-to-50V_20.pdf</t>
  </si>
  <si>
    <t xml:space="preserve">Толстопленочные резисторы – для поверхностного монтажа 0603 1K Ohm 1% </t>
  </si>
  <si>
    <t>DS1021-2*1 SF11 (PLD-2)</t>
  </si>
  <si>
    <t>Штыри 2x2 конт. шаг 2.54 мм, вертик. на пл. (3.0/ 6.1 мм) (ан. PLD-2) DS1021-2*1 SF11</t>
  </si>
  <si>
    <t>293D106X9035D2TE3</t>
  </si>
  <si>
    <t>TAJB335K016RNJ</t>
  </si>
  <si>
    <t>https://datasheets.kyocera-avx.com/TAJ.pdf</t>
  </si>
  <si>
    <t>Толстопленочные резисторы – для поверхностного монтажа 0603 200 Ohm 1%</t>
  </si>
  <si>
    <t>Толстопленочные резисторы – для поверхностного монтажа 0603 2.2M Ohm 1%</t>
  </si>
  <si>
    <t>RC0603FR-07300KL</t>
  </si>
  <si>
    <t>Толстопленочные резисторы – для поверхностного монтажа 0603 300K Ohm 1%</t>
  </si>
  <si>
    <t>LM324</t>
  </si>
  <si>
    <t>https://www.onsemi.com/pdf/datasheet/lm324-d.pdf</t>
  </si>
  <si>
    <t xml:space="preserve">Операционные усилители Quad Low Power </t>
  </si>
  <si>
    <t>Толстопленочные резисторы – для поверхностного монтажа 0805 0 Ohm JUMPER 1%</t>
  </si>
  <si>
    <t>https://media.digikey.com/pdf/Data%20Sheets/Murata%20PDFs/PVZ3%20Trimpot.pdf</t>
  </si>
  <si>
    <t>RC0402FR-0710KL</t>
  </si>
  <si>
    <t>P7-F</t>
  </si>
  <si>
    <t>AUPO</t>
  </si>
  <si>
    <t xml:space="preserve">Предохранитель: термический; 2А; P; 150°C </t>
  </si>
  <si>
    <t>DS1022-1*1 SF11  (PLS-1RD, RDF-11)</t>
  </si>
  <si>
    <t>DS1022-1*6 SF11  (PLS-6RD, RDF-11)</t>
  </si>
  <si>
    <t>PLS-1 (DS1021-1×1R), вилка штыревая, шаг 2,54 мм, 1×1, угловая</t>
  </si>
  <si>
    <t>PLS-1 (DS1021-1×6R), вилка штыревая, шаг 2,54 мм, 1×6, угловая</t>
  </si>
  <si>
    <t>Толстопленочные резисторы – для поверхностного монтажа 0603 1.5K Ohm 1%</t>
  </si>
  <si>
    <t xml:space="preserve">Толстопленочные резисторы – для поверхностного монтажа 0603 10 Ohm 1% </t>
  </si>
  <si>
    <t xml:space="preserve">Толстопленочные резисторы – для поверхностного монтажа 0603 11K Ohm 1% </t>
  </si>
  <si>
    <t>RC0603FR-072K2L</t>
  </si>
  <si>
    <t>Толстопленочные резисторы – для поверхностного монтажа 0603 2.2K Ohm 1%</t>
  </si>
  <si>
    <t>RC0603FR-0720RL</t>
  </si>
  <si>
    <t>Толстопленочные резисторы – для поверхностного монтажа 0603 20 Ohm 1%</t>
  </si>
  <si>
    <t>Толстопленочные резисторы – для поверхностного монтажа 0603 3.3K Ohm 1%</t>
  </si>
  <si>
    <t>RC0603FR-07510RL</t>
  </si>
  <si>
    <t>Толстопленочные резисторы – для поверхностного монтажа 0603 510 Ohm 1%</t>
  </si>
  <si>
    <t>Толстопленочные резисторы – для поверхностного монтажа 0603 82K Ohm 1%</t>
  </si>
  <si>
    <t>106-M2-P10-10A</t>
  </si>
  <si>
    <t>1905</t>
  </si>
  <si>
    <t xml:space="preserve">E-T-A Circuit Breakers </t>
  </si>
  <si>
    <t xml:space="preserve">Автоматические выключатели Miniaturised single pole thermal circuit breaker with push-to-reset tease free, trip-free, snap action mechanism (R-type TO CBE to EN 60934), threadneck mounting. Approved to CBE standard EN 60934 (IEC 60934). For higher current ratings see type 1140 </t>
  </si>
  <si>
    <t>https://www.e-t-a.com/fileadmin/user_upload/Ordnerstruktur/pdf-Data/Products/Schutzschalter_Sicherungsautomaten/Thermisch/2_eng/D_104_105_106_ENG.pdf</t>
  </si>
  <si>
    <t>XB4BW3561</t>
  </si>
  <si>
    <t>Schneider</t>
  </si>
  <si>
    <t>Illuminated push button, Harmony XB4, Orange flush complete illum pushbutton Ø22 mm, 2.4 W</t>
  </si>
  <si>
    <t>https://www.se.com/ww/en/product/XB4BW3561/illuminated-push-button-harmony-xb4-orange-flush-complete-illum-pushbutton-%C3%B822-mm-2-4-w/</t>
  </si>
  <si>
    <t>50079-8000</t>
  </si>
  <si>
    <t xml:space="preserve">Проводные клеммы и зажимы PCBLD TERM 26-28G F Reel of 25000 </t>
  </si>
  <si>
    <t>https://www.molex.com/webdocs/datasheets/pdf/en-us/0500798000_CRIMP_TERMINALS.pdf</t>
  </si>
  <si>
    <t>CC0603JRX7R9BB103</t>
  </si>
  <si>
    <t>XB4BА11</t>
  </si>
  <si>
    <t>https://www.se.com/ww/en/product/XB4BA11/harmony-xb4-push-button-metal-flush-white-%C3%B822-spring-return-unmarked-1-no/</t>
  </si>
  <si>
    <t>Harmony XB4, Push button, metal, flush, white, Ø22, spring return, unmarked, 1 NO</t>
  </si>
  <si>
    <t xml:space="preserve">Rexant 18-1002 Патч-корд </t>
  </si>
  <si>
    <t xml:space="preserve">Rexant 18-1005 Патч-корд </t>
  </si>
  <si>
    <t>ZB4BZ101</t>
  </si>
  <si>
    <t>Corpo contatti Ø22 - 1NO</t>
  </si>
  <si>
    <t>https://www.se.com/it/it/product/ZB4BZ101/corpo-contatti-%C3%B822-1no/</t>
  </si>
  <si>
    <t>HT396-3.96-3P-1G</t>
  </si>
  <si>
    <t>KAIFENG</t>
  </si>
  <si>
    <t>Pluggable female terminal block, 3-pos., pitch 3.96mm, KAIFENG</t>
  </si>
  <si>
    <t>BZX55C30V</t>
  </si>
  <si>
    <t>1616</t>
  </si>
  <si>
    <t xml:space="preserve">Стабилитроны 30 V DO-35G 500mW Ze ner 5% </t>
  </si>
  <si>
    <t>Kingtronics</t>
  </si>
  <si>
    <t xml:space="preserve">Толстопленочные резисторы – для поверхностного монтажа 0402 3.3K Ohm 1% </t>
  </si>
  <si>
    <t xml:space="preserve">Толстопленочные резисторы – для поверхностного монтажа 0402 3.3 Ohm 5% </t>
  </si>
  <si>
    <t>CC1210MKX5R5BB107</t>
  </si>
  <si>
    <t>KLS 44</t>
  </si>
  <si>
    <t>Conn 3.5MM Stereo Plug PL 3 POS Solder ST Cable Mount 3 Terminal 1 Port Bulk</t>
  </si>
  <si>
    <t>LUMBERG</t>
  </si>
  <si>
    <t>BGX50AE6327</t>
  </si>
  <si>
    <t>1844</t>
  </si>
  <si>
    <t xml:space="preserve">Диоды - общего назначения, управление питанием, коммутация AF DIODE 70V 0.14A </t>
  </si>
  <si>
    <t xml:space="preserve">Infineon </t>
  </si>
  <si>
    <t>BLM21PG221SN1D</t>
  </si>
  <si>
    <t>2109</t>
  </si>
  <si>
    <t>https://www.murata.com/en-us/products/en-us/products/productdata/8796738977822/ENFA0005.pdf</t>
  </si>
  <si>
    <t>RC0805FR-0751KL</t>
  </si>
  <si>
    <t>Толстопленочные резисторы – для поверхностного монтажа 0805 51K Ohm 1%</t>
  </si>
  <si>
    <t>BZV55-B2V4.115</t>
  </si>
  <si>
    <t>2114</t>
  </si>
  <si>
    <t xml:space="preserve">Стабилитроны DIODE ZENER 2 PCT </t>
  </si>
  <si>
    <t>https://www.nexperia.com/products/diodes/zener-diodes/BZV55-B2V4.html</t>
  </si>
  <si>
    <t>SI2302ADS-Т1-E3</t>
  </si>
  <si>
    <t>2211</t>
  </si>
  <si>
    <t>MOSFET N-CH 20V 2.1A SOT23-3</t>
  </si>
  <si>
    <t>C630 (ABE), 30 A, 250 В, 6.35х30 мм, Предохранитель керамический</t>
  </si>
  <si>
    <t>C630(ABE)030</t>
  </si>
  <si>
    <t>2201</t>
  </si>
  <si>
    <t>CL10B105KA8NNNC</t>
  </si>
  <si>
    <t>https://www.vishay.com/docs/86139/bzg04-m-series.pdf</t>
  </si>
  <si>
    <t>4610X-104-331/471L</t>
  </si>
  <si>
    <t xml:space="preserve">Резисторные сборки и массивы RNET - THK FILM CONF SIP </t>
  </si>
  <si>
    <t>https://www.bourns.com/docs/Product-Datasheets/4600x.pdf</t>
  </si>
  <si>
    <t xml:space="preserve">KEMET </t>
  </si>
  <si>
    <t>https://connect.kemet.com:7667/gateway/IntelliData-ComponentDocumentation/1.0/download/datasheet/C1210X103J5GAC7800</t>
  </si>
  <si>
    <t>TAJB685K025RNJ</t>
  </si>
  <si>
    <t>0430200601</t>
  </si>
  <si>
    <t>2149</t>
  </si>
  <si>
    <t xml:space="preserve">Проводные клеммы и зажимы PLUG FREE HNG 6P DUAL ROW </t>
  </si>
  <si>
    <t>https://www.molex.com/pdm_docs/sd/430200200_sd.pdf</t>
  </si>
  <si>
    <t>0430310001</t>
  </si>
  <si>
    <t>Проводные клеммы и зажимы MF 3.0 TERM 20-24G M</t>
  </si>
  <si>
    <t>https://www.molex.com/pdm_docs/ps/PS-44300-001.pdf</t>
  </si>
  <si>
    <t>CL21B106KPQNNNE</t>
  </si>
  <si>
    <t>SQP500JB-4R7</t>
  </si>
  <si>
    <t>https://www.yageo.com/upload/media/product/productsearch/datasheet/lr/YAGEO%20SQP_NSP_datasheet_2021v0.pdf</t>
  </si>
  <si>
    <t>SQP500JB-1R1</t>
  </si>
  <si>
    <t xml:space="preserve">PLUG-8P8C-U-C5 SH  RJ45 </t>
  </si>
  <si>
    <t>BAR43AFILM</t>
  </si>
  <si>
    <t xml:space="preserve">Диоды и выпрямители Шоттки 100mA 30 Volt </t>
  </si>
  <si>
    <t>https://www.st.com/content/ccc/resource/technical/document/datasheet/b3/b4/6e/ab/17/40/40/62/CD00000764.pdf/files/CD00000764.pdf/jcr:content/translations/en.CD00000764.pdf</t>
  </si>
  <si>
    <t>IN74HC374ADW</t>
  </si>
  <si>
    <t>https://integral.by/ru/products/in74hcxxxxan-ddw-series/in74hc374adw</t>
  </si>
  <si>
    <t>Pin to Pin Compatibility:  MC74HC374AD    Function: Octal D-Type Flip-Flop (3-State)   Package: SO-20</t>
  </si>
  <si>
    <t>CW161009A-6N8J</t>
  </si>
  <si>
    <t xml:space="preserve">Катушки постоянной индуктивности 6.8nH 5 0.7A AEC-Q200 </t>
  </si>
  <si>
    <t>https://www.bourns.com/docs/Product-Datasheets/CW161009A.pdf</t>
  </si>
  <si>
    <t>C0603C101K5GACTU</t>
  </si>
  <si>
    <t xml:space="preserve">Многослойные керамические конденсаторы - поверхностного монтажа 0603 100pF 50V C0G 10% </t>
  </si>
  <si>
    <t>https://connect.kemet.com:7667/gateway/IntelliData-ComponentDocumentation/1.0/download/datasheet/C0603C101K5GACTU</t>
  </si>
  <si>
    <t>C0603C104K4RACAUTO</t>
  </si>
  <si>
    <t>https://connect.kemet.com:7667/gateway/IntelliData-ComponentDocumentation/1.0/download/specsheet/C0603C104K4RACAUTO</t>
  </si>
  <si>
    <t>C0603C220K5GACTU</t>
  </si>
  <si>
    <t xml:space="preserve">Многослойные керамические конденсаторы - поверхностного монтажа 0603 22pF 50V C0G 10% </t>
  </si>
  <si>
    <t>https://connect.kemet.com:7667/gateway/IntelliData-ComponentDocumentation/1.0/download/datasheet/C0603C220K5GACTU</t>
  </si>
  <si>
    <t>LM2733YMF/NOPB</t>
  </si>
  <si>
    <t xml:space="preserve">Импульсные регуляторы напряжения 0.6/1.6MHZ BOOST CONVERTER </t>
  </si>
  <si>
    <t>https://www.ti.com/lit/ds/symlink/lm2733.pdf?HQS=dis-dk-null-digikeymode-dsf-pf-null-wwe&amp;ts=1655126712126&amp;ref_url=https%253A%252F%252Fwww.ti.com%252Fgeneral%252Fdocs%252Fsuppproductinfo.tsp%253FdistId%253D10%2526gotoUrl%253Dhttps%253A%252F%252Fwww.ti.com%252Flit%252Fgpn%252Flm2733</t>
  </si>
  <si>
    <t>T491C107K010AT</t>
  </si>
  <si>
    <t>https://content.kemet.com/datasheets/KEM_T2005_T491.pdf</t>
  </si>
  <si>
    <t>3296W-1-103</t>
  </si>
  <si>
    <t>Bochen</t>
  </si>
  <si>
    <t>E31102.2/4.3+B</t>
  </si>
  <si>
    <t>FISCHER CONNECTORS</t>
  </si>
  <si>
    <t>CLAMP SET, IP68, 102, 4.1-4.3MM</t>
  </si>
  <si>
    <t>SN74LVC1G32DCK</t>
  </si>
  <si>
    <t>Логические элементы SNGL 2 Input Pos</t>
  </si>
  <si>
    <t>https://www.ti.com/lit/ds/symlink/sn74lvc1g32.pdf?HQS=dis-mous-null-mousermode-dsf-pf-null-wwe&amp;ts=1655453589096&amp;ref_url=https%253A%252F%252Fwww.mouser.it%252F</t>
  </si>
  <si>
    <t>TAJD226K020RNJ</t>
  </si>
  <si>
    <t>MC33269DTRK-3.3G</t>
  </si>
  <si>
    <t>LDO регуляторы напряжения 3.3V ADJ 800mA</t>
  </si>
  <si>
    <t>CC0402JRX7R9BB332</t>
  </si>
  <si>
    <t xml:space="preserve">Многослойные керамические конденсаторы - поверхностного монтажа 0402 3300pF 50V X7R 5% </t>
  </si>
  <si>
    <t>CC0402KRX7R6BB473</t>
  </si>
  <si>
    <t>CL10B104JB8NNNC</t>
  </si>
  <si>
    <t>CL21B105KBFNNNE</t>
  </si>
  <si>
    <t>SQP5-4R7JB5</t>
  </si>
  <si>
    <t>2023</t>
  </si>
  <si>
    <t>Резисторы с проволочной обмоткой – сквозное отверстие  (SQP 5 Вт 4,7Ом, 5%)</t>
  </si>
  <si>
    <t>GRM1555C2A1R5CA01D</t>
  </si>
  <si>
    <t>B82498F3180J001</t>
  </si>
  <si>
    <t xml:space="preserve">Катушки постоянной индуктивности SMT-INDUCTOR 0805 18NH 5% </t>
  </si>
  <si>
    <t>LLL153C80G105ME21D</t>
  </si>
  <si>
    <t>RFP100200-4X502</t>
  </si>
  <si>
    <t>LT12010T0050JBK</t>
  </si>
  <si>
    <t>RC0603FR-07154KL</t>
  </si>
  <si>
    <t>TPS74201RGWR</t>
  </si>
  <si>
    <t>https://search.murata.co.jp/Ceramy/image/img/A01X/G101/ENG/LLL153C80G105ME21-01.pdf</t>
  </si>
  <si>
    <t>TTM Technologies</t>
  </si>
  <si>
    <t>https://www.richardsonrfpd.com/docs/rfpd/RFP-100200-4X50-2.pdf</t>
  </si>
  <si>
    <t>RF Termination</t>
  </si>
  <si>
    <t xml:space="preserve">Резисторы высокочастотные/РЧ 50 Ohm 30W 5% 0Hz - 4GHz </t>
  </si>
  <si>
    <t>https://www.richardsonrfpd.com/docs/rfpd/resistive_products(1).pdf</t>
  </si>
  <si>
    <t>Толстопленочные резисторы – для поверхностного монтажа 0603 154K Ohm 1%</t>
  </si>
  <si>
    <t xml:space="preserve">LDO регуляторы напряжения 1.5A LDO w/ Prog Soft-Start </t>
  </si>
  <si>
    <t>https://www.ti.com/lit/ds/symlink/tps74201.pdf?HQS=dis-dk-null-digikeymode-dsf-pf-null-wwe&amp;ts=1656915864674</t>
  </si>
  <si>
    <t>EEE-FK1H470XP</t>
  </si>
  <si>
    <t>https://industrial.panasonic.com/cdbs/www-data/pdf/RDE0000/ABA0000C1181.pdf</t>
  </si>
  <si>
    <t xml:space="preserve">BP-214G/B </t>
  </si>
  <si>
    <t>2132</t>
  </si>
  <si>
    <t>2134</t>
  </si>
  <si>
    <t>Keystone Electronics</t>
  </si>
  <si>
    <t xml:space="preserve">Оборудование для печатных плат - PCB TEST POINT RED </t>
  </si>
  <si>
    <t>https://www.keyelco.com/userAssets/file/M65p56.pdf</t>
  </si>
  <si>
    <t xml:space="preserve">5000 красный контакт </t>
  </si>
  <si>
    <t xml:space="preserve">5001 черный контакт </t>
  </si>
  <si>
    <t xml:space="preserve">5002 серый контакт </t>
  </si>
  <si>
    <t xml:space="preserve">5004 желтый контакт </t>
  </si>
  <si>
    <t xml:space="preserve">Оборудование для печатных плат - PCB TEST POINT WHITE .040 </t>
  </si>
  <si>
    <t xml:space="preserve">Оборудование для печатных плат - PCB TEST POINT BLACK </t>
  </si>
  <si>
    <t xml:space="preserve">Оборудование для печатных плат - PCB TEST POINT YELLOW </t>
  </si>
  <si>
    <t>RC0402JR-073R3L</t>
  </si>
  <si>
    <t>AD9218BSTZ-105</t>
  </si>
  <si>
    <t>Аналого-цифровые преобразователи (АЦП) dual 10 bit 105/80/65 msps adc</t>
  </si>
  <si>
    <t>https://www.analog.com/media/en/technical-documentation/data-sheets/AD9218.pdf</t>
  </si>
  <si>
    <t>T495D686K020ATE150</t>
  </si>
  <si>
    <t>https://content.kemet.com/datasheets/KEM_T2009_T495.pdf</t>
  </si>
  <si>
    <t>KBP210</t>
  </si>
  <si>
    <t>YJ</t>
  </si>
  <si>
    <t>Диодный мост 2А 1000В</t>
  </si>
  <si>
    <t>https://static.chipdip.ru/lib/631/DOC012631321.pdf</t>
  </si>
  <si>
    <t>XFL3012-222ME</t>
  </si>
  <si>
    <t xml:space="preserve">Катушки постоянной индуктивности 2.2Uh Shld 1.9A 97mOhms AECQ2 </t>
  </si>
  <si>
    <t>https://www.coilcraft.com/getmedia/f76a3c9b-4fff-4397-8028-ef8e043eb200/xfl3012.pdf</t>
  </si>
  <si>
    <t>SPX1117M3-L-3-3/TR</t>
  </si>
  <si>
    <t xml:space="preserve">MaxLinear </t>
  </si>
  <si>
    <t xml:space="preserve">LDO регуляторы напряжения 800mALOW DROPOUT </t>
  </si>
  <si>
    <t>https://assets.maxlinear.com/web/documents/sipex/datasheets/spx1117.pdf</t>
  </si>
  <si>
    <t>MT46H32M32LFB5-5IT:B</t>
  </si>
  <si>
    <t>DRAM MOBILE DDR 1G 32MX32 FBGA\</t>
  </si>
  <si>
    <t>https://media.digikey.com/pdf/Data%20Sheets/Micron%20Technology%20Inc%20PDFs/MT46H_64M16LF,32M32LF,LG.pdf</t>
  </si>
  <si>
    <t>SA04-11SRWA</t>
  </si>
  <si>
    <t>2120</t>
  </si>
  <si>
    <t>Светодиодные дисплеи и аксессуары Single Red 640nm Common Anode</t>
  </si>
  <si>
    <t xml:space="preserve">Kingbright </t>
  </si>
  <si>
    <t>https://www.kingbrightusa.com/images/catalog/SPEC/SA04-11SRWA.pdf</t>
  </si>
  <si>
    <t>EPC2LI20</t>
  </si>
  <si>
    <t>0408</t>
  </si>
  <si>
    <t xml:space="preserve">PLLD1.27-06S 
(L-KLS1-207C-1.6-2-06-T3-5.5*3.0*0.6) </t>
  </si>
  <si>
    <t>Штыри двухрядные, 2x3 конт. шаг 1,27мм SMD, 6 контактов</t>
  </si>
  <si>
    <t>CC0402GRNPO9BN360</t>
  </si>
  <si>
    <t xml:space="preserve">Многослойные керамические конденсаторы - поверхностного монтажа 0402 36pF 50V C0G 2% </t>
  </si>
  <si>
    <t>CC1206JRNPO9BN392</t>
  </si>
  <si>
    <t xml:space="preserve">Многослойные керамические конденсаторы - поверхностного монтажа 1206 3900pF 50V COG 5% </t>
  </si>
  <si>
    <t xml:space="preserve">Стандартные соединители D-Sub 9P DSUB RECEPT TSDC </t>
  </si>
  <si>
    <t xml:space="preserve">HARTING </t>
  </si>
  <si>
    <t>https://b2b.harting.com/files/download/PRD/PDF_DS/PDF_DS_09670094715_EN.pdf</t>
  </si>
  <si>
    <t>MC7912ACD2TG</t>
  </si>
  <si>
    <t xml:space="preserve">Линейные регуляторы напряжения 12V 1A Negative </t>
  </si>
  <si>
    <t>https://www.onsemi.com/pdf/datasheet/mc7900-d.pdf</t>
  </si>
  <si>
    <t>LM2937ES-2.5/NOPB</t>
  </si>
  <si>
    <t xml:space="preserve">LDO регуляторы напряжения 400mA &amp; 500mA Vtg Reg </t>
  </si>
  <si>
    <t>https://www.ti.com/lit/ds/symlink/lm2937.pdf</t>
  </si>
  <si>
    <t>ST4ETA101</t>
  </si>
  <si>
    <t xml:space="preserve">Nidec </t>
  </si>
  <si>
    <t>https://www.nidec-copal-electronics.com/e/catalog/trimmer/st-4.pdf</t>
  </si>
  <si>
    <t>CRCW0201560RJNED</t>
  </si>
  <si>
    <t>https://www.vishay.com/docs/20052/crcw0201e3.pdf</t>
  </si>
  <si>
    <t>LQM18PN1R0MFRL</t>
  </si>
  <si>
    <t>https://search.murata.co.jp/Ceramy/image/img/P02/JELF243B-0033.pdf</t>
  </si>
  <si>
    <t>RT0603BRE07121RL</t>
  </si>
  <si>
    <t>Тонкопленочные резисторы – для поверхностного монтажа 0603 121 Ohm 0.1% 1/10W</t>
  </si>
  <si>
    <t>https://www.yageo.com/upload/media/product/productsearch/datasheet/rchip/PYu-RT_1-to-0.01_RoHS_L_12.pdf</t>
  </si>
  <si>
    <t xml:space="preserve">T-DS1071-SC600 </t>
  </si>
  <si>
    <t>Контакт для колодок DS1071-x*xxF/ I-DS1071-SCB0x*xx (ш. 2.54 мм) (поз.к.ч.)</t>
  </si>
  <si>
    <t>https://api.e-components.ru/api/item/t-ds-1071-sc000/doc/0</t>
  </si>
  <si>
    <t>SCL-28 (KLS1-216-28-D)</t>
  </si>
  <si>
    <t>1443</t>
  </si>
  <si>
    <t>Панелька для микросхемы (ширина 15.24мм, шаг 2.54мм)</t>
  </si>
  <si>
    <t>CGA9Q4C0G2W104J280KA</t>
  </si>
  <si>
    <t xml:space="preserve">TDK </t>
  </si>
  <si>
    <t>https://product.tdk.com/en/system/files?file=dam/doc/product/capacitor/ceramic/mlcc/catalog/mlcc_automotive_midvoltage_en.pdf</t>
  </si>
  <si>
    <t>RC0201FR-072K4L</t>
  </si>
  <si>
    <t>https://www.yageo.com/upload/media/product/productsearch/datasheet/rchip/PYu-RC_Group_51_RoHS_L_11.pdf</t>
  </si>
  <si>
    <t>RC0201FR-07300RL</t>
  </si>
  <si>
    <t xml:space="preserve">Толстопленочные резисторы – для поверхностного монтажа 0201 2.4k Ohms 1% </t>
  </si>
  <si>
    <t>Тонкопленочные резисторы – для поверхностного монтажа  0201 249 Ohms ±0.1%</t>
  </si>
  <si>
    <t xml:space="preserve">Толстопленочные резисторы – для поверхностного монтажа 0201 300 Ohms 1% </t>
  </si>
  <si>
    <t xml:space="preserve">Толстопленочные резисторы – для поверхностного монтажа 0201 560 Ohms 5% </t>
  </si>
  <si>
    <t>RC0201FR-0747RL</t>
  </si>
  <si>
    <t xml:space="preserve">Толстопленочные резисторы – для поверхностного монтажа 0201 47 Ohms 1% </t>
  </si>
  <si>
    <t>XAL6030-332MEC</t>
  </si>
  <si>
    <t xml:space="preserve">Катушки постоянной индуктивности 3.3uH Shld 20% 8A 20.81mOhms AECQ2 </t>
  </si>
  <si>
    <t>https://www.coilcraft.com/en-us/products/power/shielded-inductors/molded-inductor/xal/xal60xx/xal6030-332/</t>
  </si>
  <si>
    <t>RT0603BRD0756R2L</t>
  </si>
  <si>
    <t>Тонкопленочные резисторы – для поверхностного монтажа  0603 56.2 Ohm 0.1%</t>
  </si>
  <si>
    <t>RT0603BRD076K34L</t>
  </si>
  <si>
    <t>88E1111-B2-BAB1I000</t>
  </si>
  <si>
    <t>Marvell</t>
  </si>
  <si>
    <t xml:space="preserve">88E1111 Product Brief Integrated 10/100/1000 Ultra Gigabit Ethernet Transceive 
Document Classification: Proprietary Information Marvell. Moving Forward Faster  </t>
  </si>
  <si>
    <t>https://www.marvell.com/content/dam/marvell/en/public-collateral/phys-transceivers/marvell-phys-transceivers-alaska-88e1111-technical-product-brief.pdf</t>
  </si>
  <si>
    <t>PVG3A103C01R00</t>
  </si>
  <si>
    <t>https://www.bourns.com/docs/Product-Datasheets/pvg3.pdf</t>
  </si>
  <si>
    <t>2117</t>
  </si>
  <si>
    <t>Разъемы для печатной платы</t>
  </si>
  <si>
    <t>https://www.phoenixcontact.com/ru-kz/produkty/razyemy-dlya-pechatnoy-platy-mcvr-15-4-stf-35-1863327</t>
  </si>
  <si>
    <t>MAX13431EEUB+</t>
  </si>
  <si>
    <t xml:space="preserve">RS-485 Interface IC RS-485 Transceivers with Low-Voltage Logic Interface </t>
  </si>
  <si>
    <t>https://datasheets.maximintegrated.com/en/ds/MAX13430E-MAX13433E.pdf</t>
  </si>
  <si>
    <t>GRM155R71A474KE01D</t>
  </si>
  <si>
    <t>GRM155R61E225KE11D</t>
  </si>
  <si>
    <t>https://search.murata.co.jp/Ceramy/image/img/A01X/G101/ENG/GRM155R61E225KE11-01.pdf</t>
  </si>
  <si>
    <t>CL10A475KP8NNNC</t>
  </si>
  <si>
    <t>https://media.digikey.com/pdf/Data%20Sheets/Samsung%20PDFs/CL10A475KP8NNNC_Spec.pdf</t>
  </si>
  <si>
    <t>GRM155R71H563KE14D</t>
  </si>
  <si>
    <t>https://eu.mouser.com/datasheet/2/281/1/GRM155R71H563KE14_01A-1984453.pdf</t>
  </si>
  <si>
    <t>CC0402JRX7R9BB222</t>
  </si>
  <si>
    <t>Многослойные керамические конденсаторы - поверхностного монтажа 0402 2200pF 50V X7R 5%</t>
  </si>
  <si>
    <t>https://eu.mouser.com/datasheet/2/447/UPY_NP0X5R_01005_4V_to_25V_V10-3003057.pdf</t>
  </si>
  <si>
    <t>GRM1555C1H120GA01D</t>
  </si>
  <si>
    <t xml:space="preserve">Многослойные керамические конденсаторы - поверхностного монтажа 0402 12pF 50V C0G 2% </t>
  </si>
  <si>
    <t>https://eu.mouser.com/datasheet/2/281/1/GRM1555C1H120GA01_01A-1982688.pdf</t>
  </si>
  <si>
    <t>CC0603KRX5R6BB106</t>
  </si>
  <si>
    <t>CC0402JRX7R9BB102</t>
  </si>
  <si>
    <t>Многослойные керамические конденсаторы - поверхностного монтажа 0402 1000pF 50V X7R 5%</t>
  </si>
  <si>
    <t>CC0402JRX7R9BB472</t>
  </si>
  <si>
    <t xml:space="preserve">Многослойные керамические конденсаторы - поверхностного монтажа 0402 4700pF 50V X7R 5% </t>
  </si>
  <si>
    <t>CC0402GRNPO9BN101</t>
  </si>
  <si>
    <t xml:space="preserve">Многослойные керамические конденсаторы - поверхностного монтажа 0402 100pF 50V C0G 2% </t>
  </si>
  <si>
    <t>CL05B224KO5NNNC</t>
  </si>
  <si>
    <t>https://eu.mouser.com/ProductDetail/Samsung-Electro-Mechanics/CL05B224KO5NNNC?qs=X6jEic%2FHinCN6V6mK7LtLg%3D%3D</t>
  </si>
  <si>
    <t>CC0402JRX7R7BB104</t>
  </si>
  <si>
    <t>CL05B223KA5NNNC</t>
  </si>
  <si>
    <t>https://eu.mouser.com/datasheet/2/585/MLCC-1837944.pdf</t>
  </si>
  <si>
    <t>CL05B105KQ5NQNC</t>
  </si>
  <si>
    <t>Многослойные керамические конденсаторы - поверхностного монтажа 0402 18pF 50V C0G 2%</t>
  </si>
  <si>
    <t>GRM1555C2A4R7WA01</t>
  </si>
  <si>
    <t>http://www.mouser.com/ds/2/281/c02e-2905.pdf</t>
  </si>
  <si>
    <t>CL05A105KA5NQNC</t>
  </si>
  <si>
    <t>https://media.digikey.com/pdf/Data%20Sheets/Samsung%20PDFs/CL05B103JB5NNNC_Spec.pdf</t>
  </si>
  <si>
    <t>CL31A226KAHNNNE</t>
  </si>
  <si>
    <t>https://media.digikey.com/pdf/Data%20Sheets/Samsung%20PDFs/CL31B105KBHNNNE_Char.pdf</t>
  </si>
  <si>
    <t>CL32A107MPVNNNE</t>
  </si>
  <si>
    <t>https://media.digikey.com/pdf/Data%20Sheets/Samsung%20PDFs/CL32A107MPVNNNE_Spec.pdf</t>
  </si>
  <si>
    <t>74LCX14MTC</t>
  </si>
  <si>
    <t>Логическая ИС</t>
  </si>
  <si>
    <t>https://static.chipdip.ru/lib/940/DOC011940128.pdf</t>
  </si>
  <si>
    <t>BAT54S.215</t>
  </si>
  <si>
    <t>Диоды с барьером Шоттки, 200–500 мА</t>
  </si>
  <si>
    <t>https://static.chipdip.ru/lib/664/DOC012664030.pdf</t>
  </si>
  <si>
    <t>TPS70348PWP</t>
  </si>
  <si>
    <t>LDO регуляторы напряжения</t>
  </si>
  <si>
    <t>https://static.chipdip.ru/lib/060/DOC013060437.pdf</t>
  </si>
  <si>
    <t>РЭК94В РВИМ.647611.012-37</t>
  </si>
  <si>
    <t>АО НПК "Северная заря" ОТК</t>
  </si>
  <si>
    <t>https://eandc.ru/pdf/rele/rek94.pdf</t>
  </si>
  <si>
    <t>SN74HC688DW</t>
  </si>
  <si>
    <t xml:space="preserve">Логические компараторы 8bit Identity </t>
  </si>
  <si>
    <t>https://www.ti.com/lit/ds/symlink/sn74hc688.pdf</t>
  </si>
  <si>
    <t>CR01005-FW-1000GLF</t>
  </si>
  <si>
    <t xml:space="preserve">Толстопленочные резисторы – для поверхностного монтажа 01005 100R 1% 31mW TC200 </t>
  </si>
  <si>
    <t>https://www.bourns.com/docs/product-datasheets/cr.pdf</t>
  </si>
  <si>
    <t xml:space="preserve">ALXD800EEXJ2VF </t>
  </si>
  <si>
    <t xml:space="preserve">BZX55C30 </t>
  </si>
  <si>
    <t>2128</t>
  </si>
  <si>
    <t>2123, 2128</t>
  </si>
  <si>
    <t xml:space="preserve">ERA3AEB4751V </t>
  </si>
  <si>
    <t>https://industrial.panasonic.com/sa/products/pt/high-precision-chip-resistors/models/ERA3AEB4751V</t>
  </si>
  <si>
    <t>ADL5542ACPZ-R7</t>
  </si>
  <si>
    <t>РЧ-усилитель DC to 6GHz 20dB Gain</t>
  </si>
  <si>
    <t>https://www.analog.com/media/en/technical-documentation/data-sheets/adl5542.pdf</t>
  </si>
  <si>
    <t>Резисторы многооборотные проволочные переменные 2 Вт  5%
Функциональная характеристика: линейная
Количество оборотов: 5 (1800 гр).  Диапазон рабочих температур: -55… 100°С
Максимальное напряжение: 160 В, Способ монтажа проводников: пайка, Способ монтажа: крепление гайкой М8</t>
  </si>
  <si>
    <t>SKC</t>
  </si>
  <si>
    <t>Кварцевый резонатор 11.0592MHz 30ppm 16pF</t>
  </si>
  <si>
    <t>HC-49U 11.0592MHz</t>
  </si>
  <si>
    <t xml:space="preserve">Многослойные керамические конденсаторы - поверхностного монтажа 0402 2.2pF 50V C0G +/-0.05pF </t>
  </si>
  <si>
    <t>Многослойные керамические конденсаторы - поверхностного монтажа 0402 4.7pF 100V C0G 5%</t>
  </si>
  <si>
    <t xml:space="preserve">Многослойные керамические конденсаторы - поверхностного монтажа 0603 150pF 50V C0G 5% </t>
  </si>
  <si>
    <t xml:space="preserve">Многослойные керамические конденсаторы - поверхностного монтажа 0603 180pF 50V C0G 5% </t>
  </si>
  <si>
    <t>Толстопленочные резисторы – для поверхностного монтажа 0402 24 Ohm 1%</t>
  </si>
  <si>
    <t>Толстопленочные резисторы – для поверхностного монтажа 0402 43.2 Ohms 1% AEC-Q200</t>
  </si>
  <si>
    <t>IRLML2502TRPBF</t>
  </si>
  <si>
    <t xml:space="preserve">МОП-транзистор MOSFT 20V 4.2A 45mOhm 8nC Log Lvl </t>
  </si>
  <si>
    <t>https://www.infineon.com/dgdl/irlml2502pbf-1.pdf?fileId=5546d462533600a4015356680e672608</t>
  </si>
  <si>
    <t>WXD3-12-2W-10K</t>
  </si>
  <si>
    <t>DS1722S+</t>
  </si>
  <si>
    <t xml:space="preserve">Термореле Digital Thermometer with SPI/3-Wire Interface </t>
  </si>
  <si>
    <t>S29GL064N90TFI040</t>
  </si>
  <si>
    <t>2022</t>
  </si>
  <si>
    <t>Флеш-память NOR 64Mb 3V 90ns Parallel</t>
  </si>
  <si>
    <t xml:space="preserve">Cypress </t>
  </si>
  <si>
    <t>https://www.infineon.com/dgdl/Infineon-S29GL064N_S29GL032N_64_Mbit_32_Mbit_3_V_Page_Mode_MirrorBit_Flash-DataSheet-v03_00-EN.pdf?fileId=8ac78c8c7d0d8da4017d0ed556fd548b</t>
  </si>
  <si>
    <t>MAX1623EAP+</t>
  </si>
  <si>
    <t xml:space="preserve">Импульсные регуляторы напряжения 3A, Low-Voltage, Step-Down Regulator with Synchronous Rectification and Internal Switches </t>
  </si>
  <si>
    <t>https://datasheets.maximintegrated.com/en/ds/MAX1623.pdf</t>
  </si>
  <si>
    <t>RM84-2012-35-1024</t>
  </si>
  <si>
    <t>Altech</t>
  </si>
  <si>
    <t>https://eu.mouser.com/datasheet/2/16/RM84-RM85-RM87-612793.pdf</t>
  </si>
  <si>
    <t>Промышленные реле Miniature relay, DPDT</t>
  </si>
  <si>
    <t xml:space="preserve">EPF10K20RI208-4 </t>
  </si>
  <si>
    <t>1719</t>
  </si>
  <si>
    <t>AD8519AKSZ-REEL7</t>
  </si>
  <si>
    <t xml:space="preserve">Операционные усилители SINGLE 16V 35mA CBCMOS AMPLIFIER </t>
  </si>
  <si>
    <t>https://www.analog.com/media/en/technical-documentation/data-sheets/AD8519_8529.pdf</t>
  </si>
  <si>
    <t>AD9233BCPZ-105</t>
  </si>
  <si>
    <t xml:space="preserve">Аналого-цифровые преобразователи (АЦП) 1.8V 12Bit 105 Msps ADC </t>
  </si>
  <si>
    <t>https://www.analog.com/media/en/technical-documentation/data-sheets/ad9233.pdf</t>
  </si>
  <si>
    <t>L-KLS1-218-1-40-S-3*6*19 (PLH-40)</t>
  </si>
  <si>
    <t>Штыри однорядные межплатные с шагом 2.54мм (3.0*6.0*17.0mm)</t>
  </si>
  <si>
    <t>https://files.rct.ru/pdf/connectors/plhd_plh_01.pdf</t>
  </si>
  <si>
    <t>GRM0335C1H3R9WA01D</t>
  </si>
  <si>
    <t>Многослойные керамические конденсаторы - поверхностного монтажа 0201 3.9pF 50V COG 0.05pF</t>
  </si>
  <si>
    <t xml:space="preserve">Многослойные керамические конденсаторы - поверхностного монтажа 0201 4700pF 25V X7R 10% </t>
  </si>
  <si>
    <t xml:space="preserve">Многослойные керамические конденсаторы - поверхностного монтажа 0201 1000pF 25V X7R 10% </t>
  </si>
  <si>
    <t xml:space="preserve">Многослойные керамические конденсаторы - поверхностного монтажа 0201 9.0pF 50V C0G 0.1pF </t>
  </si>
  <si>
    <t>WP113HDT</t>
  </si>
  <si>
    <t xml:space="preserve">Стандартные светодиоды - Сквозного монтажа RED DIFFUSED </t>
  </si>
  <si>
    <t>https://www.kingbrightusa.com/images/catalog/SPEC/WP113HDT.pdf</t>
  </si>
  <si>
    <t>T491D156K025AT</t>
  </si>
  <si>
    <t>https://eu.mouser.com/datasheet/2/212/1/KEM_T2005_T491-1093550.pdf</t>
  </si>
  <si>
    <t>GRM155R71E123JA61D</t>
  </si>
  <si>
    <t>CC0603JRX7R9BB104</t>
  </si>
  <si>
    <t xml:space="preserve">2EDGKM-3.5-4P 
(аналог MCVR 1.5/4-STF-3.5, арт. 1863327) </t>
  </si>
  <si>
    <t>2EDGKM-3.5-2P 
(аналог MC 1.5/2-STF-3.5, арт. 1847055)</t>
  </si>
  <si>
    <t>https://files.rct.ru/pdf/terminal-block/2edgvm-5.0.pdf</t>
  </si>
  <si>
    <t>2EDGVM-5-0-2P 
(аналог MSTBV 2,5/ 2-GF арт.1776883)</t>
  </si>
  <si>
    <t>GRM155R72A222KA01D</t>
  </si>
  <si>
    <t>Многослойные керамические конденсаторы - поверхностного монтажа 0402 2200pF 100V X7R 10%</t>
  </si>
  <si>
    <t>KTS251B225M76N0T00</t>
  </si>
  <si>
    <t xml:space="preserve">United Chemi-Con (UCC) </t>
  </si>
  <si>
    <t>https://media.digikey.com/pdf/Data%20Sheets/United%20Chemi-Con%20PDFs/NTS_NTF_Series_E1002W.pdf</t>
  </si>
  <si>
    <t>ERA-6AEB1962V</t>
  </si>
  <si>
    <t>https://industrial.panasonic.com/cdbs/www-data/pdf/RDM0000/AOA0000C307.pdf</t>
  </si>
  <si>
    <t>1:1 CORE &amp; WIRE Transformer, 0.08 - 200 MHz, 50Ω</t>
  </si>
  <si>
    <t>https://www.minicircuits.com/WebStore/dashboard.html?model=T1-1T-X65%2B</t>
  </si>
  <si>
    <t>LAT-5+</t>
  </si>
  <si>
    <t>2151</t>
  </si>
  <si>
    <t>5 dB SMT Fixed Attenuator, DC - 2500 MHz, 50Ω</t>
  </si>
  <si>
    <t>https://www.minicircuits.com/WebStore/dashboard.html?model=LAT-5%2B</t>
  </si>
  <si>
    <t>M3SWA-2-50DRA+</t>
  </si>
  <si>
    <t>https://www.minicircuits.com/WebStore/dashboard.html?model=M3SWA-2-50DRA%2B</t>
  </si>
  <si>
    <t>Absorptive SPDT, SMT Solid State Switch, 500 - 4500 MHz, 50Ω</t>
  </si>
  <si>
    <t>CC0402JRX7R9BB473</t>
  </si>
  <si>
    <t>https://files.rct.ru/pdf/connectors/pld-r_pls-r-01.pdf</t>
  </si>
  <si>
    <t>PLD-24R (DS1021-2x12R), Вилка штыревая 2.54мм 2х12pin угловая</t>
  </si>
  <si>
    <t>2217, 2226</t>
  </si>
  <si>
    <t>SZ1SMA5920BT3G</t>
  </si>
  <si>
    <t xml:space="preserve">Стабилитроны ZEN SMA REG 1.5W 6.2V TR </t>
  </si>
  <si>
    <t>https://www.onsemi.com/pdf/datasheet/1sma5913bt3-d.pdf</t>
  </si>
  <si>
    <t>onsemi</t>
  </si>
  <si>
    <t>ERA-3AEB201V</t>
  </si>
  <si>
    <t>39-29-9042</t>
  </si>
  <si>
    <t>2143</t>
  </si>
  <si>
    <t xml:space="preserve">Проводные клеммы и зажимы 4 CKT VERT HEADER </t>
  </si>
  <si>
    <t>https://www.molex.com/pdm_docs/ps/PS-5556-001.pdf</t>
  </si>
  <si>
    <t>ECS-1612MV-080-CN-TR</t>
  </si>
  <si>
    <t xml:space="preserve">Стандартные тактовые генераторы 8MHz CMOS 1.6-3.6V </t>
  </si>
  <si>
    <t xml:space="preserve">ECS </t>
  </si>
  <si>
    <t>https://ecsxtal.com/store/pdf/ECS-1612MV.pdf</t>
  </si>
  <si>
    <t>CC0805JRNPOABN560</t>
  </si>
  <si>
    <t>Многослойные керамические конденсаторы - поверхностного монтажа 0805 56pF 200V COG 5%</t>
  </si>
  <si>
    <t>https://www.yageo.com/upload/media/product/products/datasheet/mlcc/UPY-NP0X7R_MV_100-to-630V_21.pdf</t>
  </si>
  <si>
    <t>CC0402KRX7R9BB103</t>
  </si>
  <si>
    <t>CC0402KRX7R9BB221</t>
  </si>
  <si>
    <t>Многослойные керамические конденсаторы - поверхностного монтажа 0402 220pF 50V X7R 10%</t>
  </si>
  <si>
    <t>CC0603KRX7R7BB104</t>
  </si>
  <si>
    <t>CL10B105KO8NNNC</t>
  </si>
  <si>
    <t>CL32B106KOJNNNE</t>
  </si>
  <si>
    <t>GRM32DR71C106KA01L</t>
  </si>
  <si>
    <t>AD8009ARZ-REEL7</t>
  </si>
  <si>
    <t xml:space="preserve">Быстродействующие операционные усилители SOIC 1GHz, 5500V/uS Low Distortion Amp </t>
  </si>
  <si>
    <t>https://www.analog.com/media/en/technical-documentation/data-sheets/AD8009.pdf</t>
  </si>
  <si>
    <t>GRM32DR72J333KW01L</t>
  </si>
  <si>
    <t xml:space="preserve">Многослойные керамические конденсаторы - поверхностного монтажа 1210 0.033µF 630V X7R 10% </t>
  </si>
  <si>
    <t>https://search.murata.co.jp/Ceramy/image/img/A01X/G101/ENG/GRM32DR72J333KW01-01.pdf</t>
  </si>
  <si>
    <t>CC0805JRNPO9BN200</t>
  </si>
  <si>
    <t>Многослойные керамические конденсаторы - поверхностного монтажа 0805 2000pF 1kV COG 5%</t>
  </si>
  <si>
    <t>CC0805JRNPO9BN470</t>
  </si>
  <si>
    <t>Многослойные керамические конденсаторы - поверхностного монтажа 0805 47pF 50V COG 5%</t>
  </si>
  <si>
    <t>CC0805JRNPO9BN820</t>
  </si>
  <si>
    <t>CC0805KKX7RYBB103</t>
  </si>
  <si>
    <t>CC0805KRX7R0BB332</t>
  </si>
  <si>
    <t>Многослойные керамические конденсаторы - поверхностного монтажа 0805 3300pF 50V X7R 10%</t>
  </si>
  <si>
    <t>CC0805KRX7R9BB473</t>
  </si>
  <si>
    <t>https://www.yageo.com/upload/media/product/productsearch/datasheet/mlcc/UPY-GP_NP0_16V-to-50V_18.pdf</t>
  </si>
  <si>
    <t>CC1206KRX7R9BB334</t>
  </si>
  <si>
    <t>CC1812KKX7R9BB105</t>
  </si>
  <si>
    <t>CL21C102JBCNNNC</t>
  </si>
  <si>
    <t xml:space="preserve">Многослойные керамические конденсаторы - поверхностного монтажа 0805 1000pF 50V COG 5% </t>
  </si>
  <si>
    <t>https://www.samsungsem.com/resources/file/global/support/product_catalog/MLCC.pdf</t>
  </si>
  <si>
    <t>2142, 2146</t>
  </si>
  <si>
    <t>CC0402JRNPO9BN102</t>
  </si>
  <si>
    <t>CC0402KRX7R8BB104</t>
  </si>
  <si>
    <t>CC0402KRX7R9BB104</t>
  </si>
  <si>
    <t>CC0603KRX5R9BB105</t>
  </si>
  <si>
    <t>https://www.yageo.com/upload/media/product/productsearch/datasheet/mlcc/UPY-GPHC_X5R_4V-to-50V_26.pdf</t>
  </si>
  <si>
    <t>CC0603KRX7R6BB105</t>
  </si>
  <si>
    <t>CC0603KRX7R6BB224</t>
  </si>
  <si>
    <t>CC0603KRX7R9BB104</t>
  </si>
  <si>
    <t>2110, 2118</t>
  </si>
  <si>
    <t>CL32B106KAJNNNE</t>
  </si>
  <si>
    <t xml:space="preserve">T1-1T-X65+ </t>
  </si>
  <si>
    <t>CC0402GRNPO9BN180</t>
  </si>
  <si>
    <t>RT0603BRD072K26L</t>
  </si>
  <si>
    <t xml:space="preserve">Тонкопленочные резисторы – для поверхностного монтажа  0603 2.26K Оhm 0.1% 25ppm 1/10W </t>
  </si>
  <si>
    <t>RT0603BRE0710KL</t>
  </si>
  <si>
    <t xml:space="preserve">Тонкопленочные резисторы – для поверхностного монтажа  0603 10K Ohm 0.1% 1/10W 75V 50ppm </t>
  </si>
  <si>
    <t>GRM21BR71H683KA01L</t>
  </si>
  <si>
    <t xml:space="preserve">Многослойные керамические конденсаторы - поверхностного монтажа 0805 0.068µF 50V X7R 10%  </t>
  </si>
  <si>
    <t>https://search.murata.co.jp/Ceramy/image/img/A01X/G101/ENG/GRM21BR71H683KA01-01.pdf</t>
  </si>
  <si>
    <t>RT0603BRD0749R9L</t>
  </si>
  <si>
    <t>Тонкопленочные резисторы – для поверхностного монтажа 0603 49.9 Ohm 0.1% 10ppm CUT LENGTH</t>
  </si>
  <si>
    <t>ERA3AEB4990V</t>
  </si>
  <si>
    <t xml:space="preserve">Тонкопленочные резисторы – для поверхностного монтажа  0603 4.75K Ohm 0.1% 25ppm </t>
  </si>
  <si>
    <t xml:space="preserve">Тонкопленочные резисторы – для поверхностного монтажа  0603 499 Ohm 0.1% 25ppm </t>
  </si>
  <si>
    <t>Тонкопленочные резисторы – для поверхностного монтажа 0603 49.9 Ohm 0.1% 25ppm 1/10W</t>
  </si>
  <si>
    <t>RT0805BRD074K02L</t>
  </si>
  <si>
    <t xml:space="preserve">Тонкопленочные резисторы – для поверхностного монтажа 0805  4.02K Ohm 0.1% 25ppm 1/8W </t>
  </si>
  <si>
    <t xml:space="preserve">Толстопленочные резисторы – для поверхностного монтажа 0805 4.22K Ohm 1% </t>
  </si>
  <si>
    <t>Толстопленочные резисторы – для поверхностного монтажа 0805 43K Ohm 5%</t>
  </si>
  <si>
    <t xml:space="preserve">Толстопленочные резисторы – для поверхностного монтажа 0805 4.53К Ohm 1% </t>
  </si>
  <si>
    <t xml:space="preserve">Многослойные керамические конденсаторы - поверхностного монтажа 0402 150pF 50V C0G 5% </t>
  </si>
  <si>
    <t xml:space="preserve">CC0402JRNPO9BN151 </t>
  </si>
  <si>
    <t>CC0805JRNPO9BN560</t>
  </si>
  <si>
    <t>Многослойные керамические конденсаторы - поверхностного монтажа 0805 56pF 50V COG 5%</t>
  </si>
  <si>
    <t>RC0603FR-077R5L</t>
  </si>
  <si>
    <t xml:space="preserve">Толстопленочные резисторы – для поверхностного монтажа 0603 7.5 Ohm 1% </t>
  </si>
  <si>
    <t xml:space="preserve">Толстопленочные резисторы – для поверхностного монтажа 0603 7.5K Ohm 1% </t>
  </si>
  <si>
    <t xml:space="preserve">Толстопленочные резисторы – для поверхностного монтажа 0603 8.2 Ohm 5% </t>
  </si>
  <si>
    <t>RC0805JR-07180RL</t>
  </si>
  <si>
    <t>Толстопленочные резисторы – для поверхностного монтажа 0805 180 Ohm 5%</t>
  </si>
  <si>
    <t>RT0603BRD07365RL</t>
  </si>
  <si>
    <t xml:space="preserve">Тонкопленочные резисторы – для поверхностного монтажа 0603 365 Ohm 0.1% 25ppm 1/10W 10% </t>
  </si>
  <si>
    <t>CAT16-470J4LF</t>
  </si>
  <si>
    <t>1729</t>
  </si>
  <si>
    <t>https://www.bourns.com/docs/Product-Datasheets/CATCAY.pdf</t>
  </si>
  <si>
    <t>ES1D</t>
  </si>
  <si>
    <t>Диод импульсный 200В 1А SMA (DO-214AC)</t>
  </si>
  <si>
    <t>Hottech</t>
  </si>
  <si>
    <t>https://office.promelec.ru/upload/items/2020/11/24/ES1A-ES1M_Hottech_.pdf</t>
  </si>
  <si>
    <t xml:space="preserve">TAJA225K016RNJ </t>
  </si>
  <si>
    <t>TAJA106K016RNJ</t>
  </si>
  <si>
    <t>CL05C151JB5NNNC</t>
  </si>
  <si>
    <t>https://media.digikey.com/pdf/Data%20Sheets/Samsung%20PDFs/CL05C151JB5NNNC_Spec.pdf</t>
  </si>
  <si>
    <t>KLS1-207-1-02-S (PLS-2)</t>
  </si>
  <si>
    <t>https://www.compel.ru/item-pdf/2ca05892a5bb3eb7a0e3e30c732d9f5e/ps/kls~kls1-207.pdf</t>
  </si>
  <si>
    <t>Штыри на плату однорядные шаг 2.54мм</t>
  </si>
  <si>
    <t>RC0402JR-071K5L</t>
  </si>
  <si>
    <t xml:space="preserve">84533-4 </t>
  </si>
  <si>
    <t>Соединители FFC и FPC POST PLATED R/A 4P 1.25mm</t>
  </si>
  <si>
    <t>https://www.te.com/commerce/DocumentDelivery/DDEController?Action=srchrtrv&amp;DocNm=84533&amp;DocType=Customer+Drawing&amp;DocLang=English</t>
  </si>
  <si>
    <t>CLF12577NIT-150M-D</t>
  </si>
  <si>
    <t>Силовые индукторы - поверхностный монтаж 15uH +/-20% AECQ200 -55 to +150C</t>
  </si>
  <si>
    <t>https://product.tdk.com/system/files/dam/doc/product/inductor/inductor/smd/catalog/inductor_automotive_power_clf12577ni-d_en.pdf</t>
  </si>
  <si>
    <t>CLF12577NIT-470M-D</t>
  </si>
  <si>
    <t>Силовые индукторы - поверхностный монтаж 47uH +/-20% AECQ200 -55 to +150C</t>
  </si>
  <si>
    <t>62684-502100ALF</t>
  </si>
  <si>
    <t xml:space="preserve">FCI / Amphenol </t>
  </si>
  <si>
    <t>https://cdn.amphenol-cs.com/media/wysiwyg/files/drawing/62684.pdf</t>
  </si>
  <si>
    <t xml:space="preserve">Соединители FFC и FPC 50P UPPER SIDE ENTRY W/O CABLE LOCK </t>
  </si>
  <si>
    <t>CC0805CRNPO9BN1R0</t>
  </si>
  <si>
    <t>Многослойные керамические конденсаторы - поверхностного монтажа 0805 1pF 50V COG 0.25pF</t>
  </si>
  <si>
    <t>CC0805JRNPO9BN100</t>
  </si>
  <si>
    <t>Многослойные керамические конденсаторы - поверхностного монтажа 0805 10pF 50V COG 5%</t>
  </si>
  <si>
    <t>CC0805JRNPO9BN120</t>
  </si>
  <si>
    <t>CC0603JRNPO9BN131</t>
  </si>
  <si>
    <t xml:space="preserve">Многослойные керамические конденсаторы - поверхностного монтажа 0603 130pF 50V COG 5% </t>
  </si>
  <si>
    <t>CC0805JRNPO9BN150</t>
  </si>
  <si>
    <t>Многослойные керамические конденсаторы - поверхностного монтажа 0805 15pF 50V C0G 5%</t>
  </si>
  <si>
    <t>GRM2165C1H161JA01D</t>
  </si>
  <si>
    <t>Многослойные керамические конденсаторы - поверхностного монтажа 0805 160pF 50V C0G 5%</t>
  </si>
  <si>
    <t>CC0805JRNPO9BN180</t>
  </si>
  <si>
    <t>Многослойные керамические конденсаторы - поверхностного монтажа 0805 18pF 50V C0G 5%</t>
  </si>
  <si>
    <t>GRM2165C1H182JA01D</t>
  </si>
  <si>
    <t>Многослойные керамические конденсаторы - поверхностного монтажа 0805 1800pF 50V C0G 5%</t>
  </si>
  <si>
    <t>CC0805JRNPO9BN201</t>
  </si>
  <si>
    <t>Многослойные керамические конденсаторы - поверхностного монтажа 0805 200pF 50V COG 5%</t>
  </si>
  <si>
    <t>Многослойные керамические конденсаторы - поверхностного монтажа 0805 20pF 50V COG 5%</t>
  </si>
  <si>
    <t>Многослойные керамические конденсаторы - поверхностного монтажа 0805 22pF 50V C0G 5%</t>
  </si>
  <si>
    <t>CC0805JRNPO9BN220</t>
  </si>
  <si>
    <t>Многослойные керамические конденсаторы - поверхностного монтажа 0805 22pF 50V COG 5%</t>
  </si>
  <si>
    <t>CC0805JRNPO9BN221</t>
  </si>
  <si>
    <t>Многослойные керамические конденсаторы - поверхностного монтажа 0805 220pF 50V COG 5%</t>
  </si>
  <si>
    <t>CC0805KKX7R9BB224</t>
  </si>
  <si>
    <t>Многослойные керамические конденсаторы - поверхностного монтажа 0805 0.22µF 50V X7R 10%</t>
  </si>
  <si>
    <t>CL21C270JBANNNC</t>
  </si>
  <si>
    <t>Многослойные керамические конденсаторы - поверхностного монтажа 0805 27pF 50V C0G 5%</t>
  </si>
  <si>
    <t>CC0805JRNPO9BN300</t>
  </si>
  <si>
    <t>Многослойные керамические конденсаторы - поверхностного монтажа 0805 30pF 50V COG 5%</t>
  </si>
  <si>
    <t>CC0805JRNPO9BN330</t>
  </si>
  <si>
    <t>Многослойные керамические конденсаторы - поверхностного монтажа 0805 33pF 50V COG 5%</t>
  </si>
  <si>
    <t>CC0805JRNPO9BN561</t>
  </si>
  <si>
    <t>Многослойные керамические конденсаторы - поверхностного монтажа 0805 560pF 50V COG 5%</t>
  </si>
  <si>
    <t>GRM2165C1H272JA01D</t>
  </si>
  <si>
    <t>CC0805JRNPO9BN360</t>
  </si>
  <si>
    <t>CC0805JRNPO9BN390</t>
  </si>
  <si>
    <t>Многослойные керамические конденсаторы - поверхностного монтажа 0805 39pF 50V COG 5%</t>
  </si>
  <si>
    <t>Многослойные керамические конденсаторы - поверхностного монтажа 0805 36pF 50V COG 5%</t>
  </si>
  <si>
    <t>CC0805CRNPO9BN3R0</t>
  </si>
  <si>
    <t>CC0805CRNPO9BN3R3</t>
  </si>
  <si>
    <t>CC0805CRNPO9BN4R3</t>
  </si>
  <si>
    <t>CC0805CRNPO9BN4R7</t>
  </si>
  <si>
    <t>GRM2195C1H562JA01D</t>
  </si>
  <si>
    <t>CC0805CRNPO9BN5R6</t>
  </si>
  <si>
    <t>CC0805CRNPO9BN8R2</t>
  </si>
  <si>
    <t>CC0402JRNPO9BN151</t>
  </si>
  <si>
    <t>GRM2165C1H151JA01D</t>
  </si>
  <si>
    <t xml:space="preserve">Многослойные керамические конденсаторы - поверхностного монтажа 0805 4.3pF 50V COG 0.25pF </t>
  </si>
  <si>
    <t xml:space="preserve">Многослойные керамические конденсаторы - поверхностного монтажа 0805 3.3pF 50V COG 0.25pF </t>
  </si>
  <si>
    <t xml:space="preserve">Многослойные керамические конденсаторы - поверхностного монтажа 0805 3.6pF  50V C0G +/-0.1pF </t>
  </si>
  <si>
    <t xml:space="preserve">Многослойные керамические конденсаторы - поверхностного монтажа 0805 3pF 50V COG 0.25pF </t>
  </si>
  <si>
    <t xml:space="preserve">Многослойные керамические конденсаторы - поверхностного монтажа 0805 4.7pF 50V COG 0.25pF </t>
  </si>
  <si>
    <t>Многослойные керамические конденсаторы - поверхностного монтажа 0805 5600pF 50V COG 5%</t>
  </si>
  <si>
    <t>Многослойные керамические конденсаторы - поверхностного монтажа 0805 5.6pF 50V C0G ±0.25pF</t>
  </si>
  <si>
    <t>Многослойные керамические конденсаторы - поверхностного монтажа 0805 8.2pF 50V C0G ±0.25pF</t>
  </si>
  <si>
    <t>Многослойные керамические конденсаторы - поверхностного монтажа 0805 2700pF 50V C0G 5%</t>
  </si>
  <si>
    <t>2043</t>
  </si>
  <si>
    <t>BC847C,215</t>
  </si>
  <si>
    <t>https://assets.nexperia.com/documents/data-sheet/BC847X_SER.pdf</t>
  </si>
  <si>
    <t>CC0805KPX7R9BB104</t>
  </si>
  <si>
    <t>PHV12-1.0K5000N</t>
  </si>
  <si>
    <t>Bellnix Co., Ltd.</t>
  </si>
  <si>
    <t>Преобразователи постоянного тока в постоянный без изоляции   
High Voltage - Non-Isolated Module DC DC Converter 1 Output -1000V 5mA 10.8V - 16.5V Input</t>
  </si>
  <si>
    <t>https://www.bellnix.com/pdf/PHV5W.pdf</t>
  </si>
  <si>
    <t>RC0402FR-07182RL</t>
  </si>
  <si>
    <t>UHE1C471MPD6TD</t>
  </si>
  <si>
    <t xml:space="preserve">Nichicon </t>
  </si>
  <si>
    <t>https://www.nichicon.co.jp/english/products/pdfs/e-uhe.pdf</t>
  </si>
  <si>
    <t>Многослойные керамические конденсаторы - поверхностного монтажа 0805 150pF 50V C0G 5%</t>
  </si>
  <si>
    <t>GRM55DR72E105KW01L</t>
  </si>
  <si>
    <t>https://search.murata.co.jp/Ceramy/image/img/A01X/G101/ENG/GRM55DR72E105KW01-01.pdf</t>
  </si>
  <si>
    <t>RC0805JR-072K4L</t>
  </si>
  <si>
    <t>TAJD107K016RNJ</t>
  </si>
  <si>
    <t>TAJB106K016RNJ</t>
  </si>
  <si>
    <t>TAJB106K010RNJ</t>
  </si>
  <si>
    <t>RT0805BRD072K67L</t>
  </si>
  <si>
    <t>https://eu.mouser.com/datasheet/2/447/PYu_RT_1_to_0_01_RoHS_L_12-3003070.pdf</t>
  </si>
  <si>
    <t>ERA-6AEB2371V</t>
  </si>
  <si>
    <t>RT0805BRD074K53L</t>
  </si>
  <si>
    <t xml:space="preserve">Тонкопленочные резисторы – для поверхностного монтажа 0805  4.53K Оhm 0.1% 150V 25ppm 1/8W </t>
  </si>
  <si>
    <t>GRM2195C1H682JA01D</t>
  </si>
  <si>
    <t>Многослойные керамические конденсаторы - поверхностного монтажа 0805 6800pF 50V COG 5%</t>
  </si>
  <si>
    <t>RC0805JR-074K3L</t>
  </si>
  <si>
    <t>Толстопленочные резисторы – для поверхностного монтажа 0805 4.3K Ohm 5%</t>
  </si>
  <si>
    <t>RT0603BRD07511RL</t>
  </si>
  <si>
    <t xml:space="preserve">Тонкопленочные резисторы – для поверхностного монтажа 0603  511 Ohm 0.1% 25ppm 1/10W 10% </t>
  </si>
  <si>
    <t>RT0603BRD0715K4L</t>
  </si>
  <si>
    <t xml:space="preserve">Тонкопленочные резисторы – для поверхностного монтажа  0603 15.4K Оhm 0.1% 25ppm 1/10W </t>
  </si>
  <si>
    <t>RT0603BRD072K37L</t>
  </si>
  <si>
    <t xml:space="preserve">Тонкопленочные резисторы – для поверхностного монтажа  0603 2.37K Оhm 0.1% 25ppm 1/10W </t>
  </si>
  <si>
    <t xml:space="preserve">Тонкопленочные резисторы – для поверхностного монтажа  0805 2.67K Ohm 0.1% 200V 10PPM 0.1W </t>
  </si>
  <si>
    <t xml:space="preserve">Тонкопленочные резисторы – для поверхностного монтажа  0805 2.67K Оhm 0.1% 150V 25ppm 1/8W </t>
  </si>
  <si>
    <t>RT0805BRD0724R9L</t>
  </si>
  <si>
    <t xml:space="preserve">Тонкопленочные резисторы – для поверхностного монтажа  0805 24.9 Оhm 0.1% 150V 25ppm 1/8W </t>
  </si>
  <si>
    <t xml:space="preserve">Тонкопленочные резисторы – для поверхностного монтажа  0805 2.37K Оhm 0.1% 150V 25ppm 1/8W </t>
  </si>
  <si>
    <t>RT0603BRD07200RL</t>
  </si>
  <si>
    <t xml:space="preserve">Тонкопленочные резисторы – для поверхностного монтажа  0603 200 Оhm 0.1% 25ppm 1/10W </t>
  </si>
  <si>
    <t xml:space="preserve">Тонкопленочные резисторы – для поверхностного монтажа  0603 200 Ohm 0.1% 25ppm 1/10W </t>
  </si>
  <si>
    <t xml:space="preserve">Тонкопленочные резисторы – для поверхностного монтажа  0603 200 Ohm 0,1% 10ppm 1/16W </t>
  </si>
  <si>
    <t>Толстопленочные резисторы – для поверхностного монтажа 0603 20K Ohm 1%</t>
  </si>
  <si>
    <t>C1210C684K5RACAUTO</t>
  </si>
  <si>
    <t>CL21B224KBFNNNE</t>
  </si>
  <si>
    <t>Многослойные керамические конденсаторы - поверхностного монтажа 0805 680pF 50V COG 5%</t>
  </si>
  <si>
    <t>CC0805JRNPO9BN681</t>
  </si>
  <si>
    <t>AD8016ARP</t>
  </si>
  <si>
    <t>2/0 Driver xDSL 20-PowerSOIC</t>
  </si>
  <si>
    <t>https://www.analog.com/media/en/technical-documentation/data-sheets/AD8016.pdf</t>
  </si>
  <si>
    <t>ADT4-1WT+</t>
  </si>
  <si>
    <t>2218</t>
  </si>
  <si>
    <t>https://www.minicircuits.com/pdfs/ADT4-1WT+.pdf</t>
  </si>
  <si>
    <t>Lumped LC Band Pass Filter, 1700 - 2200 MHz, 50Ω</t>
  </si>
  <si>
    <t>https://www.minicircuits.com/pdfs/SYBP-1950+.pdf</t>
  </si>
  <si>
    <t>1:4 CORE &amp; WIRE Transformer, 2 - 775 MHz, 50Ω</t>
  </si>
  <si>
    <t>CA9MV-10K</t>
  </si>
  <si>
    <t>1914</t>
  </si>
  <si>
    <t>Потенциометр: монтажный; однооборотный,горизонтальный; 10кОм</t>
  </si>
  <si>
    <t>ACP</t>
  </si>
  <si>
    <t>https://www.tme.eu/Document/85ca9ed3e7bce6256718468bde181b70/ACP_CA9-CE9.pdf</t>
  </si>
  <si>
    <t>PVZ3A103C01R00</t>
  </si>
  <si>
    <t>10 kOhms 0.1W, 1/10W J Lead Surface Mount Trimmer Potentiometer Carbon 1.0 Turn Top Adjustment</t>
  </si>
  <si>
    <t xml:space="preserve">RFD14N05LSM </t>
  </si>
  <si>
    <t xml:space="preserve">МОП-транзистор TO-252AA N-Ch Power </t>
  </si>
  <si>
    <t xml:space="preserve">Onsemi </t>
  </si>
  <si>
    <t>https://www.onsemi.com/pdf/datasheet/rfd14n05lsm-d.pdf</t>
  </si>
  <si>
    <t xml:space="preserve">MAX3051EKA+T </t>
  </si>
  <si>
    <t xml:space="preserve">ИС для интерфейса CAN +3.3V, 1Mbps, Low-Supply-Current CAN Transceiver </t>
  </si>
  <si>
    <t>https://datasheets.maximintegrated.com/en/ds/MAX3051.pdf</t>
  </si>
  <si>
    <t>Многослойные керамические конденсаторы - поверхностного монтажа 0402 0.6pF 50V C0G +/-0.05pF</t>
  </si>
  <si>
    <t xml:space="preserve">Многослойные керамические конденсаторы - поверхностного монтажа 0402 1.5pF 100V C0G 0.25pF </t>
  </si>
  <si>
    <t>Многослойные керамические конденсаторы - поверхностного монтажа 0805 12pF 50V C0G 5%</t>
  </si>
  <si>
    <t>Многослойные керамические конденсаторы - поверхностного монтажа 0805 82pF 50V C0G 5%</t>
  </si>
  <si>
    <t>Тонкопленочные резисторы – для поверхностного монтажа 0603 6.34K Ohm 0.1%</t>
  </si>
  <si>
    <t>Разъем RJ-45(8P8C) под витую пару, категория 5e (50 µ"/ 50 микродюймов), экранированный, универсальный (для одножильного и многожильного кабеля) (100 шт)</t>
  </si>
  <si>
    <t>CL10C102JB8NNNC</t>
  </si>
  <si>
    <t>https://media.digikey.com/pdf/Data%20Sheets/Samsung%20PDFs/CL10C102JB8NNNC_Spec.pdf</t>
  </si>
  <si>
    <t xml:space="preserve">Многослойные керамические конденсаторы - поверхностного монтажа 0603 1000pF 50V COG 5% </t>
  </si>
  <si>
    <t>CR1206-JW-432ELF</t>
  </si>
  <si>
    <t>Толстопленочные резисторы – для поверхностного монтажа 1206 4.3K Ohm 5%</t>
  </si>
  <si>
    <t xml:space="preserve">Толстопленочные резисторы – для поверхностного монтажа 1206 4.3K Ohm 0.25W, 1/4W 5%  </t>
  </si>
  <si>
    <t>https://www.bourns.com/docs/product-datasheets/cr.pdf?sfvrsn=574d41f6_14</t>
  </si>
  <si>
    <t>1N5817</t>
  </si>
  <si>
    <t>Diode Schottky 20 V 1A Through Hole DO-41</t>
  </si>
  <si>
    <t>https://www.st.com/content/ccc/resource/technical/document/datasheet/26/db/14/60/52/47/47/5b/CD00001625.pdf/files/CD00001625.pdf/jcr:content/translations/en.CD00001625.pdf</t>
  </si>
  <si>
    <t>GCG1885G1H100JA01D</t>
  </si>
  <si>
    <t xml:space="preserve">Многослойные керамические конденсаторы - поверхностного монтажа 0603 10pF 50V X8G 5% </t>
  </si>
  <si>
    <t>https://search.murata.co.jp/Ceramy/image/img/A01X/G101/ENG/GCG1885G1H100JA01-01.pdf</t>
  </si>
  <si>
    <t>PLS разъем, вилка на плату однорядная прямая 40pin(1x40), шаг 2.54мм</t>
  </si>
  <si>
    <t>2216</t>
  </si>
  <si>
    <t>KLS1-207-1-40-S (PLS-40)</t>
  </si>
  <si>
    <t>https://www.promelec.ru/fs/sources/41/4c/61/9d/2641ee6a6700a8b2ab77b661.pdf</t>
  </si>
  <si>
    <t>Многослойные керамические конденсаторы - поверхностного монтажа 0805 130pF 50V C0G 5%</t>
  </si>
  <si>
    <t>DS1022-2*3 RF11-B (PLD-6R)</t>
  </si>
  <si>
    <t>DS1022-2*12 RF11-B (PLD-24R)</t>
  </si>
  <si>
    <t>Штыри двухрядные 2x3 конт. шаг 2.54 мм, прямой угол на плату, низкопрофил. (3.0 мм/ 6.0 мм), позол.</t>
  </si>
  <si>
    <t xml:space="preserve">TAJA106K010TNJ </t>
  </si>
  <si>
    <t>CC0805KRX7R9BB683</t>
  </si>
  <si>
    <t>Многослойные керамические конденсаторы - поверхностного монтажа 0805 0.068µF 50V X7R 10%</t>
  </si>
  <si>
    <t>SMBJ6.0A</t>
  </si>
  <si>
    <t xml:space="preserve">Подавители ЭСР / диоды для подавления переходных скачков напряжения 600W 6V 5% Uni-Directional </t>
  </si>
  <si>
    <t xml:space="preserve">V56MLA1206NT </t>
  </si>
  <si>
    <t xml:space="preserve">Варисторы 56V 180A 180pF </t>
  </si>
  <si>
    <t>https://www.littelfuse.com/~/media/electronics/datasheets/varistors/littelfuse_varistor_mla_datasheet.pdf.pdf</t>
  </si>
  <si>
    <t>M80-8880805</t>
  </si>
  <si>
    <t xml:space="preserve">Harwin </t>
  </si>
  <si>
    <t xml:space="preserve">Проводные клеммы и зажимы 4+4 POS DIL FEMALE 24-28 AWG </t>
  </si>
  <si>
    <t>https://cdn.harwin.com/pdfs/C005XX_M80_and_M83_Datamate_Series_Connectors.pdf</t>
  </si>
  <si>
    <t>C1210C684K3RACTU</t>
  </si>
  <si>
    <t>T491B225K020AT</t>
  </si>
  <si>
    <t>KEMET</t>
  </si>
  <si>
    <t>A-V331VZ1H-12013M</t>
  </si>
  <si>
    <t>APAQ Technology</t>
  </si>
  <si>
    <t>CC0805KRX7R9BB103</t>
  </si>
  <si>
    <t>LD1086DT33TR</t>
  </si>
  <si>
    <t xml:space="preserve">LDO регуляторы напряжения 3.3V 1.5A Positive </t>
  </si>
  <si>
    <t>https://www.st.com/content/ccc/resource/technical/document/datasheet/53/db/00/58/09/98/4b/36/CD00001884.pdf/files/CD00001884.pdf/jcr:content/translations/en.CD00001884.pdf</t>
  </si>
  <si>
    <t>BZG04-8V2-M3-08</t>
  </si>
  <si>
    <t>2225</t>
  </si>
  <si>
    <t>Zener Diode 10 V 1.25 W Surface Mount DO-214AC (SMA)</t>
  </si>
  <si>
    <t>LPC_040_CTP</t>
  </si>
  <si>
    <t>Светодиодные трубки Round Lightpipe; Light Pipe Single Clear Rigid Panel Mount, Clamping</t>
  </si>
  <si>
    <t xml:space="preserve">VCC </t>
  </si>
  <si>
    <t>http://static.vcclite.com/pdf/lpc-4mm-round.pdf</t>
  </si>
  <si>
    <t xml:space="preserve">Испытательные штепсели и гнезда Test Plug BUELA 30 K BLACK </t>
  </si>
  <si>
    <t>https://eu.mouser.com/datasheet/2/16/TestMeasurement46-1627954.pdf</t>
  </si>
  <si>
    <t xml:space="preserve">Испытательные штепсели и гнезда Test Plug BUELA 30 K RED </t>
  </si>
  <si>
    <t>HMC681LP5ETR</t>
  </si>
  <si>
    <t xml:space="preserve">РЧ-усилитель dig VGA with Serial Control DC - 1 GHz </t>
  </si>
  <si>
    <t xml:space="preserve">Analog Devices </t>
  </si>
  <si>
    <t>https://media.digikey.com/pdf/Data%20Sheets/Analog%20Devices%20PDFs/HMC681LP5(E).pdf</t>
  </si>
  <si>
    <t>DS1023-2*5 SF11 (PBD-10)</t>
  </si>
  <si>
    <t>Разъем "гнездо" 10 конт.(2x5) шаг 2.54 мм, вертик. на плату (Hизол.= 8.5 мм), полн. позол. конт. (DS1023-2*5SF11) (аналог PBD-10)</t>
  </si>
  <si>
    <t>https://api.e-components.ru/api/item/ds-1023-2-5-sf11/doc/0</t>
  </si>
  <si>
    <t>RT0603BRD0724R9L</t>
  </si>
  <si>
    <t xml:space="preserve">Тонкопленочные резисторы – для поверхностного монтажа 0603 24.9 Ohm 0.1% 25ppm 1/10W </t>
  </si>
  <si>
    <t>Толстопленочные резисторы – для поверхностного монтажа 0603 24K Ohm 1%</t>
  </si>
  <si>
    <t>Толстопленочные резисторы – для поверхностного монтажа 0603 2.7K Ohm 5%</t>
  </si>
  <si>
    <t>Тонкопленочные резисторы – для поверхностного монтажа 0603 2.7K Ohm 0.1% 15ppm AEC-Q201</t>
  </si>
  <si>
    <t>https://www.yageo.com/upload/media/product/productsearch/datasheet/rchip/PYu-RT_1-to-0.01_RoHS_L_13.pdf</t>
  </si>
  <si>
    <t>T491D156K020AT</t>
  </si>
  <si>
    <t>SYBP-1950+</t>
  </si>
  <si>
    <t>2110, 2133</t>
  </si>
  <si>
    <t>MPZ1005S121CTD25</t>
  </si>
  <si>
    <t>https://product.tdk.com/en/system/files?file=dam/doc/product/emc/emc/beads/catalog/beads_automotive_power_mpz1005_en.pdf</t>
  </si>
  <si>
    <t>RFD900x</t>
  </si>
  <si>
    <t>RFD</t>
  </si>
  <si>
    <t>http://files.rfdesign.com.au/Files/documents/RFD900x%20DataSheet.pdf</t>
  </si>
  <si>
    <t>The RFD900x is a high-performance 900MHz, ISM band radio modem covering the 902 – 928 MHz frequency band. It is designed for long-range serial communications applications requiring best in class radio link performance.</t>
  </si>
  <si>
    <t>TAJB157M006RNJ</t>
  </si>
  <si>
    <t>T491B225M020AT</t>
  </si>
  <si>
    <t>Толстопленочные резисторы – для поверхностного монтажа 0603 27 Ohm 1%</t>
  </si>
  <si>
    <t>GRM2195C1H153JA01D</t>
  </si>
  <si>
    <t>CC0603JRNPO9BN560</t>
  </si>
  <si>
    <t>Многослойные керамические конденсаторы - поверхностного монтажа 0603 56pF 50V C0G 5%</t>
  </si>
  <si>
    <t xml:space="preserve">Многослойные керамические конденсаторы - поверхностного монтажа 0603 5pF 50V C0G +0.1 pF </t>
  </si>
  <si>
    <t>CL21B474KBFNNNE</t>
  </si>
  <si>
    <t>CDSOT23-T03LC</t>
  </si>
  <si>
    <t xml:space="preserve">Подавители ЭСР / диоды для подавления переходных скачков напряжения TVS Diode Array 3VOLT LOW CAP </t>
  </si>
  <si>
    <t>https://www.bourns.com/docs/Product-Datasheets/CDSOT23-T03LC_T36LC.pdf</t>
  </si>
  <si>
    <t>RCL371-2-2-8</t>
  </si>
  <si>
    <t>Галетный переключатель RUICHI RCL371-2-2-8, 8 положений, 2 секции, 2 контакных полюса, угол поворота 30°, 
0.3А, 30В, 20 мОм, длина вала 16 мм</t>
  </si>
  <si>
    <t>RUICHI</t>
  </si>
  <si>
    <t>https://static.chipdip.ru/lib/901/DOC012901964.pdf</t>
  </si>
  <si>
    <t>Толстопленочные резисторы – для поверхностного монтажа 0805 6.8 Ohm 1%</t>
  </si>
  <si>
    <t>Толстопленочные резисторы – для поверхностного монтажа 0805 680 Ohm 1%</t>
  </si>
  <si>
    <t xml:space="preserve">Толстопленочные резисторы – для поверхностного монтажа 0805 6.8 Ohm 1% 500mW 100ppm AEC-Q200 </t>
  </si>
  <si>
    <t>RCS08056R80FKEA</t>
  </si>
  <si>
    <t>https://www.vishay.com/docs/20065/rcse3.pdf</t>
  </si>
  <si>
    <t xml:space="preserve">PS22F68Y  </t>
  </si>
  <si>
    <t>http://www.bauelemente.at/Switronic/LICO_Switronic_Schalter_B54_en.pdf</t>
  </si>
  <si>
    <t xml:space="preserve">Кнопка с фиксацией </t>
  </si>
  <si>
    <t>MBRS130LT3G</t>
  </si>
  <si>
    <t xml:space="preserve">Диоды и выпрямители Шоттки 1A 30V Low Vf </t>
  </si>
  <si>
    <t>https://www.onsemi.com/pdf/datasheet/mbrs130lt3-d.pdf</t>
  </si>
  <si>
    <t>B82498B3470J000</t>
  </si>
  <si>
    <t xml:space="preserve">Синфазные дроссели / фильтры 47nH 200MHz 500mA 5% </t>
  </si>
  <si>
    <t>1N4007 (M7)</t>
  </si>
  <si>
    <t>Выпрямители Diode, DO-41, 1000V, 1A</t>
  </si>
  <si>
    <t>T491C226K010AT</t>
  </si>
  <si>
    <t xml:space="preserve">TCM1-63AX+ </t>
  </si>
  <si>
    <t xml:space="preserve">Трансформаторы звуковой частоты / сигнальные трансформаторы TC XFMR / SURF MOUNT / RoHS </t>
  </si>
  <si>
    <t>https://www.minicircuits.com/pdfs/TCM1-63AX+.pdf</t>
  </si>
  <si>
    <t>3214X-1-102E</t>
  </si>
  <si>
    <t>2242</t>
  </si>
  <si>
    <t>https://www.bourns.com/docs/Product-Datasheets/3214.pdf</t>
  </si>
  <si>
    <t>K7805-500R3-LB</t>
  </si>
  <si>
    <t>Импульсный DC-DC преобразователь напряжения без гальванической развязки; стабилизированный; выходной ток 500 мА; поддержка отрицательного выходного напряжения; долговременная защита от КЗ; потребление без нагрузки 0.2 мА; -40…85 °С; SIP-3; вертикальное расположение на плате.</t>
  </si>
  <si>
    <t>MORNSUN</t>
  </si>
  <si>
    <t>https://www.mornsun-power.com/html/pdf/K7805-500R3-LB.html</t>
  </si>
  <si>
    <t>116SL101M100TT</t>
  </si>
  <si>
    <t xml:space="preserve">ATC / KYOCERA AVX </t>
  </si>
  <si>
    <t xml:space="preserve">Специальные керамические конденсаторы 100Volts 100pF 20% Single Layer Cap </t>
  </si>
  <si>
    <t>https://eu.mouser.com/datasheet/2/40/slc_catalog-1902066.pdf</t>
  </si>
  <si>
    <t>800A220JT250XT5</t>
  </si>
  <si>
    <t xml:space="preserve">Многослойные керамические конденсаторы - поверхностного монтажа 0505 22pF  250V C0G 5% Las Mkg </t>
  </si>
  <si>
    <t>https://eu.mouser.com/datasheet/2/40/800A-2577011.pdf</t>
  </si>
  <si>
    <t>901-144-8RFX</t>
  </si>
  <si>
    <t xml:space="preserve">Amphenol RF </t>
  </si>
  <si>
    <t xml:space="preserve">РЧ соединители / Коаксиальные соединители VERTICAL PCB JACK GOLD PLATED BRASS </t>
  </si>
  <si>
    <t>https://s3-us-west-2.amazonaws.com/catsy.582/C901-144-8RFX.pdf</t>
  </si>
  <si>
    <t>ASP-127797-01</t>
  </si>
  <si>
    <t xml:space="preserve">Samtec </t>
  </si>
  <si>
    <t>Межплатные и промежуточные соединители; 160 Position Connector Array, Male Pins Surface Mount Gold</t>
  </si>
  <si>
    <t>http://suddendocs.samtec.com/prints/asp-127797-01.pdf</t>
  </si>
  <si>
    <t>CBP-1880E+</t>
  </si>
  <si>
    <t>2204</t>
  </si>
  <si>
    <t>Ceramic Resonator Band Pass Filter, 1780 - 1980 MHz, 50Ω</t>
  </si>
  <si>
    <t>https://www.minicircuits.com/pdfs/CBP-1880E+.pdf</t>
  </si>
  <si>
    <t>1115, 1113</t>
  </si>
  <si>
    <t>KTS501B105M76N0T00</t>
  </si>
  <si>
    <t>LM26CIM5-SPA/NOPB</t>
  </si>
  <si>
    <t>2147</t>
  </si>
  <si>
    <t>Thermostat 75°C Active Low Open Drain SOT-23-5</t>
  </si>
  <si>
    <t>https://www.ti.com/lit/ds/symlink/lm26.pdf?ts=1675614998196</t>
  </si>
  <si>
    <t>SN74ALVCH162334GR</t>
  </si>
  <si>
    <t>Universal Bus Driver 16-Bit 48-TSSOP</t>
  </si>
  <si>
    <t>https://www.ti.com/lit/ds/symlink/sn74alvch162334.pdf</t>
  </si>
  <si>
    <t>VJ0505D220JXPAJ</t>
  </si>
  <si>
    <t xml:space="preserve">Многослойные керамические конденсаторы - поверхностного монтажа 0505 22pF 250V C0G 5% HI FREQ </t>
  </si>
  <si>
    <t xml:space="preserve">PLUG-8P8C-U-C5 RJ45 </t>
  </si>
  <si>
    <t>B64290L0659X087</t>
  </si>
  <si>
    <t>Epoxy N87 Ferrite Core Toroid Type Length Width 1.646" (41.80mm) Diameter 0.677" (17.20mm) Height</t>
  </si>
  <si>
    <t>https://www.tdk-electronics.tdk.com/inf/80/db/fer/r_40_0_24_0_16_0.pdf</t>
  </si>
  <si>
    <t>SN74LVC74AD</t>
  </si>
  <si>
    <t>Триггеры Dual Positive-Edge-Triggered D-Type Flip-Flops With Clear And Preset 14-SOIC -40 to 125</t>
  </si>
  <si>
    <t>https://www.ti.com/lit/ds/symlink/sn74lvc74a.pdf?HQS=dis-dk-null-digikeymode-dsf-pf-null-wwe&amp;ts=1679513883170&amp;ref_url=https%253A%252F%252Fwww.ti.com%252Fgeneral%252Fdocs%252Fsuppproductinfo.tsp%253FdistId%253D10%2526gotoUrl%253Dhttps%253A%252F%252Fwww.ti.com%252Flit%252Fgpn%252Fsn74lvc74a</t>
  </si>
  <si>
    <t>RT424005</t>
  </si>
  <si>
    <t>2152</t>
  </si>
  <si>
    <t xml:space="preserve">Реле общего назначения 5V 8A 2CO THT POWER RELAY </t>
  </si>
  <si>
    <t>https://www.te.com/commerce/DocumentDelivery/DDEController?Action=srchrtrv&amp;DocNm=RT2&amp;DocType=DS&amp;DocLang=English</t>
  </si>
  <si>
    <t>UUD1C471MNL1GS</t>
  </si>
  <si>
    <t>https://eu.mouser.com/datasheet/2/293/e_uud-2399693.pdf</t>
  </si>
  <si>
    <t>2234</t>
  </si>
  <si>
    <t>GRM2195C1H103JA01D</t>
  </si>
  <si>
    <t>https://search.murata.co.jp/Ceramy/image/img/A01X/G101/ENG/GRM2195C1H103JA01-01.pdf</t>
  </si>
  <si>
    <t>MPS-850N-G</t>
  </si>
  <si>
    <t>Switronic</t>
  </si>
  <si>
    <t xml:space="preserve">Кнопка без фиксации 8.5мм; I ком.: 0.1 мА; U ном.: 30 В; Конфигурация: DPDT OFF-(ON). </t>
  </si>
  <si>
    <t>SJK-6B-8.000-16-30-50-B-50-H</t>
  </si>
  <si>
    <t>SJK</t>
  </si>
  <si>
    <t>https://www.q-crystal.com/Public/Uploads/Admin/2022-04-19/625e8e18c8ffe.pdf</t>
  </si>
  <si>
    <t xml:space="preserve">Кварцевый резонатор HC-49/S 8MHz 16pF </t>
  </si>
  <si>
    <t>Разъем "гнездо" 80 конт.(2x40) шаг 1.27 мм, верт. на плату (ан. PBD1.27-80*)</t>
  </si>
  <si>
    <t>https://api.e-components.ru/api/item/ds-1065-03-2-40-s-8-bv/doc/0</t>
  </si>
  <si>
    <t>Штыри 2x3 к. ш.1.27 мм, верт. на пл. (2.1/ изол. 2.0/ 3.7 мм) (ан. PLLD1.27-6*)</t>
  </si>
  <si>
    <t>DS1031-06-2*3P8BV41-3A</t>
  </si>
  <si>
    <t>https://api.e-components.ru/api/item/ds-1031-06-2-3p-8-bv-41-3a/doc/0</t>
  </si>
  <si>
    <t>SPR-079-B</t>
  </si>
  <si>
    <t>Кабельный ввод  Глубина (C)-18 мм; Диаметр (A)-11;(B)-7, 9;(B1)-8.7 мм; Материал  EPDM, черный</t>
  </si>
  <si>
    <t>CC0402KRX7R7BB104</t>
  </si>
  <si>
    <t>T491X156K050AT</t>
  </si>
  <si>
    <t>CC0603KRX5R7BB475</t>
  </si>
  <si>
    <t>Кварцевый генератор 125МГц 3.3В,LVDS SMD 5x3.2мм</t>
  </si>
  <si>
    <t>125МГц 3.3В,LVDS SMD 5x3.2мм</t>
  </si>
  <si>
    <t>2024</t>
  </si>
  <si>
    <t>FYL-5013UBC</t>
  </si>
  <si>
    <t>Светодиод синий 20° d=5мм 1500мКд 470нм</t>
  </si>
  <si>
    <t>Foryard</t>
  </si>
  <si>
    <t>2215</t>
  </si>
  <si>
    <t>https://www.promelec.ru/fs/sources/55/4c/de/3d/2eb3cca3a9fb37973d0e757d.pdf</t>
  </si>
  <si>
    <t>FYL-5013PGC</t>
  </si>
  <si>
    <t>2212</t>
  </si>
  <si>
    <t>Светодиод зеленый 5мм 525нм 10000мКд</t>
  </si>
  <si>
    <t>https://www.promelec.ru/fs/sources/23/3b/5a/b0/d1c3a0fd648da113a2a85ba3.pdf</t>
  </si>
  <si>
    <t>DF40C-50DS-0.4V51</t>
  </si>
  <si>
    <t xml:space="preserve">Межплатные и промежуточные соединители 50P SMT RECEPTACLE NO FITTING, NO BOSS </t>
  </si>
  <si>
    <t>CC0402CRNPO0BN4R7</t>
  </si>
  <si>
    <t>https://www.yageo.com/upload/media/product/productsearch/datasheet/mlcc/UPY-NP0X7R_MV_100-to-630V_24.pdf</t>
  </si>
  <si>
    <t>AN7805</t>
  </si>
  <si>
    <t>Регулируемый стабилизатор напряжения, положительной полярности, 5 В, 1 А</t>
  </si>
  <si>
    <t>https://static.chipdip.ru/lib/004/DOC001004253.pdf</t>
  </si>
  <si>
    <t>WTL3M85421FO</t>
  </si>
  <si>
    <t>Кварцевый резонатор 8МГц, 10PPM@25°C, 20PPM@-40°С+85°C, 400Ом, 12пФ</t>
  </si>
  <si>
    <t>WTL</t>
  </si>
  <si>
    <t>https://www.promelec.ru/fs/sources/1f/39/f0/5c/0c0bc85f700600e94b96cd1f.pdf</t>
  </si>
  <si>
    <t>SOC7-16.000MHz-3.3V</t>
  </si>
  <si>
    <t>https://files.rct.ru/pdf/quartz/soc0705.pdf</t>
  </si>
  <si>
    <t>Кварцевый генератор</t>
  </si>
  <si>
    <t>FTP Cat7 Rj45 Connectors</t>
  </si>
  <si>
    <t>2239</t>
  </si>
  <si>
    <t>983-6KE18-14SN</t>
  </si>
  <si>
    <t>разъём</t>
  </si>
  <si>
    <t>Круговой мил / технические характеристики соединителя 14P SZ 18 PLUG CABLE MOUNT SOCKET</t>
  </si>
  <si>
    <t>https://eu.mouser.com/datasheet/2/418/5/tycoelectronics_deutsch983series_0613_983__jan_201-1210751.pdf</t>
  </si>
  <si>
    <t>RC0603FR-0710ML</t>
  </si>
  <si>
    <t xml:space="preserve">Толстопленочные резисторы – для поверхностного монтажа 0603 10M Ohms 1% </t>
  </si>
  <si>
    <t>HM5004ENL</t>
  </si>
  <si>
    <t xml:space="preserve">Трансформаторы звуковой частоты / сигнальные трансформаторы 1000BaseT 350uH .650hms 1-P AEC-Q200 </t>
  </si>
  <si>
    <t>Pulse Electronics</t>
  </si>
  <si>
    <t>https://productfinder.pulseelectronics.com/api/open/part-attachments/datasheet/HM5004ENL</t>
  </si>
  <si>
    <t>IRFL4310TRPBF</t>
  </si>
  <si>
    <t xml:space="preserve">Биполярные транзистор - BJT TRANS GP TAPE-7 </t>
  </si>
  <si>
    <t xml:space="preserve">Биполярные транзистор - BJT NPN 500mA 50V </t>
  </si>
  <si>
    <t xml:space="preserve">Биполярные транзистор - BJT NPN GP 500 45V </t>
  </si>
  <si>
    <t xml:space="preserve">Биполярные транзистор - BJT </t>
  </si>
  <si>
    <t>Биполярные транзистор - BJT TRANS GP TAPE-7</t>
  </si>
  <si>
    <t xml:space="preserve">транзистор Дарлингтона </t>
  </si>
  <si>
    <t xml:space="preserve">РЧ биполярные транзистор </t>
  </si>
  <si>
    <t>РЧ биполярные транзистор TRANS MED FREQ</t>
  </si>
  <si>
    <t>Биполярные транзистор - BJT TRANS HV TAPE-7</t>
  </si>
  <si>
    <t>транзистор Дарлингтона 8A 100V Bipolar Power NPN</t>
  </si>
  <si>
    <t xml:space="preserve">Биполярные транзистор - BJT 40V 150mW </t>
  </si>
  <si>
    <t>Infineon</t>
  </si>
  <si>
    <t>МОП-транзистор MOSFT 100V 1.6A 200mOhm 17nC</t>
  </si>
  <si>
    <t>https://www.infineon.com/dgdl/irfl4310pbf.pdf?fileId=5546d462533600a40153562804ba1fbc</t>
  </si>
  <si>
    <t>CC0805JRX7R9BB333</t>
  </si>
  <si>
    <t>Многослойные керамические конденсаторы - поверхностного монтажа 0805 0.033µF 50V X7R 5%</t>
  </si>
  <si>
    <t xml:space="preserve">Толстопленочные резисторы – для поверхностного монтажа 0402 1K Ohm 1% </t>
  </si>
  <si>
    <t xml:space="preserve">Толстопленочные резисторы – для поверхностного монтажа 0402 1 Ohm 5% </t>
  </si>
  <si>
    <t>RC0402JR-071KL</t>
  </si>
  <si>
    <t xml:space="preserve">Толстопленочные резисторы – для поверхностного монтажа 0402 1K Ohm 5% </t>
  </si>
  <si>
    <t xml:space="preserve">Толстопленочные резисторы – для поверхностного монтажа 0402 1.5K Ohm 5% </t>
  </si>
  <si>
    <t xml:space="preserve">Толстопленочные резисторы – для поверхностного монтажа 0402 1.87K Ohm 1% </t>
  </si>
  <si>
    <t xml:space="preserve">Толстопленочные резисторы – для поверхностного монтажа 0402 10 Ohm 1% </t>
  </si>
  <si>
    <t xml:space="preserve">Толстопленочные резисторы – для поверхностного монтажа 0402 10K Ohm 1% </t>
  </si>
  <si>
    <t>РЧ-клеммы SMA MALE RESISTOR CAP 50 Ohm</t>
  </si>
  <si>
    <t>Подстроечные резисторы - для поверхностного монтажа 4MM SQ 1KOhmS 10% 5TURN</t>
  </si>
  <si>
    <t xml:space="preserve">Ферритовые фильтры 0603 1000Ohms </t>
  </si>
  <si>
    <t xml:space="preserve">Ферритовые фильтры 220 Ohm 25% </t>
  </si>
  <si>
    <t xml:space="preserve">Ферритовые фильтры 0402 120Ohms 1200mA Power Line AEC-Q200 </t>
  </si>
  <si>
    <t xml:space="preserve">Термисторы – отрицательный температурный коэффициент 2KOhms Special Tol Special Tol </t>
  </si>
  <si>
    <t xml:space="preserve">Подстроечные резисторы - для поверхностного монтажа 10KOhms Sealed 3mm Single turn </t>
  </si>
  <si>
    <t>ROhm Semiconductor</t>
  </si>
  <si>
    <t>http://rOhmfs.rOhm.com/en/products/databook/datasheet/discrete/diode/zener/stz5.6n.pdf</t>
  </si>
  <si>
    <t xml:space="preserve">Подстроечные резисторы - сквозное отверстие 3/8" 10KOhms Sealed Vertical Adjust </t>
  </si>
  <si>
    <t xml:space="preserve">Подстроечные резисторы - сквозное отверстие 3/8" 5KOhms Sealed Vertical Adjust </t>
  </si>
  <si>
    <t>Резисторные сборки и массивы 10K Ohm 5%</t>
  </si>
  <si>
    <t xml:space="preserve">Резисторные сборки и массивы 10pin 2.2KOhms Bussed Low Profile </t>
  </si>
  <si>
    <t xml:space="preserve">Толстопленочные резисторы – для поверхностного монтажа 0402 100 Ohm 5% </t>
  </si>
  <si>
    <t xml:space="preserve">Толстопленочные резисторы – для поверхностного монтажа 0402 100K Ohm 1% </t>
  </si>
  <si>
    <t xml:space="preserve">Толстопленочные резисторы – для поверхностного монтажа 0402 100K Ohm 5% </t>
  </si>
  <si>
    <t xml:space="preserve">Толстопленочные резисторы – для поверхностного монтажа 0402 182 Ohm 1% </t>
  </si>
  <si>
    <t xml:space="preserve">Толстопленочные резисторы – для поверхностного монтажа 0402 2K Ohm 1% </t>
  </si>
  <si>
    <t xml:space="preserve">Толстопленочные резисторы – для поверхностного монтажа 0402 20K Ohm 1% </t>
  </si>
  <si>
    <t xml:space="preserve">Толстопленочные резисторы – для поверхностного монтажа 0402 274K Ohm 1% </t>
  </si>
  <si>
    <t>Толстопленочные резисторы – для поверхностного монтажа 0402 33K Ohm 1%</t>
  </si>
  <si>
    <t>Толстопленочные резисторы – для поверхностного монтажа 0402 330 Ohm 1%</t>
  </si>
  <si>
    <t>Толстопленочные резисторы – для поверхностного монтажа 0402 4.7K Ohm 1%</t>
  </si>
  <si>
    <t>Толстопленочные резисторы – для поверхностного монтажа 0402 453 Ohm 1%</t>
  </si>
  <si>
    <t>Толстопленочные резисторы – для поверхностного монтажа 0402 5.1K Ohm 5%</t>
  </si>
  <si>
    <t>Толстопленочные резисторы – для поверхностного монтажа 0402 51.1 Ohm 1%</t>
  </si>
  <si>
    <t>Толстопленочные резисторы – для поверхностного монтажа 0402 69.8 Ohm 1%</t>
  </si>
  <si>
    <t>Толстопленочные резисторы – для поверхностного монтажа 0402 75KOhms 1%</t>
  </si>
  <si>
    <t>Толстопленочные резисторы – для поверхностного монтажа 0402 8.2 Ohm 5%</t>
  </si>
  <si>
    <t>Толстопленочные резисторы – для поверхностного монтажа 0402 820 Ohm 5%</t>
  </si>
  <si>
    <t>Толстопленочные резисторы – для поверхностного монтажа 0402 9.1 Ohm 1%</t>
  </si>
  <si>
    <t>Толстопленочные резисторы – для поверхностного монтажа 0603 0 Ohm JUMPER 1%</t>
  </si>
  <si>
    <t>Толстопленочные резисторы – для поверхностного монтажа 0603 0 Ohm JUMPER 5%</t>
  </si>
  <si>
    <t xml:space="preserve">Толстопленочные резисторы – для поверхностного монтажа 0603 1.02K Ohm 1% </t>
  </si>
  <si>
    <t>Толстопленочные резисторы – для поверхностного монтажа 0603 1.05KOhms 1%</t>
  </si>
  <si>
    <t xml:space="preserve">Толстопленочные резисторы – для поверхностного монтажа 0603 1.15K Ohm 1% </t>
  </si>
  <si>
    <t xml:space="preserve">Толстопленочные резисторы – для поверхностного монтажа 0603 1.2K Ohm 1% </t>
  </si>
  <si>
    <t>Толстопленочные резисторы – для поверхностного монтажа 0603 1.24KOhms 1%</t>
  </si>
  <si>
    <t xml:space="preserve">Толстопленочные резисторы – для поверхностного монтажа 0603 1.27K Ohm 1% </t>
  </si>
  <si>
    <t>Толстопленочные резисторы – для поверхностного монтажа 0603 1.65K Ohm 1%</t>
  </si>
  <si>
    <t xml:space="preserve">Толстопленочные резисторы – для поверхностного монтажа 0603 10.7K Ohm 1% </t>
  </si>
  <si>
    <t xml:space="preserve">Толстопленочные резисторы – для поверхностного монтажа 0603 100 Ohm 1% </t>
  </si>
  <si>
    <t xml:space="preserve">Толстопленочные резисторы – для поверхностного монтажа 0603 100 Ohm 5% </t>
  </si>
  <si>
    <t>Толстопленочные резисторы – для поверхностного монтажа 0603 120 Ohm 1%</t>
  </si>
  <si>
    <t>Толстопленочные резисторы – для поверхностного монтажа 0603 120K Ohm 5%</t>
  </si>
  <si>
    <t>Толстопленочные резисторы – для поверхностного монтажа 0603 13K Ohm 5%</t>
  </si>
  <si>
    <t>Толстопленочные резисторы – для поверхностного монтажа 0603 15K Ohm 5%</t>
  </si>
  <si>
    <t>Толстопленочные резисторы – для поверхностного монтажа 0603 150 Ohm 1%</t>
  </si>
  <si>
    <t>Толстопленочные резисторы – для поверхностного монтажа 0603 16.9K Ohm 1%</t>
  </si>
  <si>
    <t>Толстопленочные резисторы – для поверхностного монтажа 0603 162K Ohm 1%</t>
  </si>
  <si>
    <t>Толстопленочные резисторы – для поверхностного монтажа 0603 169 Ohm 1%</t>
  </si>
  <si>
    <t>Толстопленочные резисторы – для поверхностного монтажа 0603 18K Ohm 1%</t>
  </si>
  <si>
    <t>Толстопленочные резисторы – для поверхностного монтажа 0603 2 Ohm 5%</t>
  </si>
  <si>
    <t>Толстопленочные резисторы – для поверхностного монтажа 0603 2K Ohm 1%</t>
  </si>
  <si>
    <t>Толстопленочные резисторы – для поверхностного монтажа 0603 22 Ohm 1%</t>
  </si>
  <si>
    <t>Толстопленочные резисторы – для поверхностного монтажа 0603 22K Ohm 1%</t>
  </si>
  <si>
    <t>Толстопленочные резисторы – для поверхностного монтажа 0603 220 Ohm 5%</t>
  </si>
  <si>
    <t>Толстопленочные резисторы – для поверхностного монтажа 0603 220K Ohm 5%</t>
  </si>
  <si>
    <t>Толстопленочные резисторы – для поверхностного монтажа 0603 23.2K Ohm 1%</t>
  </si>
  <si>
    <t>Толстопленочные резисторы – для поверхностного монтажа 0603 3K Ohm 1%</t>
  </si>
  <si>
    <t xml:space="preserve">Толстопленочные резисторы – для поверхностного монтажа 0603 3.01KOhms 1% Tol </t>
  </si>
  <si>
    <t>Толстопленочные резисторы – для поверхностного монтажа 0603 33K Ohm 1%</t>
  </si>
  <si>
    <t>Толстопленочные резисторы – для поверхностного монтажа 0603 33.2 Ohm 1%</t>
  </si>
  <si>
    <t xml:space="preserve">Толстопленочные резисторы – для поверхностного монтажа 0603 330 Ohm 1% </t>
  </si>
  <si>
    <t xml:space="preserve">Толстопленочные резисторы – для поверхностного монтажа 0603 360K Ohm 1% </t>
  </si>
  <si>
    <t>Толстопленочные резисторы – для поверхностного монтажа 0603 38.3K Ohm 1%</t>
  </si>
  <si>
    <t xml:space="preserve">Толстопленочные резисторы – для поверхностного монтажа 0603 39 Ohm 5% </t>
  </si>
  <si>
    <t>Толстопленочные резисторы – для поверхностного монтажа 0603 309 Ohm 1%</t>
  </si>
  <si>
    <t xml:space="preserve">Толстопленочные резисторы – для поверхностного монтажа 0603 4.02K Ohm 1% </t>
  </si>
  <si>
    <t xml:space="preserve">Толстопленочные резисторы – для поверхностного монтажа 0603 430 Ohm 5% </t>
  </si>
  <si>
    <t xml:space="preserve">Толстопленочные резисторы – для поверхностного монтажа 0603 4.7K Ohm 1% </t>
  </si>
  <si>
    <t xml:space="preserve">Толстопленочные резисторы – для поверхностного монтажа 0603 4.7K Ohm 5% </t>
  </si>
  <si>
    <t xml:space="preserve">Толстопленочные резисторы – для поверхностного монтажа 0603 47 Ohm 1% </t>
  </si>
  <si>
    <t xml:space="preserve">Толстопленочные резисторы – для поверхностного монтажа 0603 5.1K Ohm 1% </t>
  </si>
  <si>
    <t>Толстопленочные резисторы – для поверхностного монтажа 0603 51 Ohm 1%</t>
  </si>
  <si>
    <t>Толстопленочные резисторы – для поверхностного монтажа 0603 51K Ohm 5%</t>
  </si>
  <si>
    <t>Толстопленочные резисторы – для поверхностного монтажа 0603 56K Ohm 5%</t>
  </si>
  <si>
    <t>Толстопленочные резисторы – для поверхностного монтажа 0603 560 Ohm 1%</t>
  </si>
  <si>
    <t>Толстопленочные резисторы – для поверхностного монтажа 0603 560K Ohm 1%</t>
  </si>
  <si>
    <t xml:space="preserve">Толстопленочные резисторы – для поверхностного монтажа 0603 6.19K Ohm 1% </t>
  </si>
  <si>
    <t xml:space="preserve">Толстопленочные резисторы – для поверхностного монтажа 0603 619 Ohm 1% </t>
  </si>
  <si>
    <t xml:space="preserve">Толстопленочные резисторы – для поверхностного монтажа 0603 6.34K Ohm 1% </t>
  </si>
  <si>
    <t xml:space="preserve">Толстопленочные резисторы – для поверхностного монтажа 0603 68K Ohm 1% </t>
  </si>
  <si>
    <t xml:space="preserve">Толстопленочные резисторы – для поверхностного монтажа 0603 680 Ohm 5% </t>
  </si>
  <si>
    <t xml:space="preserve">Толстопленочные резисторы – для поверхностного монтажа 0603 6.81K Ohm 1% </t>
  </si>
  <si>
    <t xml:space="preserve">Толстопленочные резисторы – для поверхностного монтажа 0603 681 Ohm 1% </t>
  </si>
  <si>
    <t xml:space="preserve">Толстопленочные резисторы – для поверхностного монтажа 0603 8.2K Ohm 5% </t>
  </si>
  <si>
    <t>Толстопленочные резисторы – для поверхностного монтажа 0603 820 Ohm 5%</t>
  </si>
  <si>
    <t xml:space="preserve">Толстопленочные резисторы – для поверхностного монтажа 0603 8.25K Ohm 1% </t>
  </si>
  <si>
    <t xml:space="preserve">Толстопленочные резисторы – для поверхностного монтажа 0603 8.45K Ohm 1% </t>
  </si>
  <si>
    <t xml:space="preserve">Толстопленочные резисторы – для поверхностного монтажа 0603 8.66K Ohm 1% </t>
  </si>
  <si>
    <t>Толстопленочные резисторы – для поверхностного монтажа 0603 9.09K Ohm 1%</t>
  </si>
  <si>
    <t xml:space="preserve">Толстопленочные резисторы – для поверхностного монтажа 0603 9.1K Ohm 1% </t>
  </si>
  <si>
    <t>Толстопленочные резисторы – для поверхностного монтажа 0603 91 Ohm 1%</t>
  </si>
  <si>
    <t>Толстопленочные резисторы – для поверхностного монтажа 0603 91K Ohm 1%</t>
  </si>
  <si>
    <t xml:space="preserve">Толстопленочные резисторы – для поверхностного монтажа 0603 9.76K Ohm 1% </t>
  </si>
  <si>
    <t>Толстопленочные резисторы – для поверхностного монтажа 0805 0 Ohm JUMPER 5%</t>
  </si>
  <si>
    <t xml:space="preserve">Толстопленочные резисторы – для поверхностного монтажа 0805 1 Ohm 1% </t>
  </si>
  <si>
    <t xml:space="preserve">Толстопленочные резисторы – для поверхностного монтажа 0805 1K Ohm 1% </t>
  </si>
  <si>
    <t xml:space="preserve">Толстопленочные резисторы – для поверхностного монтажа 0805 1.1K Ohm 1% </t>
  </si>
  <si>
    <t xml:space="preserve">Толстопленочные резисторы – для поверхностного монтажа 0805 1.1K Ohm 5% </t>
  </si>
  <si>
    <t xml:space="preserve">Толстопленочные резисторы – для поверхностного монтажа 0805 1.3 Ohm 1% </t>
  </si>
  <si>
    <t>Толстопленочные резисторы – для поверхностного монтажа 0805 1.78K Ohm 1%</t>
  </si>
  <si>
    <t xml:space="preserve">Толстопленочные резисторы – для поверхностного монтажа 0805 100K Ohm 1% </t>
  </si>
  <si>
    <t>Толстопленочные резисторы – для поверхностного монтажа 0805 120 Ohm 1%</t>
  </si>
  <si>
    <t>Толстопленочные резисторы – для поверхностного монтажа 0805 127K Ohm 1%</t>
  </si>
  <si>
    <t>Толстопленочные резисторы – для поверхностного монтажа 0805 130 Ohm 1%</t>
  </si>
  <si>
    <t>Толстопленочные резисторы – для поверхностного монтажа 0805 147K Ohm 1%</t>
  </si>
  <si>
    <t>Толстопленочные резисторы – для поверхностного монтажа 0805 150K Ohm 1%</t>
  </si>
  <si>
    <t>Толстопленочные резисторы – для поверхностного монтажа 0805 150K Ohm 5%</t>
  </si>
  <si>
    <t xml:space="preserve">Толстопленочные резисторы – для поверхностного монтажа 0805 18K Ohm 1% </t>
  </si>
  <si>
    <t>Толстопленочные резисторы – для поверхностного монтажа 0805 18K Ohm 5%</t>
  </si>
  <si>
    <t xml:space="preserve">Тонкопленочные резисторы – для поверхностного монтажа  0805 19.6KOhm 0.1% 25ppm </t>
  </si>
  <si>
    <t xml:space="preserve">Толстопленочные резисторы – для поверхностного монтажа 0805 2 Ohm 5% </t>
  </si>
  <si>
    <t xml:space="preserve">Толстопленочные резисторы – для поверхностного монтажа 0805 20 Ohm 5% </t>
  </si>
  <si>
    <t xml:space="preserve">Толстопленочные резисторы – для поверхностного монтажа 0805 200 Ohm 1% </t>
  </si>
  <si>
    <t xml:space="preserve">Толстопленочные резисторы – для поверхностного монтажа 0805 220 Ohm 5% </t>
  </si>
  <si>
    <t xml:space="preserve">Толстопленочные резисторы – для поверхностного монтажа 0805 2.2K Ohm 5% </t>
  </si>
  <si>
    <t xml:space="preserve">Толстопленочные резисторы – для поверхностного монтажа 0805 2.26K Ohm 1% </t>
  </si>
  <si>
    <t xml:space="preserve">Толстопленочные резисторы – для поверхностного монтажа 0805 2.4K Ohm 5% </t>
  </si>
  <si>
    <t xml:space="preserve">Толстопленочные резисторы – для поверхностного монтажа 0805 24K Ohm 1% </t>
  </si>
  <si>
    <t xml:space="preserve">Толстопленочные резисторы – для поверхностного монтажа 0805 2.55K Ohm 1% </t>
  </si>
  <si>
    <t xml:space="preserve">Толстопленочные резисторы – для поверхностного монтажа 0805 2.7K Ohm 5% </t>
  </si>
  <si>
    <t xml:space="preserve">Толстопленочные резисторы – для поверхностного монтажа 0805 3 Ohm 1% </t>
  </si>
  <si>
    <t xml:space="preserve">Толстопленочные резисторы – для поверхностного монтажа 0805 3 Ohm 5% </t>
  </si>
  <si>
    <t xml:space="preserve">Толстопленочные резисторы – для поверхностного монтажа 0805 3K Ohm 1% </t>
  </si>
  <si>
    <t xml:space="preserve">Толстопленочные резисторы – для поверхностного монтажа 0805 3.3 Ohm 1% </t>
  </si>
  <si>
    <t>Толстопленочные резисторы – для поверхностного монтажа 0805 3.6K Ohm 1%</t>
  </si>
  <si>
    <t>Толстопленочные резисторы – для поверхностного монтажа 0805 3.74K Ohm 1%</t>
  </si>
  <si>
    <t xml:space="preserve">Толстопленочные резисторы – для поверхностного монтажа 0805 3.83K Ohm 1% </t>
  </si>
  <si>
    <t xml:space="preserve">Толстопленочные резисторы – для поверхностного монтажа 0805 33.2K Ohm 1% </t>
  </si>
  <si>
    <t xml:space="preserve">Толстопленочные резисторы – для поверхностного монтажа 0805 38.3K Ohm 1% </t>
  </si>
  <si>
    <t xml:space="preserve">Толстопленочные резисторы – для поверхностного монтажа 0805 301K Ohm 1% </t>
  </si>
  <si>
    <t>Толстопленочные резисторы – для поверхностного монтажа 0805 330 Ohm 1%</t>
  </si>
  <si>
    <t>Толстопленочные резисторы – для поверхностного монтажа 0805 360 Ohm 1%</t>
  </si>
  <si>
    <t xml:space="preserve">Толстопленочные резисторы – для поверхностного монтажа 0805 360K Ohm 1% </t>
  </si>
  <si>
    <t>Толстопленочные резисторы – для поверхностного монтажа 0805 4.7 Ohm 1%</t>
  </si>
  <si>
    <t>Толстопленочные резисторы – для поверхностного монтажа 0805 4.7K Ohm 1%</t>
  </si>
  <si>
    <t xml:space="preserve">Толстопленочные резисторы – для поверхностного монтажа 0805 47.5K Ohm 1% </t>
  </si>
  <si>
    <t>Толстопленочные резисторы – для поверхностного монтажа 0805 470 Ohm 5%</t>
  </si>
  <si>
    <t>Толстопленочные резисторы – для поверхностного монтажа 0805 5.1K Ohm 5%</t>
  </si>
  <si>
    <t>Толстопленочные резисторы – для поверхностного монтажа 0805 51 Ohm 1%</t>
  </si>
  <si>
    <t>Толстопленочные резисторы – для поверхностного монтажа 0805 510 Ohm 1%</t>
  </si>
  <si>
    <t>Толстопленочные резисторы – для поверхностного монтажа 0805 510K Ohm 1%</t>
  </si>
  <si>
    <t>Толстопленочные резисторы – для поверхностного монтажа 0805 5.23K Ohm 1%</t>
  </si>
  <si>
    <t>Толстопленочные резисторы – для поверхностного монтажа 0805 5.36K Ohm 1%</t>
  </si>
  <si>
    <t>Толстопленочные резисторы – для поверхностного монтажа 0805 560K Ohm 5%</t>
  </si>
  <si>
    <t>Толстопленочные резисторы – для поверхностного монтажа 0805 5.62K Ohm 1%</t>
  </si>
  <si>
    <t>Толстопленочные резисторы – для поверхностного монтажа 0805 5.76K Ohm 1%</t>
  </si>
  <si>
    <t>Толстопленочные резисторы – для поверхностного монтажа 0805 5.9K Ohm 1%</t>
  </si>
  <si>
    <t>Толстопленочные резисторы – для поверхностного монтажа 0805 6.04K Ohm 1%</t>
  </si>
  <si>
    <t>Толстопленочные резисторы – для поверхностного монтажа 0805 6.19K Ohm 1%</t>
  </si>
  <si>
    <t>Толстопленочные резисторы – для поверхностного монтажа 0805 620 Ohm 5%</t>
  </si>
  <si>
    <t xml:space="preserve">Толстопленочные резисторы – для поверхностного монтажа 0805 6.2 Ohm 1% </t>
  </si>
  <si>
    <t>Толстопленочные резисторы – для поверхностного монтажа 0805 6.34K Ohm 1%</t>
  </si>
  <si>
    <t>Толстопленочные резисторы – для поверхностного монтажа 0805 6.49K Ohm 1%</t>
  </si>
  <si>
    <t>Толстопленочные резисторы – для поверхностного монтажа 0805 6.65K Ohm 1%</t>
  </si>
  <si>
    <t>Толстопленочные резисторы – для поверхностного монтажа 0805 6.81K Ohm 1%</t>
  </si>
  <si>
    <t>Толстопленочные резисторы – для поверхностного монтажа 0805 6.98K Ohm 1%</t>
  </si>
  <si>
    <t xml:space="preserve">Толстопленочные резисторы – для поверхностного монтажа 0805 61.9K Ohm 1% </t>
  </si>
  <si>
    <t>Толстопленочные резисторы – для поверхностного монтажа 0805 7.15K Ohm 1%</t>
  </si>
  <si>
    <t>Толстопленочные резисторы – для поверхностного монтажа 0805 7.32K Ohm 1%</t>
  </si>
  <si>
    <t>Толстопленочные резисторы – для поверхностного монтажа 0805 75K Ohm 5%</t>
  </si>
  <si>
    <t>Толстопленочные резисторы – для поверхностного монтажа 0805 750 Ohm 5%</t>
  </si>
  <si>
    <t>Толстопленочные резисторы – для поверхностного монтажа 0805 7.68K Ohm 1%</t>
  </si>
  <si>
    <t>Толстопленочные резисторы – для поверхностного монтажа 0805 7.87K Ohm 1%</t>
  </si>
  <si>
    <t>Толстопленочные резисторы – для поверхностного монтажа 0805 8.06K Ohm 1%</t>
  </si>
  <si>
    <t>Толстопленочные резисторы – для поверхностного монтажа 0805 8.66K Ohm 1%</t>
  </si>
  <si>
    <t xml:space="preserve">Толстопленочные резисторы – для поверхностного монтажа 0805 82 Ohm 1% </t>
  </si>
  <si>
    <t xml:space="preserve">Толстопленочные резисторы – для поверхностного монтажа 0805 86.6K Ohm 1% </t>
  </si>
  <si>
    <t>Толстопленочные резисторы – для поверхностного монтажа 1206 0 Ohm JUMPER 5%</t>
  </si>
  <si>
    <t>Толстопленочные резисторы – для поверхностного монтажа 1206 1K Ohm 1%</t>
  </si>
  <si>
    <t>Толстопленочные резисторы – для поверхностного монтажа 1206 1.2K Ohm 5%</t>
  </si>
  <si>
    <t xml:space="preserve">Толстопленочные резисторы – для поверхностного монтажа 1206 3.01Ohms 1% High Power AEC-Q200 </t>
  </si>
  <si>
    <t xml:space="preserve">Толстопленочные резисторы – для поверхностного монтажа 1210 33.2 Ohm 1% </t>
  </si>
  <si>
    <t>Толстопленочные резисторы – для поверхностного монтажа 1210 51 Ohm 5%</t>
  </si>
  <si>
    <t>Толстопленочные резисторы – для поверхностного монтажа 2512 0 Ohm 5%</t>
  </si>
  <si>
    <t>LQW18AN8N7C00D</t>
  </si>
  <si>
    <t>8.7 nH Unshielded Wirewound Inductor 650 mA 110mOhm Max 0603 (1608 Metric)</t>
  </si>
  <si>
    <t>https://search.murata.co.jp/Ceramy/image/img/P02/JELF243A-0024.pdf</t>
  </si>
  <si>
    <t>CC0402JRX7R9BB223</t>
  </si>
  <si>
    <t>https://www.yageo.com/upload/media/product/productsearch/datasheet/mlcc/UPY-GPHC_X7R_6.3V-to-250V_22.pdf</t>
  </si>
  <si>
    <t xml:space="preserve">Подстроечные резисторы - для поверхностного монтажа 100 Ohm 4mm SMD single turn J-lead, top adj. </t>
  </si>
  <si>
    <t>Подстроечные резисторы - для поверхностного монтажа 5K Ohm (5 kOhm 0.25W, 1/4W J Lead Surface Mount Trimmer Potentiometer Cermet 1.0 Turn Top Adjustment)</t>
  </si>
  <si>
    <t>L-KLS1-3.96A-02-S</t>
  </si>
  <si>
    <t>Вилка на плату; шаг 3.96 мм; количество контактов 2; вертикальный; монтаж в отверстия; 5 А; 50/250 В AC/DC; 20 мОм; 1500 В AC (1 мин); -25…85 °С</t>
  </si>
  <si>
    <t>https://www.electronshik.ru/pdf/k/KLS1_3_96.pdf</t>
  </si>
  <si>
    <t>TCC0805X7R475K100FT</t>
  </si>
  <si>
    <t>CCTC</t>
  </si>
  <si>
    <t>https://data.electronshik.ru/z/Datasheet/T/TCC0805X7R475K100FT.pdf</t>
  </si>
  <si>
    <t>CM201212-47NKL</t>
  </si>
  <si>
    <t>Силовые индукторы - поверхностный монтаж 47uH 385mA 420mOhm Max 0805 (2012 Metric)</t>
  </si>
  <si>
    <t>Bourns Inc.</t>
  </si>
  <si>
    <t>https://media.digikey.com/pdf/Data%20Sheets/Bourns%20PDFs/CM_Series_Rev2001.pdf</t>
  </si>
  <si>
    <t>2303, 2306</t>
  </si>
  <si>
    <t>GCM155R71H183KA55D</t>
  </si>
  <si>
    <t>GRM155R71C563JA88D</t>
  </si>
  <si>
    <t>TRI20N-A</t>
  </si>
  <si>
    <t>Динамик миниатюрный динTRI20N-A 150 Om 0.25 W</t>
  </si>
  <si>
    <t>https://storage.yandexcloud.net/stor.galant-e.ru/iblock/f0f/f0f47d9a7c364d6076ddcb6bd329f9c2.pdf</t>
  </si>
  <si>
    <t>DS1013-14SSIB1-B-0  (BH-14; IDC-14MS)</t>
  </si>
  <si>
    <t>IDC разъем, вилка на плату прямая двухрядная 14pin(2x7)., шаг 2.54мм</t>
  </si>
  <si>
    <t>https://www.promelec.ru/fs/sources/a8/87/af/76/21bd412a225169622a30c494.pdf</t>
  </si>
  <si>
    <t>RC0402FR-074M75L</t>
  </si>
  <si>
    <t>Толстопленочные резисторы – для поверхностного монтажа 0402 4.75M Ohm 1%</t>
  </si>
  <si>
    <t>https://industrial.panasonic.com/cdbs/www-data/pdf/RDA0000/AOA0000C304.pdf</t>
  </si>
  <si>
    <t>CFR-25JR-52-3K9</t>
  </si>
  <si>
    <t xml:space="preserve">CAT7 Rj45 Connectors FTP </t>
  </si>
  <si>
    <t xml:space="preserve">Углеродные пленочные резисторы – сквозное отверстие 3.9K ohm 1/4W 5% </t>
  </si>
  <si>
    <t>YAGEO</t>
  </si>
  <si>
    <t>https://www.yageo.com/upload/media/product/productsearch/datasheet/lr/YAGEO%20CFR_datasheet_2021v0.pdf</t>
  </si>
  <si>
    <t>2R5TPE470M7</t>
  </si>
  <si>
    <t>https://industrial.panasonic.com/cdbs/www-data/pdf/AAA8000/AAA8000C36.pdf</t>
  </si>
  <si>
    <t>HCMS-2972</t>
  </si>
  <si>
    <t>Светодиодные дисплеи и аксессуары Red 626nm 1x8 Alphanumeric 
(Dot Matrix Display Module 5 x 7 Red Serial 1.69" L x 0.45" W x 0.21" H (42.93mm x 11.43mm x 5.33mm)</t>
  </si>
  <si>
    <t xml:space="preserve">Broadcom / Avago </t>
  </si>
  <si>
    <t>https://docs.broadcom.com/doc/HCMS-29xx-Series-High-Performance-CMOS-5-x-7-Alphanumeric-Displays</t>
  </si>
  <si>
    <t>C0603C101J1HACAUTO</t>
  </si>
  <si>
    <t xml:space="preserve">Многослойные керамические конденсаторы - поверхностного монтажа 0603 100pF 100V X8R 5% AEC-Q200 </t>
  </si>
  <si>
    <t>https://connect.kemet.com:7667/gateway/IntelliData-ComponentDocumentation/1.0/download/datasheet/C0603C101J1HACAUTO</t>
  </si>
  <si>
    <t xml:space="preserve">Mini-Circuits </t>
  </si>
  <si>
    <t xml:space="preserve">Аттенюаторы FXD ATTEN/SURF MT/RoHS </t>
  </si>
  <si>
    <t>https://eu.mouser.com/datasheet/2/1030/YAT_3A_2b-1842856.pdf</t>
  </si>
  <si>
    <t>2221</t>
  </si>
  <si>
    <t>Amphenol RF</t>
  </si>
  <si>
    <t>https://eu.mouser.com/datasheet/2/18/1/amphs06683_1-2259709.pdf</t>
  </si>
  <si>
    <t>РЧ адаптеры - междусерийные Adapter Coaxial Connector SMA Jack, Female Socket To N Jack, Female Socket 50Ohm</t>
  </si>
  <si>
    <t>GRM43DR73A473KW01L</t>
  </si>
  <si>
    <t>https://search.murata.co.jp/Ceramy/image/img/A01X/G101/ENG/GRM43DR73A473KW01-01.pdf</t>
  </si>
  <si>
    <t>SDR0403-330KL</t>
  </si>
  <si>
    <t xml:space="preserve">Силовые индукторы - поверхностный монтаж 33uH 10% SMD 0403 </t>
  </si>
  <si>
    <t>2224</t>
  </si>
  <si>
    <t>https://www.bourns.com/docs/Product-Datasheets/sdr0403.pdf</t>
  </si>
  <si>
    <t>HMC821LP6CE</t>
  </si>
  <si>
    <t>Системы фазовой автоматической подстройки частоты (ФАПЧ) PLL + VCO 1610-2080MHz /2 x2</t>
  </si>
  <si>
    <t>https://www.analog.com/media/en/technical-documentation/data-sheets/hmc821.pdf</t>
  </si>
  <si>
    <t>AT25160B-SSHL-B</t>
  </si>
  <si>
    <t>Microchip</t>
  </si>
  <si>
    <t>EEPROM Memory IC 16Kbit SPI 20 MHz 8-SOIC</t>
  </si>
  <si>
    <t>https://ww1.microchip.com/downloads/en/DeviceDoc/AT25080B-AT25160B-Data-Sheet-20006244A.pdf</t>
  </si>
  <si>
    <t>RT0603BRD0724K3L</t>
  </si>
  <si>
    <t>Тонкопленочные резисторы – для поверхностного монтажа 0603 24.3K Ohm 0 .1% 25ppm 1/10W</t>
  </si>
  <si>
    <t>RC2010JK-076K2L</t>
  </si>
  <si>
    <t>Толстопленочные резисторы – для поверхностного монтажа 2010 6.2K Ohm 5% 3/4W</t>
  </si>
  <si>
    <t>https://www.yageo.com/upload/media/product/productsearch/datasheet/rchip/PYu-RC_Group_51_RoHS_L_12.pdf</t>
  </si>
  <si>
    <t>PLUG-8P8C-PV-C5-SH</t>
  </si>
  <si>
    <t xml:space="preserve">Разъем RJ-45(8P8C) под витую пару, категория 5e (50 µ'/ 50 микродюймов), экранированный, универсальный (для одножильного и многожильного кабеля) </t>
  </si>
  <si>
    <t>MAX8510EXK18+T</t>
  </si>
  <si>
    <t xml:space="preserve">LDO регуляторы напряжения Ultra-Low-Noise, High PSRR, Low-Dropout, 120mA Linear Regulators </t>
  </si>
  <si>
    <t>https://www.analog.com/media/en/technical-documentation/data-sheets/max8510-max8512.pdf</t>
  </si>
  <si>
    <t>ESD204DQAR</t>
  </si>
  <si>
    <t xml:space="preserve">Подавители ЭСР / диоды для подавления переходных скачков напряжения Quad 0.55-pF, +/-3.6-V, +/-30-kV ESD protection diode with 5.5A surge rating for USB &amp; HDMI 10-USON -40 to 125 </t>
  </si>
  <si>
    <t>https://www.ti.com/lit/ds/symlink/esd204.pdf?HQS=dis-dk-null-digikeymode-dsf-pf-null-wwe&amp;ts=1686323246649&amp;ref_url=https%253A%252F%252Fwww.ti.com%252Fgeneral%252Fdocs%252Fsuppproductinfo.tsp%253FdistId%253D10%2526gotoUrl%253Dhttps%253A%252F%252Fwww.ti.com%252Flit%252Fgpn%252Fesd204</t>
  </si>
  <si>
    <t xml:space="preserve">DS90LT012AQMFE/NOPB </t>
  </si>
  <si>
    <t xml:space="preserve">ИС интерфейса LVDS Auto LVDS Diff Line Receiver </t>
  </si>
  <si>
    <t>https://www.ti.com/lit/ds/symlink/ds90lt012aq-q1.pdf?HQS=dis-dk-null-digikeymode-dsf-pf-null-wwe&amp;ts=1686583238231&amp;ref_url=https%253A%252F%252Fwww.ti.com%252Fgeneral%252Fdocs%252Fsuppproductinfo.tsp%253FdistId%253D10%2526gotoUrl%253Dhttps%253A%252F%252Fwww.ti.com%252Flit%252Fgpn%252Fds90lt012aq-q1</t>
  </si>
  <si>
    <t>TLV75801PDBVR</t>
  </si>
  <si>
    <t xml:space="preserve">LDO регуляторы напряжения 500-mA, low-IQ, high-accuracy, adjustable ultra-low-dropout voltage regulator with enable 5-SOT-23 -40 to 125 </t>
  </si>
  <si>
    <t>https://www.ti.com/lit/ds/symlink/tlv758p.pdf?HQS=dis-dk-null-digikeymode-dsf-pf-null-wwe&amp;ts=1686596096287&amp;ref_url=https%253A%252F%252Fwww.ti.com%252Fgeneral%252Fdocs%252Fsuppproductinfo.tsp%253FdistId%253D10%2526gotoUrl%253Dhttps%253A%252F%252Fwww.ti.com%252Flit%252Fgpn%252Ftlv758p</t>
  </si>
  <si>
    <t xml:space="preserve">TPS78401DBVR </t>
  </si>
  <si>
    <t>LDO регуляторы напряжения 300-mA, low-IQ, high-PSRR, low-dropout (LDO) voltage regulator with high accuracy and enable 5-SOT-23 -40 to 125</t>
  </si>
  <si>
    <t>https://www.ti.com/lit/ds/symlink/tps784.pdf?HQS=dis-mous-null-mousermode-dsf-pf-null-wwe&amp;ts=1686596433893&amp;ref_url=https%253A%252F%252Feu.mouser.com%252F</t>
  </si>
  <si>
    <t>0805N162J500NT</t>
  </si>
  <si>
    <t xml:space="preserve">Hitano </t>
  </si>
  <si>
    <t xml:space="preserve">Многослойные керамические конденсаторы - поверхностного монтажа 0805 1600pF 50V C0G 5% </t>
  </si>
  <si>
    <t>https://285624.selcdn.ru/syms1/iblock/0e8/0e8f10ef7e1ea578ca8a31057c04fb76/9cddc5f08a0492077878d49af311824d.pdf</t>
  </si>
  <si>
    <t xml:space="preserve">594D127X9020R2T </t>
  </si>
  <si>
    <t>https://www.vishay.com/docs/40006/594d.pdf</t>
  </si>
  <si>
    <t>XB4BW35B5</t>
  </si>
  <si>
    <t>2025, 2035</t>
  </si>
  <si>
    <t>Illuminated push button, Harmony XB4, metal, orange flush, 22mm, universal LED, plain lens, 1NO + 1NC, 24V AC DC</t>
  </si>
  <si>
    <t>https://www.se.com/ww/en/product/XB4BW35B5/illuminated-push-button-harmony-xb4-metal-orange-flush-22mm-universal-led-plain-lens-1no-+-1nc-24v-ac-dc/</t>
  </si>
  <si>
    <t>CAY10-330J4LF</t>
  </si>
  <si>
    <t>2125</t>
  </si>
  <si>
    <t xml:space="preserve">Резисторные сборки и массивы 33 Ohm 5% Convex 4resistors </t>
  </si>
  <si>
    <t xml:space="preserve">Резисторные сборки и массивы 47 Ohm 5% Concave 4resistors </t>
  </si>
  <si>
    <t>https://www.bourns.com/docs/Product-Datasheets/CAY10.pdf</t>
  </si>
  <si>
    <t>BLM21PG331SN1D</t>
  </si>
  <si>
    <t>2217</t>
  </si>
  <si>
    <t xml:space="preserve">Ферритовые фильтры 330 Ohm 25% Alternate Sizing Guide Below </t>
  </si>
  <si>
    <t>RT0603BRD07210RL</t>
  </si>
  <si>
    <t xml:space="preserve">Тонкопленочные резисторы – для поверхностного монтажа 0603 210 Ohm 0.1% 25ppm 1/10W </t>
  </si>
  <si>
    <t>715P10396KA3</t>
  </si>
  <si>
    <t>Cornell Dubilier Electronics (CDE)</t>
  </si>
  <si>
    <t>Пленочные конденсаторы 10nF 600V 10% Orange Drop 
10000 pF Film Capacitor 200V 600V Polypropylene (PP), Metallized Radial</t>
  </si>
  <si>
    <t>https://www.cde.com/resources/catalogs/715p.pdf</t>
  </si>
  <si>
    <t>09561527612</t>
  </si>
  <si>
    <t xml:space="preserve">Соединители с высокой плотностью контактов D-Sub 15P FEMALE R/A PCB 4-40 UNC PL3 PLATING </t>
  </si>
  <si>
    <t>https://b2b.harting.com/files/download/PRD/PDF_TS/0956152X612_100510340DRW001B.pdf</t>
  </si>
  <si>
    <t>MBR0540T1G</t>
  </si>
  <si>
    <t xml:space="preserve">Диоды и выпрямители Шоттки 0.5A 40V </t>
  </si>
  <si>
    <t>https://www.onsemi.com/pdf/datasheet/mbr0540t1-d.pdf</t>
  </si>
  <si>
    <t>RT0603BRD07422RL</t>
  </si>
  <si>
    <t xml:space="preserve">Тонкопленочные резисторы – для поверхностного монтажа 0603 422 Ohm 0.1% 25ppm 1/10W </t>
  </si>
  <si>
    <t>https://www.yageo.com/upload/media/product/productsearch/datasheet/rchip/PYu-RT_1-to-0.01_RoHS_L_15.pdf</t>
  </si>
  <si>
    <t>DG141V-2.54-02P-14-00AH</t>
  </si>
  <si>
    <t>Degson</t>
  </si>
  <si>
    <t>Нажимной безвинтовой клеммный блок на 2 контакта. Зажим типа торцевой контакт. Серия DG141V-2.54</t>
  </si>
  <si>
    <t>https://www.promelec.ru/fs/sources/48/4c/6a/8a/171aced5e5f4860804c98e44.pdf</t>
  </si>
  <si>
    <t>RC0603FR-0754K9L</t>
  </si>
  <si>
    <t>Толстопленочные резисторы – для поверхностного монтажа 0603 54.9K Ohm 1%</t>
  </si>
  <si>
    <t>RC0805JR-072R4L</t>
  </si>
  <si>
    <t xml:space="preserve">Толстопленочные резисторы – для поверхностного монтажа 0805 2.4 Ohm 5% </t>
  </si>
  <si>
    <t>MNR18E0APJ330</t>
  </si>
  <si>
    <t>Rohm Semiconductor</t>
  </si>
  <si>
    <t>33 Ohm ±5% 62.5mW Power Per Element Isolated 8 Resistor Network/Array ±200ppm/°C 1506, Convex, Long Side Terminals</t>
  </si>
  <si>
    <t>https://media.digikey.com/pdf/Data%20Sheets/Rohm%20PDFs/MNR18_Series.pdf</t>
  </si>
  <si>
    <t>RT0603BRD0715K8L</t>
  </si>
  <si>
    <t xml:space="preserve">Тонкопленочные резисторы – для поверхностного монтажа  0603 15.8K Оhm 0.1% 25ppm 1/10W </t>
  </si>
  <si>
    <t>https://www.klselectronic.com/kls1-3-96a-pitch-3-96mm-jst-vh-type-wire-to-board-connector</t>
  </si>
  <si>
    <t>L-KLS1-3.96-04-H (PHU-04)</t>
  </si>
  <si>
    <t>Pitch 3.96mm JST VH Type Wire To Board Connector</t>
  </si>
  <si>
    <t>L-KLS1-3.96-03-H (PHU-03)</t>
  </si>
  <si>
    <t xml:space="preserve">PCB Connector PCB Connector Series Ⅰ KLS1-3 . 96A Pitch=3.96mm TYPE Electrical Specification: Rated Voltage: 50/250V AC.DC Rated Current: 7A </t>
  </si>
  <si>
    <t>DS1009-28AT1NS-0A2 (SCS-28)</t>
  </si>
  <si>
    <t>DIP-панель под микросхему 28pin, шаг 2.54мм, ширина 7.62мм</t>
  </si>
  <si>
    <t>https://static.chipdip.ru/lib/492/DOC001492237.pdf</t>
  </si>
  <si>
    <t>C4828-14BSGHNTL</t>
  </si>
  <si>
    <t>2219</t>
  </si>
  <si>
    <t>соединитель</t>
  </si>
  <si>
    <t>C1274-14BSGBA0R</t>
  </si>
  <si>
    <t>Соединитель 1.27x1.27mm Pin Header Dual Row Straight H=2.0mm</t>
  </si>
  <si>
    <t>C340C225K5R5TA</t>
  </si>
  <si>
    <t>https://connect.kemet.com:7667/gateway/IntelliData-ComponentDocumentation/1.0/download/datasheet/C340C225K5R5TA</t>
  </si>
  <si>
    <t>C10818_STRADA-A</t>
  </si>
  <si>
    <t>2313</t>
  </si>
  <si>
    <t>Ledil</t>
  </si>
  <si>
    <t>Lens with Integrated Mount Clear Wide, Side Emitting Adhesive, Screw</t>
  </si>
  <si>
    <t>https://www.ledil.com/data/prod/Strada/10818/10818-ds.pdf</t>
  </si>
  <si>
    <t>MURS120T3G</t>
  </si>
  <si>
    <t>Diode 200 V 1A Surface Mount SMB</t>
  </si>
  <si>
    <t>https://www.onsemi.com/pdf/datasheet/murs120t3-d.pdf</t>
  </si>
  <si>
    <t>https://www.analog.com/media/en/technical-documentation/data-sheets/AD7243.pdf</t>
  </si>
  <si>
    <t>C1210X103J5GAC7800</t>
  </si>
  <si>
    <t>T-DS1069-SC600</t>
  </si>
  <si>
    <t>Контакт для колодок разъемов DS1069-x F (XH тип, ш. 2.50 мм), лужен. (Full Tin/Pre-Plating), обжим на пров. сеч. 28-22AWG 
(T-DS1069-SC600)</t>
  </si>
  <si>
    <t>I-DS1069-SCW002</t>
  </si>
  <si>
    <t>Розетка кабельная 2.50мм, контакты к ним T-DS1069-SC600. Аналог I-DS1069-SCW002</t>
  </si>
  <si>
    <t>HIRSCHMANN SKS</t>
  </si>
  <si>
    <t xml:space="preserve">930 727-100 (чёрный цвет) </t>
  </si>
  <si>
    <t>930 727-101 (красный цвет)</t>
  </si>
  <si>
    <t>930 727-102 (синий цвет)</t>
  </si>
  <si>
    <t>YAT-3A+</t>
  </si>
  <si>
    <t>02-08-1201 (0002081201)</t>
  </si>
  <si>
    <t>2233</t>
  </si>
  <si>
    <t>Проводные клеммы и зажимы SOCKET 14-20AWG</t>
  </si>
  <si>
    <t>https://tools.molex.com/pdm_docs/sd/002081201_sd.pdf</t>
  </si>
  <si>
    <t>4609M-901-104LF</t>
  </si>
  <si>
    <t>https://www.bourns.com/pdfs/900.pdf</t>
  </si>
  <si>
    <t>CC0805JRNPOBBN330</t>
  </si>
  <si>
    <t xml:space="preserve">Многослойные керамические конденсаторы - поверхностного монтажа 0805 33pF 500V C0G 5% </t>
  </si>
  <si>
    <t>930 727-103 (желтый цвет)</t>
  </si>
  <si>
    <t xml:space="preserve">Испытательные штепсели и гнезда Test Plug BUELA 30 K YELLOW </t>
  </si>
  <si>
    <t>930 727-104 (зеленый цвет)</t>
  </si>
  <si>
    <t>Испытательные штепсели и гнезда Test Plug BUELA 30 K GREEN</t>
  </si>
  <si>
    <t>C1812C681JDGAC7800</t>
  </si>
  <si>
    <t xml:space="preserve">Многослойные керамические конденсаторы - поверхностного монтажа 1812 680pF 1000V C0G 5% </t>
  </si>
  <si>
    <t>https://connect.kemet.com:7667/gateway/IntelliData-ComponentDocumentation/1.0/download/datasheet/C1812C681JDGAC7800</t>
  </si>
  <si>
    <t>ESMQ451VSN471MR45S</t>
  </si>
  <si>
    <t>Chemi-Con</t>
  </si>
  <si>
    <t>https://www.chemi-con.co.jp/products/relatedfiles/capacitor/catalog/SMQN-e.PDF</t>
  </si>
  <si>
    <t>https://www.vishay.com/docs/26013/mkt1813.pdf</t>
  </si>
  <si>
    <t>J01151A0201</t>
  </si>
  <si>
    <t>Разъём SMA, на плату, гнездо, 50 Ом, пайка, на горизонтальную плату, Telegartner,</t>
  </si>
  <si>
    <t>https://www.1-cable.ru/models/20230-3401.html</t>
  </si>
  <si>
    <t>L-KLS8DBL-M3-E5.0-L12</t>
  </si>
  <si>
    <t>Стойка для платы, латунная, без покрытия</t>
  </si>
  <si>
    <t>DS1065-03-2*40S8BV</t>
  </si>
  <si>
    <t>DS1065-03-2*7S8BV</t>
  </si>
  <si>
    <t>Гнездо, IDC, "мама", PIN 14, прямой, 1,27мм, THT, 2x7, gold flash, 1А</t>
  </si>
  <si>
    <t>B82464A4683K000</t>
  </si>
  <si>
    <t xml:space="preserve">Силовые индукторы - поверхностный монтаж 68uH 1.25A 10% 10x10.4mm SMD </t>
  </si>
  <si>
    <t>https://www.tdk-electronics.tdk.com/inf/30/db/ind_2008/b82464a4.pdf</t>
  </si>
  <si>
    <t>RT0603BRD071K78L</t>
  </si>
  <si>
    <t>Тонкопленочные резисторы – для поверхностного монтажа 0603 1.78K Ohm 0.1% 25ppm 1/10W</t>
  </si>
  <si>
    <t>BLM18KG601BH1D</t>
  </si>
  <si>
    <t>2229</t>
  </si>
  <si>
    <t xml:space="preserve">Ферритовые фильтры 600 OHM 1.0A 0.15OHM Alternate Sizing Guide Below </t>
  </si>
  <si>
    <t>https://www.murata.com/en-us/products/productdata/8798137286686/QNFA9129.pdf</t>
  </si>
  <si>
    <t>8.08.00 J-LINK BASE</t>
  </si>
  <si>
    <t>Segger Microcontroller Systems</t>
  </si>
  <si>
    <t>ARM7®, ARM9®, ARM11®, Cortex® - Emulator</t>
  </si>
  <si>
    <t>https://www.segger.com/downloads/jlink/UM08001</t>
  </si>
  <si>
    <t>J-LINK 10-PIN NEEDLE ADAPTER</t>
  </si>
  <si>
    <t>8.06.04 J-LINK</t>
  </si>
  <si>
    <t>https://media.digikey.com/pdf/Data%20Sheets/Segger%20PDFs/8.06.04%20J-LINK%2010-PIN%20NEEDLE%20ADAPTER.pdf</t>
  </si>
  <si>
    <t>Штекер черный/серебрянный</t>
  </si>
  <si>
    <t>CC0603FRNPO9BN180</t>
  </si>
  <si>
    <t xml:space="preserve">Многослойные керамические конденсаторы - поверхностного монтажа 0603 18pF 50V C0G 1% </t>
  </si>
  <si>
    <t xml:space="preserve">Многослойные керамические конденсаторы - поверхностного монтажа 0603 18pF 250V C0G 2% </t>
  </si>
  <si>
    <t>KR-SMAM-RG58-CR-01, SMA male crimp RG-58 (J01150A0041)</t>
  </si>
  <si>
    <t>https://www.1-cable.ru/upload/models/pdf/20130-05.pdf</t>
  </si>
  <si>
    <t>J01151A0201 
(аналог KR-SMAF-RA-PSB-02)</t>
  </si>
  <si>
    <t>J01150A0041 
(аналог KR-SMAM-RG58-CR-01)</t>
  </si>
  <si>
    <t>MAX1658ESA+</t>
  </si>
  <si>
    <t>LDO регуляторы напряжения 350mA, 16.5V Input, Low-Dropout Linear Regulators</t>
  </si>
  <si>
    <t>https://www.analog.com/media/en/technical-documentation/data-sheets/max1658-max1659.pdf</t>
  </si>
  <si>
    <t>150040BS73240</t>
  </si>
  <si>
    <t xml:space="preserve">Стандартные светодиоды - Накладного монтажа WL-SMCC SMD Mono SMD 0402 Blue 470nm </t>
  </si>
  <si>
    <t>2235</t>
  </si>
  <si>
    <t>https://www.we-online.com/components/products/datasheet/150040BS73240.pdf</t>
  </si>
  <si>
    <t>T68-6</t>
  </si>
  <si>
    <t>Феррит: тороидальный; Дл: 4,83мм; Øвнутр: 9,4мм; Øвнешн: 17,53мм</t>
  </si>
  <si>
    <t>https://www.micros.com.pl/mediaserver/Z_SH8.0-M-B_AMASS_0001.pdf</t>
  </si>
  <si>
    <t>CC0603KRX7R7BB474</t>
  </si>
  <si>
    <t>2116, 2140</t>
  </si>
  <si>
    <t>ERJ-6BWFR010V</t>
  </si>
  <si>
    <t>ERJ-6ENF4870V</t>
  </si>
  <si>
    <t>U.FL-2LPHF6-068N1T-A-50</t>
  </si>
  <si>
    <t>https://www.hirose.com/ru/product/p/CL0321-5043-6-03</t>
  </si>
  <si>
    <t>Cable Assembly Coaxial U.FL (UMCC) to U.FL (UMCC) 1.13mm OD Coaxial Cable 1.969" (50.00mm)</t>
  </si>
  <si>
    <t>ADM2587EBRWZ-REEL7</t>
  </si>
  <si>
    <t xml:space="preserve">Цифровые изоляторы ISOLATED RS485 HD/FD 500kbps IC </t>
  </si>
  <si>
    <t>https://www.analog.com/media/en/technical-documentation/data-sheets/ADM2582E_2587E.pdf</t>
  </si>
  <si>
    <t>ATMEGA2560-16AU</t>
  </si>
  <si>
    <t xml:space="preserve">8-битные микроконтроллеры 256kB Flash 4kB EEPROM 86 I/O Pins </t>
  </si>
  <si>
    <t>https://ww1.microchip.com/downloads/en/DeviceDoc/ATmega640-1280-1281-2560-2561-Datasheet-DS40002211A.pdf</t>
  </si>
  <si>
    <t>NUD4700SNT1G</t>
  </si>
  <si>
    <t xml:space="preserve">Защитные устройства для светодиодов SCR Shunt </t>
  </si>
  <si>
    <t>Onsemi</t>
  </si>
  <si>
    <t>https://www.onsemi.com/pdf/datasheet/nud4700-d.pdf</t>
  </si>
  <si>
    <t>AMS1117-3.3</t>
  </si>
  <si>
    <t>UMW</t>
  </si>
  <si>
    <t>Linear Voltage Regulator IC Positive Fixed 1 Output 1A SOT-223-3L</t>
  </si>
  <si>
    <t>https://mm.digikey.com/Volume0/opasdata/d220001/medias/docus/5011/AMS1117.pdf</t>
  </si>
  <si>
    <t>AMS1117-1.8</t>
  </si>
  <si>
    <t>Линейный стабилизатор напряжения, положительной полярности, 1.8 В, 1 А</t>
  </si>
  <si>
    <t>Линейный стабилизатор напряжения, положительной полярности, 1.2-12 В, 0.8 А</t>
  </si>
  <si>
    <t>PESD5V0L1UB,115</t>
  </si>
  <si>
    <t xml:space="preserve">Подавители ЭСР / диоды для подавления переходных скачков напряжения PESD5V0L1UB/SOD523/SC-79 </t>
  </si>
  <si>
    <t>Nexperia USA Inc.</t>
  </si>
  <si>
    <t>https://assets.nexperia.com/documents/data-sheet/PESD5V0L1UB.pdf</t>
  </si>
  <si>
    <t>T491D686K006AT7280</t>
  </si>
  <si>
    <t>https://connect.kemet.com:7667/gateway/IntelliData-ComponentDocumentation/1.0/download/datasheet/T491D686K006AT7280</t>
  </si>
  <si>
    <t>L-7113LSRD</t>
  </si>
  <si>
    <t>0820</t>
  </si>
  <si>
    <t>Светодиод 5мм/красный/640нм/8-20мкд/30°/2мА</t>
  </si>
  <si>
    <t>https://www.kingbright.ru/products/28-low-current-led/2454-l-7113lsrd</t>
  </si>
  <si>
    <t>GQM2195C2E3R9CB12D</t>
  </si>
  <si>
    <t xml:space="preserve">Многослойные керамические конденсаторы - поверхностного монтажа 0805 3.9 pF 250V 0.25pF C0G </t>
  </si>
  <si>
    <t>https://search.murata.co.jp/Ceramy/image/img/A01X/G101/ENG/GQM2195C2E3R9CB12-01.pdf</t>
  </si>
  <si>
    <t>SH8.0-M (красный)</t>
  </si>
  <si>
    <t>SH8.0-M (черный)</t>
  </si>
  <si>
    <t>LQH3NPN2R2MMEL</t>
  </si>
  <si>
    <t>https://search.murata.co.jp/Ceramy/image/img/P02/JELF243A-0153.pdf</t>
  </si>
  <si>
    <t>CC0402BRNPO9BN4R3</t>
  </si>
  <si>
    <t>0603CS-56NXGLW</t>
  </si>
  <si>
    <t xml:space="preserve">Катушки постоянной индуктивности 0603 56nH Unshld 2% 600mA 310mOhms AECQ2 </t>
  </si>
  <si>
    <t>https://www.coilcraft.com/getmedia/022eb894-7253-40d0-b07c-650d362fc80e/0603cs.pdf</t>
  </si>
  <si>
    <t>RC0402FR-073RL</t>
  </si>
  <si>
    <t xml:space="preserve">Толстопленочные резисторы – для поверхностного монтажа 0402 3 Ohm 1% </t>
  </si>
  <si>
    <t xml:space="preserve">A05TGLC </t>
  </si>
  <si>
    <t>РЧ-индукторы - поверхностный монтаж 18.5nH Unshld 2% 4A 3.9mOhms AECQ2</t>
  </si>
  <si>
    <t>https://eu.mouser.com/datasheet/2/597/mini-270627.pdf</t>
  </si>
  <si>
    <t>1812SMS-22NGLC</t>
  </si>
  <si>
    <t>2311</t>
  </si>
  <si>
    <t xml:space="preserve">РЧ-индукторы - поверхностный монтаж 1812 22nH Unshld 2% 3A 4.2mOhms AECQ2 </t>
  </si>
  <si>
    <t>https://eu.mouser.com/datasheet/2/597/midi-270675.pdf</t>
  </si>
  <si>
    <t>0603CS-1N6XJLW</t>
  </si>
  <si>
    <t>https://eu.mouser.com/datasheet/2/597/0603cs-270694.pdf</t>
  </si>
  <si>
    <t>2140</t>
  </si>
  <si>
    <t xml:space="preserve">Диоды и выпрямители Шоттки 3A, 100V, Schottky Rectifier </t>
  </si>
  <si>
    <t>SK310A-LTP</t>
  </si>
  <si>
    <t>Micro Commercial Co</t>
  </si>
  <si>
    <t>https://www.mccsemi.com/pdf/Products/SK32A-L-SK310A-L(DO-214AC).pdf</t>
  </si>
  <si>
    <t>UWT1A102MNL1GS</t>
  </si>
  <si>
    <t>https://products.nichicon.co.jp/en/pdf/XJA043/e-uwt.pdf</t>
  </si>
  <si>
    <t>OPA340NA/3K</t>
  </si>
  <si>
    <t xml:space="preserve">Операционные усилители Single-Supply Rail-to-Rail </t>
  </si>
  <si>
    <t>https://www.ti.com/general/docs/suppproductinfo.tsp?distId=26&amp;gotoUrl=https://www.ti.com/lit/gpn/opa340</t>
  </si>
  <si>
    <t>LM1815MX/NOPB</t>
  </si>
  <si>
    <t>1927</t>
  </si>
  <si>
    <t xml:space="preserve">Сенсорный интерфейс Adaptive Variable Reluctance Sensor Amplifier 14-SOIC -40 to 125 </t>
  </si>
  <si>
    <t>https://www.ti.com/lit/ds/symlink/lm1815.pdf?HQS=dis-dk-null-digikeymode-dsf-pf-null-wwe&amp;ts=1700233275754&amp;ref_url=https%253A%252F%252Fwww.ti.com%252Fgeneral%252Fdocs%252Fsuppproductinfo.tsp%253FdistId%253D10%2526gotoUrl%253Dhttps%253A%252F%252Fwww.ti.com%252Flit%252Fgpn%252Flm1815</t>
  </si>
  <si>
    <t>BZV55-B3V0.115</t>
  </si>
  <si>
    <t>1652</t>
  </si>
  <si>
    <t>Zener Diode 3 V 500 mW ±2% Surface Mount LLDS; MiniMelf</t>
  </si>
  <si>
    <t>CC0402KRX5R8BB105</t>
  </si>
  <si>
    <t>https://www.yageo.com/upload/media/product/productsearch/datasheet/mlcc/UPY-GPHC_X5R_4V-to-50V_30.pdf</t>
  </si>
  <si>
    <t>CC0603JRX7R9BB473</t>
  </si>
  <si>
    <t>https://www.yageo.com/upload/media/product/productsearch/datasheet/mlcc/UPY-GPHC_X7R_6.3V-to-250V_23.pdf</t>
  </si>
  <si>
    <t>CC0805JRX7R9BB473</t>
  </si>
  <si>
    <t>CC0603JRX7R9BB122</t>
  </si>
  <si>
    <t xml:space="preserve">Многослойные керамические конденсаторы - поверхностного монтажа 0603 1200pF 50V X7R 5% </t>
  </si>
  <si>
    <t>CL31A476MQHNNNE</t>
  </si>
  <si>
    <t>https://mm.digikey.com/Volume0/opasdata/d220001/medias/docus/41/CL31A476MQHNNNE_Spec.pdf</t>
  </si>
  <si>
    <t>GRM188R61A106ME69</t>
  </si>
  <si>
    <t>Многослойные керамические конденсаторы - поверхностного монтажа 0603 10µF 10V X5R 20%</t>
  </si>
  <si>
    <t>Многослойные керамические конденсаторы - поверхностного монтажа 0603 10µF 6.3V X5R 20%</t>
  </si>
  <si>
    <t>Многослойные керамические конденсаторы - поверхностного монтажа 0603 10µF 10V X7T 10%</t>
  </si>
  <si>
    <t>Многослойные керамические конденсаторы - поверхностного монтажа 0603 10µF 10V X5R 10%</t>
  </si>
  <si>
    <t xml:space="preserve">Защищенные конденсаторы 6.8µF 305V 20% 37.5mm L/S Class X2 </t>
  </si>
  <si>
    <t>Конденсаторы электролитические алюминиевые (35V x 22µF  85oC)</t>
  </si>
  <si>
    <t xml:space="preserve">Алюминиевые электролитические конденсаторы для поверхностного монтажа 220µF 16V </t>
  </si>
  <si>
    <t xml:space="preserve">Алюминиевые электролитические конденсаторы для поверхностного монтажа 47µF 50V </t>
  </si>
  <si>
    <t xml:space="preserve">Алюминиевые электролитические конденсаторы для поверхностного монтажа 470µF 25V FK SMD </t>
  </si>
  <si>
    <t xml:space="preserve">Буферы и линейные аппаратные драйверы 3.3V ABT Octal BµFf/Drv W/3-St Otpt </t>
  </si>
  <si>
    <t xml:space="preserve">Оксидно-электролитические алюминиевые конденсаторы - С радиальными выводами 470µF 16 Volts 20% </t>
  </si>
  <si>
    <t xml:space="preserve">Алюминиевые электролитические конденсаторы для поверхностного монтажа 10volts 1000µF AEC-Q200 </t>
  </si>
  <si>
    <t>Многослойные керамические конденсаторы - поверхностного монтажа 0204 1µF 4V X6S 20%</t>
  </si>
  <si>
    <t xml:space="preserve">Многослойные керамические конденсаторы - поверхностного монтажа 0402 0.01µF 50V X7R 10% </t>
  </si>
  <si>
    <t xml:space="preserve">Многослойные керамические конденсаторы - поверхностного монтажа 0402 0.01µF 25V X7R 10% </t>
  </si>
  <si>
    <t>Многослойные керамические конденсаторы - поверхностного монтажа 0402 0.1µF 16V X7R 5%</t>
  </si>
  <si>
    <t>Многослойные керамические конденсаторы - поверхностного монтажа 0402 0.1µF 16V X7R 10%</t>
  </si>
  <si>
    <t>Многослойные керамические конденсаторы - поверхностного монтажа 0402 0.1µF 25V X7R 10%</t>
  </si>
  <si>
    <t>Многослойные керамические конденсаторы - поверхностного монтажа 0402 0.1µF 25V X5R 10%</t>
  </si>
  <si>
    <t xml:space="preserve">Многослойные керамические конденсаторы - поверхностного монтажа 0402 0.1µF 50V X7R 10% </t>
  </si>
  <si>
    <t>Многослойные керамические конденсаторы - поверхностного монтажа 0402 1µF 6.3V X7R 10%</t>
  </si>
  <si>
    <t xml:space="preserve">Многослойные керамические конденсаторы - поверхностного монтажа 0402 1µF 25V X5R 10% </t>
  </si>
  <si>
    <t xml:space="preserve">Многослойные керамические конденсаторы - поверхностного монтажа 0402 0.012µF 25V X7R 5% </t>
  </si>
  <si>
    <t xml:space="preserve">Многослойные керамические конденсаторы - поверхностного монтажа 0402 0.018µF 50V X7R 5% </t>
  </si>
  <si>
    <t xml:space="preserve">Многослойные керамические конденсаторы - поверхностного монтажа 0402 0.018µF 50V X7R 10% </t>
  </si>
  <si>
    <t xml:space="preserve">Многослойные керамические конденсаторы - поверхностного монтажа 0402 0.018µF 50V X7R 10% AEC-Q200 </t>
  </si>
  <si>
    <t xml:space="preserve">Многослойные керамические конденсаторы - поверхностного монтажа 0402 0.022µF 25V X7R 5% </t>
  </si>
  <si>
    <t>Многослойные керамические конденсаторы - поверхностного монтажа 0402 0.022µF 25V X7R 10%</t>
  </si>
  <si>
    <t xml:space="preserve">Многослойные керамические конденсаторы - поверхностного монтажа 0402 0.022µF 50V X7R 5% </t>
  </si>
  <si>
    <t>Многослойные керамические конденсаторы - поверхностного монтажа 0402 0.22µF 16V X7R 10%</t>
  </si>
  <si>
    <t xml:space="preserve">Многослойные керамические конденсаторы - поверхностного монтажа 0402 2.2µF 16V X5R 10% </t>
  </si>
  <si>
    <t>Многослойные керамические конденсаторы - поверхностного монтажа 0402 2.2µF 25V X5R 10%</t>
  </si>
  <si>
    <t xml:space="preserve">Многослойные керамические конденсаторы - поверхностного монтажа 0402 0.047µF 10V X7R 10% </t>
  </si>
  <si>
    <t xml:space="preserve">Многослойные керамические конденсаторы - поверхностного монтажа 0402 0.047µF 16V X7R 10% </t>
  </si>
  <si>
    <t>Многослойные керамические конденсаторы - поверхностного монтажа 0402 0.047µF 25V X7R 5%</t>
  </si>
  <si>
    <t xml:space="preserve">Многослойные керамические конденсаторы - поверхностного монтажа 0402 0.047µF 50V X7R 5% </t>
  </si>
  <si>
    <t xml:space="preserve">Многослойные керамические конденсаторы - поверхностного монтажа 0402 4.7µF 6.3V X5R 20% </t>
  </si>
  <si>
    <t>Многослойные керамические конденсаторы - поверхностного монтажа 0402 4.7µF 100V C0G ±0.25pF</t>
  </si>
  <si>
    <t>Многослойные керамические конденсаторы - поверхностного монтажа 0402 0.056µF 16V X7R +/-5%</t>
  </si>
  <si>
    <t>Многослойные керамические конденсаторы - поверхностного монтажа 0402 0.056µF 50V X7R 10 %</t>
  </si>
  <si>
    <t>Многослойные керамические конденсаторы - поверхностного монтажа 0603 0.01µF 50V X7R 5%</t>
  </si>
  <si>
    <t>Многослойные керамические конденсаторы - поверхностного монтажа 0603 0.01µF 50V X7R 10%</t>
  </si>
  <si>
    <t>Многослойные керамические конденсаторы - поверхностного монтажа 0603 0.1µF 16V X7R 10% AEC-Q200</t>
  </si>
  <si>
    <t>Многослойные керамические конденсаторы - поверхностного монтажа 0603 0.1µF 16V X7R 10%</t>
  </si>
  <si>
    <t>Многослойные керамические конденсаторы - поверхностного монтажа 0603 0.1µF 50V X7R 5%</t>
  </si>
  <si>
    <t>Многослойные керамические конденсаторы - поверхностного монтажа 0603 0.1µF 50V X7R 10%</t>
  </si>
  <si>
    <t>Многослойные керамические конденсаторы - поверхностного монтажа 0603 0.1µF 100V X7R 10%</t>
  </si>
  <si>
    <t xml:space="preserve">Многослойные керамические конденсаторы - поверхностного монтажа 0603 0.1µF 100V X7R 10% </t>
  </si>
  <si>
    <t>Многослойные керамические конденсаторы - поверхностного монтажа 0603 1µF 10V X7R 10%</t>
  </si>
  <si>
    <t xml:space="preserve">Многослойные керамические конденсаторы - поверхностного монтажа 0603 1µF 16V X7R 10% </t>
  </si>
  <si>
    <t>Многослойные керамические конденсаторы - поверхностного монтажа 0603 1µF 25V X7R 10%</t>
  </si>
  <si>
    <t>Многослойные керамические конденсаторы - поверхностного монтажа 0603 1µF 50V X5R 10%</t>
  </si>
  <si>
    <t xml:space="preserve">Многослойные керамические конденсаторы - поверхностного монтажа 0603 0.15µF 50V X7R 10% </t>
  </si>
  <si>
    <t xml:space="preserve">Многослойные керамические конденсаторы - поверхностного монтажа 0603 0.018µF 50V X7R 10% </t>
  </si>
  <si>
    <t xml:space="preserve">Многослойные керамические конденсаторы - поверхностного монтажа 0603 0.22µF 10V X7R 10% </t>
  </si>
  <si>
    <t xml:space="preserve">Многослойные керамические конденсаторы - поверхностного монтажа 0603 0.033µF 25volts X7R 10% </t>
  </si>
  <si>
    <t xml:space="preserve">Многослойные керамические конденсаторы - поверхностного монтажа 0603 0.047µF 50V X7R 5% </t>
  </si>
  <si>
    <t xml:space="preserve">Многослойные керамические конденсаторы - поверхностного монтажа 0603 0.47µF 16V X7R 10% </t>
  </si>
  <si>
    <t>Многослойные керамические конденсаторы - поверхностного монтажа 0603 4.7µF 10V X5R 10%</t>
  </si>
  <si>
    <t>Многослойные керамические конденсаторы - поверхностного монтажа 0603 4.7µF 10V X7T 10%</t>
  </si>
  <si>
    <t>Многослойные керамические конденсаторы - поверхностного монтажа 0603 4.7µF 16V X5R 10%</t>
  </si>
  <si>
    <t>Многослойные керамические конденсаторы - поверхностного монтажа 0805 0.01µF 50V C0G 5%</t>
  </si>
  <si>
    <t xml:space="preserve">Многослойные керамические конденсаторы - поверхностного монтажа 0805 0.01µF 50V X7R 10% </t>
  </si>
  <si>
    <t xml:space="preserve">Многослойные керамические конденсаторы - поверхностного монтажа 0805 0.01µF 100V X7R 10% </t>
  </si>
  <si>
    <t>Многослойные керамические конденсаторы - поверхностного монтажа 0805 0.01µF 250V X7R 10%</t>
  </si>
  <si>
    <t>Многослойные керамические конденсаторы - поверхностного монтажа 0805 0.1µF 50V X7R 5%</t>
  </si>
  <si>
    <t>Многослойные керамические конденсаторы - поверхностного монтажа 0805 0.1µF 50V X7R 10%</t>
  </si>
  <si>
    <t>Многослойные керамические конденсаторы - поверхностного монтажа 0805 1µF 50V X7R 10%</t>
  </si>
  <si>
    <t>Многослойные керамические конденсаторы - поверхностного монтажа 0805 10µF 10V X7R 10%</t>
  </si>
  <si>
    <t xml:space="preserve">Многослойные керамические конденсаторы - поверхностного монтажа 0805 0.012µF 50V C0G 5% </t>
  </si>
  <si>
    <t>Многослойные керамические конденсаторы - поверхностного монтажа 0805 0.015µF 50V C0G 5%</t>
  </si>
  <si>
    <t xml:space="preserve">Многослойные керамические конденсаторы - поверхностного монтажа 0805 0.27µF 25V X7R 10% </t>
  </si>
  <si>
    <t xml:space="preserve">Многослойные керамические конденсаторы - поверхностного монтажа 0805 0.047µF 50V X7R 10% </t>
  </si>
  <si>
    <t xml:space="preserve">Многослойные керамические конденсаторы - поверхностного монтажа 0805 0.047µF 50V X7R 5% </t>
  </si>
  <si>
    <t xml:space="preserve">Многослойные керамические конденсаторы - поверхностного монтажа 0805 0.47µF 16V X7R 10% </t>
  </si>
  <si>
    <t xml:space="preserve">Многослойные керамические конденсаторы - поверхностного монтажа 0805 0.47µF 50V X7R 10% </t>
  </si>
  <si>
    <t xml:space="preserve">Многослойные керамические конденсаторы - поверхностного монтажа 0805 4.7µF 6.3V X5R 10% </t>
  </si>
  <si>
    <t xml:space="preserve">Многослойные керамические конденсаторы - поверхностного монтажа 0805 4.7µF 10V X7R 10% </t>
  </si>
  <si>
    <t>Многослойные керамические конденсаторы - поверхностного монтажа 1206 1µF 16V X7R 10%</t>
  </si>
  <si>
    <t xml:space="preserve">Многослойные керамические конденсаторы - поверхностного монтажа 1206 10µF 50V X5R 10% </t>
  </si>
  <si>
    <t xml:space="preserve">Многослойные керамические конденсаторы - поверхностного монтажа 1206 22µF 25V X5R 10%  </t>
  </si>
  <si>
    <t xml:space="preserve">Многослойные керамические конденсаторы - поверхностного монтажа 1206 0.32µF 50V X7R 10% </t>
  </si>
  <si>
    <t xml:space="preserve">Многослойные керамические конденсаторы - поверхностного монтажа 1206 47µF 6.3volts X5R 20% </t>
  </si>
  <si>
    <t>Многослойные керамические конденсаторы - поверхностного монтажа 1206 47µF 6.3V X5R 20%</t>
  </si>
  <si>
    <t>Многослойные керамические конденсаторы - поверхностного монтажа 1210 0.01µF 50V C0G 5%</t>
  </si>
  <si>
    <t>Многослойные керамические конденсаторы - поверхностного монтажа 1210 10µF 25V X5R 20%</t>
  </si>
  <si>
    <t>Многослойные керамические конденсаторы - поверхностного монтажа 1210 10µF 16V X7R 10%</t>
  </si>
  <si>
    <t>Многослойные керамические конденсаторы - поверхностного монтажа 1210 10µF 25V X7R 10%</t>
  </si>
  <si>
    <t xml:space="preserve">Многослойные керамические конденсаторы - поверхностного монтажа 1210 100µF 6.3V X5R 20% </t>
  </si>
  <si>
    <t xml:space="preserve">Многослойные керамические конденсаторы - поверхностного монтажа 1210 100µF 6.3V X5R 20%  </t>
  </si>
  <si>
    <t xml:space="preserve">Многослойные керамические конденсаторы - поверхностного монтажа 1210 100µF 10V X5R 20%  </t>
  </si>
  <si>
    <t xml:space="preserve">Многослойные керамические конденсаторы - поверхностного монтажа 1210 22µF 25V X7R 10% </t>
  </si>
  <si>
    <t xml:space="preserve">Многослойные керамические конденсаторы - поверхностного монтажа 1210 0.68µF 25V X7R 10% </t>
  </si>
  <si>
    <t xml:space="preserve">Многослойные керамические конденсаторы - поверхностного монтажа 1210 0.68µF 50V X7R 10% AEC-Q200 </t>
  </si>
  <si>
    <t>Многослойные керамические конденсаторы - поверхностного монтажа 1812 1µF 50V X7R 10%</t>
  </si>
  <si>
    <t xml:space="preserve">Многослойные керамические конденсаторы - поверхностного монтажа 1812 0.047µF 1kV X7R 10% </t>
  </si>
  <si>
    <t xml:space="preserve">Многослойные керамические конденсаторы - поверхностного монтажа 2220 0.1µF 450V C0G 5% AEC-Q200 </t>
  </si>
  <si>
    <t>Многослойные керамические конденсаторы - поверхностного монтажа 2220 1.0µF 250V 10%</t>
  </si>
  <si>
    <t xml:space="preserve">Многослойные керамические конденсаторы - поверхностного монтажа 3025 2.2µF 250V  X7R 20% </t>
  </si>
  <si>
    <t xml:space="preserve">Многослойные керамические конденсаторы - поверхностного монтажа 3025 1µF 500V  X7R 20% </t>
  </si>
  <si>
    <t>Полимерные танталовые конденсаторы 470µF 2.5volts ESR 7mohm case D2E</t>
  </si>
  <si>
    <t>Конденсаторные массивы и сети 9Pin 0.1µF 20% Bussed X7R</t>
  </si>
  <si>
    <t xml:space="preserve">Алюминиевые электролитические конденсаторы для поверхностного монтажа 330µF 50V </t>
  </si>
  <si>
    <t xml:space="preserve">Пленочные конденсаторы 0.1µF 250V 10% </t>
  </si>
  <si>
    <t>Radial  Многослойные керамические конденсаторы - покрытие с содержанием свинца 50V 2.2µF X7R 10% LS=5.08mm</t>
  </si>
  <si>
    <t xml:space="preserve">Пленочные конденсаторы 1µF 400V 5% MPP L/S=20mm </t>
  </si>
  <si>
    <t xml:space="preserve">Оксидно-электролитические алюминиевые конденсаторы - С радиальными выводами 4.7µF 50volts AEC-Q200 </t>
  </si>
  <si>
    <t>https://industrial.panasonic.com/ww/products/capacitors/aluminum-capacitors/aluminum-cap-lead/fc/EEµFC1H4R7B</t>
  </si>
  <si>
    <t>Алюминиевые электролитические конденсаторы с жесткими выводами 470µF 450V
470µF 450V Aluminum Electrolytic Capacitors Radial, Can - Snap-In 2000 Hrs @ 85°C</t>
  </si>
  <si>
    <t xml:space="preserve">Пленочные конденсаторы 0.47µF 400V 10% </t>
  </si>
  <si>
    <t xml:space="preserve">Алюминиевые электролитические конденсаторы для поверхностного монтажа 16V 470µF 8mm×10mm </t>
  </si>
  <si>
    <t>Танталовые конденсаторы - твердые, для поверхностного монтажа 1206 10µF 10V 10% A case</t>
  </si>
  <si>
    <t>Танталовые конденсаторы - твердые, для поверхностного монтажа 1206 10µF 16V 10% A case</t>
  </si>
  <si>
    <t>Танталовые конденсаторы - твердые, для поверхностного монтажа 1206 2.2µF 10V 10% A case</t>
  </si>
  <si>
    <t>Танталовые конденсаторы - твердые, для поверхностного монтажа 1206 2.2µF 16V 10% A case</t>
  </si>
  <si>
    <t>Танталовые конденсаторы - твердые, для поверхностного монтажа 1206 2.2µF 20V 10% A case</t>
  </si>
  <si>
    <t>Танталовые конденсаторы - твердые, для поверхностного монтажа 1206 47µF 6.3V 10% A case</t>
  </si>
  <si>
    <t xml:space="preserve">Танталовые конденсаторы - твердые, для поверхностного монтажа 1210 10µF 10V 10%  B Case </t>
  </si>
  <si>
    <t xml:space="preserve">Танталовые конденсаторы - твердые, для поверхностного монтажа 1210 10µF 16V 10%  B Case </t>
  </si>
  <si>
    <t xml:space="preserve">Танталовые конденсаторы - твердые, для поверхностного монтажа 1210 10µF 25V 10%  B Case </t>
  </si>
  <si>
    <t xml:space="preserve">Танталовые конденсаторы - твердые, для поверхностного монтажа 1210 150µF 6.3V 20%  B Case </t>
  </si>
  <si>
    <t xml:space="preserve">Танталовые конденсаторы - твердые, для поверхностного монтажа 1210 2.2µF 20V 10%  B Case </t>
  </si>
  <si>
    <t xml:space="preserve">Танталовые конденсаторы - твердые, для поверхностного монтажа 1210 2.2µF 20V 20%  B Case </t>
  </si>
  <si>
    <t xml:space="preserve">Танталовые конденсаторы - твердые, для поверхностного монтажа 1210 6.8µF 16V 10%  B Case </t>
  </si>
  <si>
    <t xml:space="preserve">Танталовые конденсаторы - твердые, для поверхностного монтажа 1210 6.8µF 25V 10%  B Case </t>
  </si>
  <si>
    <t>Танталовые конденсаторы - твердые для поверхностного монтажа 2312 22µF 10V 10% C case</t>
  </si>
  <si>
    <t>Танталовые конденсаторы - твердые для поверхностного монтажа 2312 33µF 20V 10% C Case</t>
  </si>
  <si>
    <t>Танталовые конденсаторы - твердые для поверхностного монтажа 2312 47µF 16V 20% C case</t>
  </si>
  <si>
    <t>Танталовые конденсаторы - твердые для поверхностного монтажа 2312 68µF 16V 20% C case</t>
  </si>
  <si>
    <t>Танталовые конденсаторы - твердые для поверхностного монтажа 2312 100µF 10V 10% C case</t>
  </si>
  <si>
    <t xml:space="preserve">Танталовые конденсаторы - твердые для поверхностного монтажа 2917 100µF 16V 10% D case  </t>
  </si>
  <si>
    <t>Танталовые конденсаторы - твердые для поверхностного монтажа 2917 15µF 20V 10% D case</t>
  </si>
  <si>
    <t>Танталовые конденсаторы - твердые для поверхностного монтажа 2917 15µF 25V 10% D case</t>
  </si>
  <si>
    <t>Танталовые конденсаторы - твердые для поверхностного монтажа 2917 22µF 20V 10% D case</t>
  </si>
  <si>
    <t>Танталовые конденсаторы - твердые для поверхностного монтажа 2917 68µF 6.3V 10% D case</t>
  </si>
  <si>
    <t>Танталовые конденсаторы - твердые для поверхностного монтажа 2917 68µF 20V 10% D case</t>
  </si>
  <si>
    <t>Танталовые конденсаторы - твердые для поверхностного монтажа 2917 220µF 16V 10% E case</t>
  </si>
  <si>
    <t>Танталовые конденсаторы - твердые для поверхностного монтажа 2917 220µF 16V 20% E Case</t>
  </si>
  <si>
    <t>Танталовые конденсаторы - твердые для поверхностного монтажа 2824 120µF 20V 10% R case</t>
  </si>
  <si>
    <t>Танталовые конденсаторы - твердые для поверхностного монтажа 2917 15µF 50V 10% X case</t>
  </si>
  <si>
    <t>https://search.murata.co.jp/Ceramy/image/img/A01X/G101/ENG/GRM188R61A106ME69-01.pdf</t>
  </si>
  <si>
    <t>TDK Corporation</t>
  </si>
  <si>
    <t xml:space="preserve">Многослойные керамические конденсаторы - поверхностного монтажа 1206 100µF 10V X5R 20%  </t>
  </si>
  <si>
    <t>https://product.tdk.com/system/files/dam/doc/product/capacitor/ceramic/mlcc/catalog/mlcc_commercial_general_en.pdf</t>
  </si>
  <si>
    <t>2318</t>
  </si>
  <si>
    <t>PTS525SM15SMTR2LFS</t>
  </si>
  <si>
    <t xml:space="preserve">Тактильные переключатели 20mA 15VDC, G Lead No Pin, 160gf, 1.5mm </t>
  </si>
  <si>
    <t>C&amp;K</t>
  </si>
  <si>
    <t>https://www.ckswitches.com/media/1467/pts525.pdf</t>
  </si>
  <si>
    <t>BAR9002ELSE6327XTSA1</t>
  </si>
  <si>
    <t>RF Diode PIN - Single 80V 100 mA 250 mW PG-TSSLP-2-3</t>
  </si>
  <si>
    <t>https://rocelec.widen.net/view/pdf/m6hdfwxhum/INFNS19426-1.pdf?t.download=true&amp;u=5oefqw</t>
  </si>
  <si>
    <t>RK73H1ETTP10R0F</t>
  </si>
  <si>
    <t>Толстопленочные резисторы – для поверхностного монтажа 0402 10 Ohm 1%  0.1W</t>
  </si>
  <si>
    <t>KOA Speer</t>
  </si>
  <si>
    <t>https://www.koaspeer.com/pdfs/RK73H.pdf</t>
  </si>
  <si>
    <t>0603CS-68NXGLW</t>
  </si>
  <si>
    <t>Катушки постоянной индуктивности 1608 1.6nH Unshld 5% 700mA 30mOhms AECQ2</t>
  </si>
  <si>
    <t xml:space="preserve">Катушки постоянной индуктивности 0603 68nH Unshld 2% 600mA 340mOhms AECQ2 </t>
  </si>
  <si>
    <t>RK73H1ETTP4701F</t>
  </si>
  <si>
    <t xml:space="preserve">Толстопленочные резисторы – для поверхностного монтажа 0402 4.7K Ohm 1%  0.1W </t>
  </si>
  <si>
    <t>Резисторы с проволочной обмоткой – сквозное отверстие 3.9K Ohms  ±5% 20W</t>
  </si>
  <si>
    <t xml:space="preserve">Резисторы с проволочной обмоткой – сквозное отверстие 1.1Ohm 5%  5W </t>
  </si>
  <si>
    <t xml:space="preserve">Резисторы с проволочной обмоткой – сквозное отверстие 4.7Ohm 5%  5W </t>
  </si>
  <si>
    <t>1803</t>
  </si>
  <si>
    <t>SQP (25W 91kOHM 5%)</t>
  </si>
  <si>
    <t xml:space="preserve">Резисторы с проволочной обмоткой – сквозное отверстие 9.1Ohm 5% 5W </t>
  </si>
  <si>
    <t>https://www.yageo.com/upload/media/product/productsearch/datasheet/lr/YAGEO%20SQP_NSP_datasheet_2023v2.pdf</t>
  </si>
  <si>
    <t>SQP20AJB-9R1</t>
  </si>
  <si>
    <t xml:space="preserve">Резисторы с проволочной обмоткой – сквозное отверстие 9.1Ohm 5%  20W </t>
  </si>
  <si>
    <t>BFR360L3E6765XTMA1</t>
  </si>
  <si>
    <t>RF Transistor NPN 9V 35mA 14GHz 210mW Surface Mount PG-TSLP-3-1</t>
  </si>
  <si>
    <t>https://www.infineon.com/dgdl/bfr360l3.pdf?folderId=db3a30431400ef68011425b2dfaf05c6&amp;fileId=db3a30431400ef6801142724646906e4</t>
  </si>
  <si>
    <t>1707</t>
  </si>
  <si>
    <t>BZX55C2V7-TAP</t>
  </si>
  <si>
    <t>2110</t>
  </si>
  <si>
    <t xml:space="preserve">Стабилитроны 2.7 Volt 0.5W 5% </t>
  </si>
  <si>
    <t>https://www.vishay.com/docs/85604/bzx55.pdf</t>
  </si>
  <si>
    <t xml:space="preserve">XT150-F </t>
  </si>
  <si>
    <t>Changzhou AMASS Electronics</t>
  </si>
  <si>
    <t>https://www.tme.eu/Document/4118dd35efb36c9cb4c8686f960c490e/XT150%20SPEC.pdf</t>
  </si>
  <si>
    <t>Вилка; питания DC; XT150; "мама"; PIN: 2; на провод; пайка; 60А; 500В</t>
  </si>
  <si>
    <t>MT49H16M36SJ-25IT:B</t>
  </si>
  <si>
    <t>1706, 1810</t>
  </si>
  <si>
    <t>DRAM Memory IC 576Mbit Parallel 400 MHz 20 ns 144-FBGA (18.5x11)</t>
  </si>
  <si>
    <t>https://mm.digikey.com/Volume0/opasdata/d220001/medias/docus/2515/MT49H16M36_32M18_64M9_RevM_Sep2015.pdf</t>
  </si>
  <si>
    <t>EP1K50QI208-2</t>
  </si>
  <si>
    <t>FPGA - Программируемая вентильная матрица FPGA - ACEX 1K 360 LABs 147 Ios</t>
  </si>
  <si>
    <t>https://eu.mouser.com/datasheet/2/612/acex-1299421.pdf</t>
  </si>
  <si>
    <t>GRM155R71H183JA12D</t>
  </si>
  <si>
    <t>MABA-007569-ETK42T</t>
  </si>
  <si>
    <t xml:space="preserve">Трансформаторы звуковой частоты / сигнальные трансформаторы 2-1000MHz IL 4dB Impedance Ratio 1:4 </t>
  </si>
  <si>
    <t>https://cdn.macom.com/datasheets/MABA-007569-ETK42T.pdf</t>
  </si>
  <si>
    <t>CA91C142D-33CE</t>
  </si>
  <si>
    <t>2003</t>
  </si>
  <si>
    <t>PCI-to-VME Bridge Interface 313-PBGA (35x35)</t>
  </si>
  <si>
    <t>Renesas</t>
  </si>
  <si>
    <t>https://mm.digikey.com/Volume0/opasdata/d220001/medias/docus/649/Universe_IIDB_User_Manual.pdf</t>
  </si>
  <si>
    <t>MAX4231AXT+T</t>
  </si>
  <si>
    <t xml:space="preserve">Операционные усилители High-Output-Drive, 10MHz, 10V/ s, Rail-to-Rail I/O Op Amps with Shutdown in SC70 </t>
  </si>
  <si>
    <t>https://www.analog.com/media/en/technical-documentation/data-sheets/max4230-max4234.pdf</t>
  </si>
  <si>
    <t>SN74LVC1G125DCK</t>
  </si>
  <si>
    <t>HCPL-0600-500E</t>
  </si>
  <si>
    <t>L-KLS1-218-1-4-S-3x6x19 (DS1029-01-1*4P6BVA8)</t>
  </si>
  <si>
    <t>L-KLS1-218-1-16-S-3x6x19 (DS1029-01-1*16P6BVA8)</t>
  </si>
  <si>
    <t>SQP500JB-9R1 (5W)</t>
  </si>
  <si>
    <t xml:space="preserve">SQP25 RX27-1 </t>
  </si>
  <si>
    <t>CC0402JRX7R9BB103 (аналог GRM155R71H103JA88)</t>
  </si>
  <si>
    <t>EEUFC1H4R7B</t>
  </si>
  <si>
    <t>DS1025-06-2*3 (PLD2-6R)</t>
  </si>
  <si>
    <t>43645-0300</t>
  </si>
  <si>
    <t>СВВ-60-А 30µF 450V</t>
  </si>
  <si>
    <t>JYUL</t>
  </si>
  <si>
    <t>RS207L</t>
  </si>
  <si>
    <t>Rectron Semiconductor</t>
  </si>
  <si>
    <t>HSMH-C190</t>
  </si>
  <si>
    <t>SMA-KHD</t>
  </si>
  <si>
    <t>DF40C-70DP-0.4V</t>
  </si>
  <si>
    <t>DS1073-02F</t>
  </si>
  <si>
    <t>0603CS-8N2XJLW</t>
  </si>
  <si>
    <t>Coilcraft</t>
  </si>
  <si>
    <t>RC0805JR-07390KL</t>
  </si>
  <si>
    <t xml:space="preserve">43030-0002 Проводные клеммы и зажимы </t>
  </si>
  <si>
    <t>AMS1117-ADJ</t>
  </si>
  <si>
    <t>ST-4ETA (502)</t>
  </si>
  <si>
    <t>1207</t>
  </si>
  <si>
    <t>Nexperia B.V.</t>
  </si>
  <si>
    <t>RTE24024F</t>
  </si>
  <si>
    <t>GRM31CR61A107ME05L</t>
  </si>
  <si>
    <t>1625</t>
  </si>
  <si>
    <t>EPF10K30EQI208-2</t>
  </si>
  <si>
    <t>RN73C1J19K6B</t>
  </si>
  <si>
    <t>AD7243BR</t>
  </si>
  <si>
    <t xml:space="preserve">BP-214G/R  </t>
  </si>
  <si>
    <t>PWL 06M (W3966-06PSTW00R)</t>
  </si>
  <si>
    <t>SQP-20W-3K9J (SQP20AJB-3K9)</t>
  </si>
  <si>
    <t>1818</t>
  </si>
  <si>
    <t>DJ7021-1.5-11</t>
  </si>
  <si>
    <t>2-контактный автомобильный электрический разъем (15419715)</t>
  </si>
  <si>
    <t>C11CF3R0B-9ZN-X0T</t>
  </si>
  <si>
    <t xml:space="preserve">Knowles </t>
  </si>
  <si>
    <t>Многослойные керамические конденсаторы - поверхностного монтажа 0505 3pF 250V COG  ±0.1pF</t>
  </si>
  <si>
    <t>Многослойные керамические конденсаторы - поверхностного монтажа 0505 1pF 250V NP0 ±0.1pF</t>
  </si>
  <si>
    <t>https://mm.digikey.com/Volume0/opasdata/d220001/medias/docus/2118/MLC_SLC_Cap_Cat.pdf</t>
  </si>
  <si>
    <t>GQM22M5C2H3R9CB01L</t>
  </si>
  <si>
    <t>Многослойные керамические конденсаторы - поверхностного монтажа 1111 3.9pF 500V +/-0.25pF C0G</t>
  </si>
  <si>
    <t>https://search.murata.co.jp/Ceramy/image/img/A01X/G101/ENG/GQM22M5C2H3R9CB01-01.pdf</t>
  </si>
  <si>
    <t>BSS63.215</t>
  </si>
  <si>
    <t>IHLP2525CZER100M01</t>
  </si>
  <si>
    <t xml:space="preserve">Силовые индукторы - поверхностный монтаж 10uH 20% </t>
  </si>
  <si>
    <t>https://www.vishay.com/docs/34104/ihlp-2525cz-01.pdf</t>
  </si>
  <si>
    <t>FL2500316Z</t>
  </si>
  <si>
    <t>2153</t>
  </si>
  <si>
    <t xml:space="preserve">Кристаллы 25.000MHz 20pF 30ppm -40 to +100 </t>
  </si>
  <si>
    <t>https://www.diodes.com/assets/Datasheets/FL.pdf</t>
  </si>
  <si>
    <t>CL31B106KBHNNNE</t>
  </si>
  <si>
    <t>Многослойные керамические конденсаторы - поверхностного монтажа 1206 10µF 50V X7R 10%</t>
  </si>
  <si>
    <t>https://mm.digikey.com/Volume0/opasdata/d220001/medias/docus/41/CL31B106KBHNNNE_Spec.pdf</t>
  </si>
  <si>
    <t>45 (2000)</t>
  </si>
  <si>
    <t>Специальные керамические конденсаторы 1812 250V 2.2uF X7T 20% T: 5mm 
(2.2 µF ±20% 250V Ceramic Capacitor X7T Stacked SMD, 2 J-Lead)</t>
  </si>
  <si>
    <t>https://product.tdk.com/en/system/files?file=dam/doc/product/capacitor/ceramic/mlcc/catalog/mlcc_commercial_megacap_en.pdf</t>
  </si>
  <si>
    <t>LQW15AN6N2B80D</t>
  </si>
  <si>
    <t>6.2 nH Unshielded Drum Core, Wirewound Inductor 1.6 A 56mOhm Max 0402 (1005 Metric)</t>
  </si>
  <si>
    <t>https://search.murata.co.jp/Ceramy/image/img/P02/JELF243A-0100.pdf</t>
  </si>
  <si>
    <t>XD22-10-R-12VDC</t>
  </si>
  <si>
    <t>Daier Electron Co.,ltd</t>
  </si>
  <si>
    <t>Светодиод с держателем красный 10мм 12VDC IP65</t>
  </si>
  <si>
    <t>https://static.chipdip.ru/lib/459/DOC001459550.pdf</t>
  </si>
  <si>
    <t>ATC800B2R4BT500XT</t>
  </si>
  <si>
    <t>Многослойные керамические конденсаторы - поверхностного монтажа 1111 2.4pF 500V NP0 ±0.1pF</t>
  </si>
  <si>
    <t>https://datasheets.kyocera-avx.com/800B.pdf</t>
  </si>
  <si>
    <t>DS91C176TMA/NOPB</t>
  </si>
  <si>
    <t xml:space="preserve">ИС интерфейса LVDS 100MHz SGL-CH M-LVDS Tnscvr </t>
  </si>
  <si>
    <t>https://www.ti.com/lit/ds/symlink/ds91c176.pdf?HQS=dis-dk-null-digikeymode-dsf-pf-null-wwe&amp;ts=1710173070360&amp;ref_url=https%253A%252F%252Fwww.ti.com%252Fgeneral%252Fdocs%252Fsuppproductinfo.tsp%253FdistId%253D10%2526gotoUrl%253Dhttps%253A%252F%252Fwww.ti.com%252Flit%252Fgpn%252Fds91c176</t>
  </si>
  <si>
    <t>1924</t>
  </si>
  <si>
    <t>NC7SZ04M5X</t>
  </si>
  <si>
    <t>Inverter IC 1 Channel SOT-23-5</t>
  </si>
  <si>
    <t>https://rocelec.widen.net/view/pdf/vg5irfcitj/ONSM-S-A0003590433-1.pdf?t.download=true&amp;u=5oefqw</t>
  </si>
  <si>
    <t>PogoPin P75-E3</t>
  </si>
  <si>
    <t>Пружинный контакт-зонд P75-E3, (16.54мм, диаметр 1.5мм, давление пружины 100г)</t>
  </si>
  <si>
    <t>CKG57NX7R2E225M500JJ</t>
  </si>
  <si>
    <t>BZV55C30V</t>
  </si>
  <si>
    <t xml:space="preserve">Реле общего назначения DPDT 8A 24VDC </t>
  </si>
  <si>
    <t>https://www.te.com/commerce/DocumentDelivery/DDEController?Action=srchrtrv&amp;DocNm=RT2pb&amp;DocType=DS&amp;DocLang=English</t>
  </si>
  <si>
    <t xml:space="preserve">Толстопленочные резисторы – для поверхностного монтажа 0402 22 Ohm 5% </t>
  </si>
  <si>
    <t xml:space="preserve">РЧ-индукторы - поверхностный монтаж 0603 8.2nH Unshld 5% 700mA 115mOhms AECQ </t>
  </si>
  <si>
    <t xml:space="preserve">Буферы и линейные аппаратные драйверы SINGLE BUS BUFFER GATE </t>
  </si>
  <si>
    <t xml:space="preserve">Межплатные и промежуточные соединители 0.4MM 70P HDR SMT GOLD </t>
  </si>
  <si>
    <t xml:space="preserve">Тонкопленочные резисторы – для поверхностного монтажа 0603 19K6 0.1% 10PPM CUT LENGTH </t>
  </si>
  <si>
    <t>Taiwan Oasis Technology Co., Ltd</t>
  </si>
  <si>
    <t>RN73C2A19K6BTDF</t>
  </si>
  <si>
    <t>Тонкопленочные резисторы – для поверхностного монтажа  0805 19.6KOhm 0.1% 10ppm 0.1W</t>
  </si>
  <si>
    <t>LQH3NPN4R7MMEL</t>
  </si>
  <si>
    <t>4.7 µH Shielded Drum Core, Wirewound Inductor 1 A 120mOhm Max 1212 (3030 Metric)</t>
  </si>
  <si>
    <t>BP-112/B черный</t>
  </si>
  <si>
    <t>https://static.chipdip.ru/lib/063/DOC000063871.pdf</t>
  </si>
  <si>
    <t>Вилка 'Banana' черная</t>
  </si>
  <si>
    <t>2307</t>
  </si>
  <si>
    <t>GRM2165C1H101JA01D</t>
  </si>
  <si>
    <t>Многослойные керамические конденсаторы - поверхностного монтажа 0805 100pF 50V 5% C0G</t>
  </si>
  <si>
    <t>https://search.murata.co.jp/Ceramy/image/img/A01X/G101/ENG/GRM2165C1H101JA01-01.pdf</t>
  </si>
  <si>
    <t xml:space="preserve">Соединители с высокой плотностью контактов D-Sub D SUB HD FE 15P PL3 SOLDER CUP </t>
  </si>
  <si>
    <t>https://b2b.harting.com/files/download/PRD/PDF_DS/PDF_DS_09561004704_EN.pdf</t>
  </si>
  <si>
    <t>09561004704</t>
  </si>
  <si>
    <t>09670094715</t>
  </si>
  <si>
    <t>2304</t>
  </si>
  <si>
    <t>Силовые индукторы - поверхностный монтаж 1008 4.7uH Shld 10% 950mA 350mOhms</t>
  </si>
  <si>
    <t>https://eu.mouser.com/datasheet/2/597/1008ps-270724.pdf</t>
  </si>
  <si>
    <t>1008PS-472KLC</t>
  </si>
  <si>
    <t>0402CS-3N3XJ</t>
  </si>
  <si>
    <t>2316</t>
  </si>
  <si>
    <t>РЧ-индукторы - поверхностный монтаж 1005 3.3nH Unshld 5% 840mA 66mOhms AECQ2</t>
  </si>
  <si>
    <t>https://eu.mouser.com/datasheet/2/597/0402cs-253326.pdf</t>
  </si>
  <si>
    <t>XAL6030-102MEB</t>
  </si>
  <si>
    <t>Силовые индукторы - поверхностный монтаж 1uH Shld 20% 18A 6.18mOhms AECQ2</t>
  </si>
  <si>
    <t>https://eu.mouser.com/datasheet/2/597/xal60xx-270658.pdf</t>
  </si>
  <si>
    <t>A02TGLC</t>
  </si>
  <si>
    <t>РЧ-индукторы - поверхностный монтаж 5nH Unshld 2% 4A 1.8mOhms AECQ2</t>
  </si>
  <si>
    <t>MTSW-130-08-G-D-340</t>
  </si>
  <si>
    <t xml:space="preserve">Проводные клеммы и зажимы Variable Height PCB Header Strips, 0.100" pitch </t>
  </si>
  <si>
    <t>Samtec Inc.</t>
  </si>
  <si>
    <t>http://suddendocs.samtec.com/catalog_english/mtsw.pdf</t>
  </si>
  <si>
    <t>CC0402KRX5R8BB225</t>
  </si>
  <si>
    <t>Многослойные керамические конденсаторы - поверхностного монтажа 0402 2.2uF 25V X5R 10% HI CV</t>
  </si>
  <si>
    <t>RT0603BRD0710KL</t>
  </si>
  <si>
    <t xml:space="preserve">Тонкопленочные резисторы – для поверхностного монтажа  0603 10K Ohm 0.1% 1/10W </t>
  </si>
  <si>
    <t>RT0603BRD07499RL</t>
  </si>
  <si>
    <t xml:space="preserve">RC0402JR-0722RL </t>
  </si>
  <si>
    <t xml:space="preserve">RC0402JR-0724RL </t>
  </si>
  <si>
    <t xml:space="preserve">Толстопленочные резисторы – для поверхностного монтажа 0402 24 Ohm 5% </t>
  </si>
  <si>
    <t xml:space="preserve">Штыри 2x18 конт. шаг 2.00 мм, верт. на пл. (2.8 /4.0мм) </t>
  </si>
  <si>
    <t xml:space="preserve">DS1025-05-2*18 P8BV1-B </t>
  </si>
  <si>
    <t>PE0402FRF070R02L</t>
  </si>
  <si>
    <t>Токочувствительные резисторы – для поверхностного монтажа 0402 20 mOhms 62.5mW 1% 100ppm</t>
  </si>
  <si>
    <t>https://www.yageo.com/upload/media/product/app/datasheet/rchip/pyu-pe_521_rohs_l.pdf</t>
  </si>
  <si>
    <t xml:space="preserve">RT0603BRE072K26L </t>
  </si>
  <si>
    <t xml:space="preserve">Тонкопленочные резисторы – для поверхностного монтажа  0603 2.26K Оhm 0.1% 50ppm 1/10W </t>
  </si>
  <si>
    <t>RT0603BRD07499KL</t>
  </si>
  <si>
    <t xml:space="preserve">Тонкопленочные резисторы – для поверхностного монтажа  0603 499K Ohm 0.1% 25ppm </t>
  </si>
  <si>
    <t>BAR9002ELE6327XTMA1</t>
  </si>
  <si>
    <t>RF Diode PIN - Single 80V 100 mA 250 mW PG-TSLP-2-19</t>
  </si>
  <si>
    <t>https://www.infineon.com/dgdl/Infineon-BAR90-02EL-DS-v01_00-EN.pdf?fileId=5546d46265f064ff01663895cd694e6e</t>
  </si>
  <si>
    <t>ERJ-XGNF1003Y</t>
  </si>
  <si>
    <t xml:space="preserve">Толстопленочные резисторы – для поверхностного монтажа 0402 100K Ohm 1% Halogen-free </t>
  </si>
  <si>
    <t>ERJ-XGNF49R9Y</t>
  </si>
  <si>
    <t xml:space="preserve">Толстопленочные резисторы – для поверхностного монтажа 0402 49.9 Ohm 1% Halogen-free </t>
  </si>
  <si>
    <t>CRCW020110K0FKED</t>
  </si>
  <si>
    <t>Толстопленочные резисторы – для поверхностного монтажа 0603 10K Ohm 1% 100ppm 1/20w</t>
  </si>
  <si>
    <t>Vishay Dale</t>
  </si>
  <si>
    <t>RT0603BRD0714K3L</t>
  </si>
  <si>
    <t xml:space="preserve">Тонкопленочные резисторы – для поверхностного монтажа  0603 14.3K Ohm 0.1% 25ppm 1/10W </t>
  </si>
  <si>
    <t>RT0603BRD074K99L</t>
  </si>
  <si>
    <t xml:space="preserve">Тонкопленочные резисторы – для поверхностного монтажа  0603 4.99K Ohm 0.1% 25ppm </t>
  </si>
  <si>
    <t>RT0603BRD078K87L</t>
  </si>
  <si>
    <t xml:space="preserve">Тонкопленочные резисторы – для поверхностного монтажа  0603 8.87K Ohm 0.1% 25ppm 1/10W </t>
  </si>
  <si>
    <t>https://www.yageo.com/upload/media/product/app/datasheet/rchip/pyu-rt_1-to-0.01_rohs_l.pdf</t>
  </si>
  <si>
    <t>RT0603BRE07698RL</t>
  </si>
  <si>
    <t xml:space="preserve">Тонкопленочные резисторы – для поверхностного монтажа  0603 698 Ohm 0.1% 25ppm 1/10W </t>
  </si>
  <si>
    <t>TDA2003</t>
  </si>
  <si>
    <t xml:space="preserve">Усилитель мощности звуковой частоты </t>
  </si>
  <si>
    <t>https://www.compel.ru/item-pdf/1064c1808c17925af94de0bfd4dcd8f3/ps/utc~tda2003.pdf</t>
  </si>
  <si>
    <t>CC0402KRX7R9BB102</t>
  </si>
  <si>
    <t>Многослойные керамические конденсаторы - поверхностного монтажа 0402 1000pF 50V X7R 10%</t>
  </si>
  <si>
    <t>CL21B225KAFNNNE</t>
  </si>
  <si>
    <t xml:space="preserve">Многослойные керамические конденсаторы - поверхностного монтажа 0805 2.2µF 25V X7R 10% </t>
  </si>
  <si>
    <t>ERA-3AEB103V</t>
  </si>
  <si>
    <t>Тонкопленочные резисторы – для поверхностного монтажа  0603 10K Ohms 0.1% 25ppm 1/10W</t>
  </si>
  <si>
    <t>RT0805BRD0720KL</t>
  </si>
  <si>
    <t>Тонкопленочные резисторы – для поверхностного монтажа  0805 20K Ohm 0.1% 25ppm 1/8W</t>
  </si>
  <si>
    <t>2228</t>
  </si>
  <si>
    <t>TNPW020149R9BEED</t>
  </si>
  <si>
    <t xml:space="preserve">Тонкопленочные резисторы – для поверхностного монтажа 0603 49.9 Ohm 0.1% 25ppm </t>
  </si>
  <si>
    <t>MMBTA42LT1G</t>
  </si>
  <si>
    <t xml:space="preserve">Биполярные транзисторы - BJT 500mA 300V NPN </t>
  </si>
  <si>
    <t>https://www.onsemi.com/pdf/datasheet/mmbta42lt1-d.pdf</t>
  </si>
  <si>
    <t>ADM7171ACPZ-5.0-R7</t>
  </si>
  <si>
    <t xml:space="preserve">LDO регуляторы напряжения 6.5 V, 1 A, Ultralow Noise, High PSRR, Fast Transient Response CMOS LDO </t>
  </si>
  <si>
    <t>https://www.analog.com/media/en/technical-documentation/data-sheets/ADM7171.pdf</t>
  </si>
  <si>
    <t>CRCW0100100RFREL</t>
  </si>
  <si>
    <t xml:space="preserve">Толстопленочные резисторы – для поверхностного монтажа 01005 100 Ohm 250ppm 0.031watts </t>
  </si>
  <si>
    <t>https://www.vishay.com/docs/20056/crcw01005e3.pdf</t>
  </si>
  <si>
    <t>SH8.0-F.S.B (черный)</t>
  </si>
  <si>
    <t>Plug, DC supply, female, 1 pin, 125A, 600V, straight black color, for cable (6AWG), life 100 cycles</t>
  </si>
  <si>
    <t>https://www.micros.com.pl/mediaserver/Z_SH8.0-F-B_AMASS_0001.pdf</t>
  </si>
  <si>
    <t>SH8.0-M.S.B (черный)</t>
  </si>
  <si>
    <t xml:space="preserve">Plug, DC supply, male, 1 pin, 125A, 600V, straight black color, for cable (6AWG), life 100 cycles </t>
  </si>
  <si>
    <t>Разъем штыревой; вилка; прямой; шаг 2.54 мм; количество контактов 2x5; вертикальный; монтаж в отверстия; высота изолятора 2.54 мм; штыри 3/6 мм; 1 А; 500 В DC; 20 мОм</t>
  </si>
  <si>
    <t>KLS1-207-2-10-S (PLD-10)</t>
  </si>
  <si>
    <t>https://www.compel.ru/item-pdf/2c42746dc3c2feb213b4bfd6106b9769/pn/kls~kls1-207-1-02-s.pdf</t>
  </si>
  <si>
    <t>ETC1-1-13TR</t>
  </si>
  <si>
    <t xml:space="preserve">Трансформаторы звуковой частоты / сигнальные трансформаторы 4.5-3000MHz IL 2dB Impedance Ratio 1:1 </t>
  </si>
  <si>
    <t>https://cdn.macom.com/datasheets/ETC1-1-13.pdf</t>
  </si>
  <si>
    <t>CC0805KKX7R9BB474</t>
  </si>
  <si>
    <t>Многослойные керамические конденсаторы - поверхностного монтажа 0805 0.47µF 50V X7R 10%</t>
  </si>
  <si>
    <t>https://www.yageo.com/upload/media/product/productsearch/datasheet/mlcc/UPY-GPHC_X7R_6.3V-to-250V_24.pdf</t>
  </si>
  <si>
    <t>XT150-M.G.B (синяя)</t>
  </si>
  <si>
    <t>XT150-M.G.R (черная)</t>
  </si>
  <si>
    <t>Вилка</t>
  </si>
  <si>
    <t>XT150-M.G.R (красная)</t>
  </si>
  <si>
    <t>XT150-F.G.R (красная)</t>
  </si>
  <si>
    <t xml:space="preserve">Розетка </t>
  </si>
  <si>
    <t xml:space="preserve">XT150-F.G.B (синяя) </t>
  </si>
  <si>
    <t>XT150-F.G.BL (черная)</t>
  </si>
  <si>
    <t>2222, 2226</t>
  </si>
  <si>
    <t>RT0603BRD074K75L</t>
  </si>
  <si>
    <t>RT0603BRE0724R9L</t>
  </si>
  <si>
    <t xml:space="preserve">Тонкопленочные резисторы – для поверхностного монтажа 0603 24.9 Ohm 0.1% 50ppm 1/10W  </t>
  </si>
  <si>
    <t>RT0603BRD07698RL</t>
  </si>
  <si>
    <t xml:space="preserve">Тонкопленочные резисторы – для поверхностного монтажа  0603 698 Ohm 0.1% 50ppm 1/10W </t>
  </si>
  <si>
    <t>Разъем IDC; прокалывание изоляции; розетка на плоский кабель; шаг 2.0 мм; количество контактов 40; номинальный ток 1 А; максимальное сопротивление контактов 20 мОм; напряжение изоляции 500 В AC; -45...105 °С</t>
  </si>
  <si>
    <t>https://www.compel.ru/item-pdf/d66d2d08f98d3693c30db3e8d6959f24/ps/kls~kls1-204b.pdf</t>
  </si>
  <si>
    <t>L-KLS1-204B-40-B (IDC-40; IDC-40F)</t>
  </si>
  <si>
    <t>RC0402FR-07220RL</t>
  </si>
  <si>
    <t xml:space="preserve">Толстопленочные резисторы – для поверхностного монтажа 0402 220 Ohm 1% </t>
  </si>
  <si>
    <t xml:space="preserve">Толстопленочные резисторы – для поверхностного монтажа 0805 390K Ohm 5% </t>
  </si>
  <si>
    <t>RC0402FR-0768RL</t>
  </si>
  <si>
    <t>Толстопленочные резисторы – для поверхностного монтажа 0402 68 Ohm 1%</t>
  </si>
  <si>
    <t>RC0402JR-070RL</t>
  </si>
  <si>
    <t xml:space="preserve">Толстопленочные резисторы – для поверхностного монтажа 0402 0 Ohm Jumper 5% </t>
  </si>
  <si>
    <t xml:space="preserve">Толстопленочные резисторы – для поверхностного монтажа 0402 0 Ohm Jumper 1% </t>
  </si>
  <si>
    <t>MT49H16M36SJ-18IT:B</t>
  </si>
  <si>
    <t>DRAM Memory IC 576Mbit Parallel 533 MHz 15 ns 144-FBGA (18.5x11)</t>
  </si>
  <si>
    <t>https://mm.digikey.com/Volume0/opasdata/d220001/medias/docus/2478/Enhanced%20Configuration%20%28EPC%29%20Devices%20Datasheet.pdf</t>
  </si>
  <si>
    <t>https://eu.mouser.com/datasheet/2/612/cfg_cf52004-1299428.pdf</t>
  </si>
  <si>
    <t>LMH6551MA/NOPB</t>
  </si>
  <si>
    <t xml:space="preserve">Операционные усилители Diff Hi Speed Op Amp </t>
  </si>
  <si>
    <t>https://www.ti.com/lit/ds/symlink/lmh6551.pdf?HQS=dis-dk-null-digikeymode-dsf-pf-null-wwe&amp;ts=1716913320145&amp;ref_url=https%253A%252F%252Fwww.ti.com%252Fgeneral%252Fdocs%252Fsuppproductinfo.tsp%253FdistId%253D10%2526gotoUrl%253Dhttps%253A%252F%252Fwww.ti.com%252Flit%252Fgpn%252Flmh6551</t>
  </si>
  <si>
    <t>AD8138ARZ</t>
  </si>
  <si>
    <t>Дифференциальные усилители SOIC Lo-Distort'n Diffl I/O 500MHz</t>
  </si>
  <si>
    <t>https://www.analog.com/media/en/technical-documentation/data-sheets/AD8138.pdf</t>
  </si>
  <si>
    <t>TG1G-E001NYLF</t>
  </si>
  <si>
    <t>2310, 2326</t>
  </si>
  <si>
    <t>2237, 2321</t>
  </si>
  <si>
    <t>RC0402FR-0753R6L</t>
  </si>
  <si>
    <t>Толстопленочные резисторы – для поверхностного монтажа 0402 53.6 Ohm 1%</t>
  </si>
  <si>
    <t>TSM4YJ501KR05</t>
  </si>
  <si>
    <t>Подстроечные резисторы - для поверхностного монтажа 500ohms 10%  
(500 Ohms 0.25W, 1/4W Gull Wing Surface Mount Trimmer Potentiometer Cermet 13.0 Turn Top Adjustment)</t>
  </si>
  <si>
    <t>Vishay Sfernice</t>
  </si>
  <si>
    <t>https://www.vishay.com/docs/51009/tsm4.pdf</t>
  </si>
  <si>
    <t>PESD3V3L1BA</t>
  </si>
  <si>
    <t>26V Clamp 18A (8/20µs) Ipp Tvs Diode Surface Mount SOD-323</t>
  </si>
  <si>
    <t>https://assets.nexperia.com/documents/data-sheet/PESD3V3L1BA.pdf</t>
  </si>
  <si>
    <t>HFD3/24</t>
  </si>
  <si>
    <t>Xiamen Hongfa Electroacoustic</t>
  </si>
  <si>
    <t>https://www.hongfa.com/product/signal-relay/HFD3</t>
  </si>
  <si>
    <t>Реле 2 переключ. 24VDC, 2A/277VAC DPDT</t>
  </si>
  <si>
    <t>BAV99S</t>
  </si>
  <si>
    <t>2340</t>
  </si>
  <si>
    <t>Diode Array 2 Pair Series Connection 100 V 200mA (DC) Surface Mount 6-TSSOP, SC-88, SOT-363</t>
  </si>
  <si>
    <t>https://assets.nexperia.com/documents/data-sheet/BAV99_SER.pdf</t>
  </si>
  <si>
    <t>1206L050/15YR</t>
  </si>
  <si>
    <t>Littelfuse Inc.</t>
  </si>
  <si>
    <t xml:space="preserve">Восстанавливаемые предохранители - PPTC 15V 1206 .500A POLYFUSE </t>
  </si>
  <si>
    <t>https://www.littelfuse.com/media?resourcetype=datasheets&amp;itemid=2b6a1515-d4ee-4c83-8bd4-152b4901b8f5&amp;filename=littelfuse_ptc_1206l_datasheet.pdf</t>
  </si>
  <si>
    <t xml:space="preserve">51021-0400 </t>
  </si>
  <si>
    <t>2208</t>
  </si>
  <si>
    <t>4 Rectangular Connectors - Housings Receptacle Natural 0.049" (1.25mm)</t>
  </si>
  <si>
    <t>https://tools.molex.com/pdm_docs/ps/PS-51021-009.pdf</t>
  </si>
  <si>
    <t>BLM41PG471SN1</t>
  </si>
  <si>
    <t>1845</t>
  </si>
  <si>
    <t xml:space="preserve">Ферритовые фильтры 470 OHM 25% Alternate Sizing Guide Below </t>
  </si>
  <si>
    <t>https://www.murata.com/en-us/products/productdata/8796739862558/ENFA0007.pdf</t>
  </si>
  <si>
    <t>DS1021-2*6 SF17-B</t>
  </si>
  <si>
    <t>Штыри 2x6 конт. шаг 2.54 мм, вертик. на плату (3.0/ изол. 2.5/ 8.3 мм)</t>
  </si>
  <si>
    <t>https://api.e-components.ru/api/item/ds-1021-2x-6-sf-17-b/doc/0</t>
  </si>
  <si>
    <t>LQW18ANR12J00D</t>
  </si>
  <si>
    <t>120 nH Unshielded Drum Core, Wirewound Inductor 180 mA 1.3Ohm Max 0603 (1608 Metric)</t>
  </si>
  <si>
    <t>CSTCE8M00G52A</t>
  </si>
  <si>
    <t>8 MHz Ceramic Resonator Built in Capacitor 10 pF ±0.2% 40 Ohms -40°C ~ 125°C Surface Mount</t>
  </si>
  <si>
    <t>https://www.murata.com/en-us/products/productdata/8801427816478/SPEC-CSTNE8M00G52A000R0.pdf</t>
  </si>
  <si>
    <t>TPS51100DGQ</t>
  </si>
  <si>
    <t>Converter, DDR Voltage Regulator IC 1 Output 10-HVSSOP</t>
  </si>
  <si>
    <t>https://www.ti.com/lit/ds/symlink/tps51100.pdf?HQS=dis-dk-null-digikeymode-dsf-pf-null-wwe&amp;ts=1718031371949&amp;ref_url=https%253A%252F%252Fwww.ti.com%252Fgeneral%252Fdocs%252Fsuppproductinfo.tsp%253FdistId%253D10%2526gotoUrl%253Dhttps%253A%252F%252Fwww.ti.com%252Flit%252Fgpn%252Ftps51100</t>
  </si>
  <si>
    <t>LQH43CN680K03</t>
  </si>
  <si>
    <t>68 µH Unshielded Drum Core, Wirewound Inductor 220 mA 1.7Ohm Max 1812 (4532 Metric)</t>
  </si>
  <si>
    <t>https://search.murata.co.jp/Ceramy/image/img/P02/JELF243A-0042.pdf</t>
  </si>
  <si>
    <t>2.2 µH Shielded Drum Core, Wirewound Inductor 1.22 A 78mOhm Max 1212 (3030 Metric)</t>
  </si>
  <si>
    <t>3.3 µH Shielded Wirewound Inductor 3.8 A 16mOhm 2424 (6060 Metric)</t>
  </si>
  <si>
    <t xml:space="preserve">1 µH Shielded Multilayer Inductor 950 mA 250mOhm Max 0603 (1608 Metric) </t>
  </si>
  <si>
    <t>600F101JT250XT4K</t>
  </si>
  <si>
    <t>KYOCERA AVX</t>
  </si>
  <si>
    <t>100 pF ±5% 250V Ceramic Capacitor C0G, NP0 0805 (2012 Metric)</t>
  </si>
  <si>
    <t>https://datasheets.kyocera-avx.com/600F.pdf</t>
  </si>
  <si>
    <t>GRM1885C2A180JA1D</t>
  </si>
  <si>
    <t xml:space="preserve">Многослойные керамические конденсаторы - поверхностного монтажа 0603 18pF 100V C0G 5% </t>
  </si>
  <si>
    <t>09041326921</t>
  </si>
  <si>
    <t>https://b2b.harting.com/files/download/PRD/PDF_DS/PDF_DS_09041000201.pdf</t>
  </si>
  <si>
    <t xml:space="preserve">Разъемы DIN 41612 32P 6A MALE R/A SLDR </t>
  </si>
  <si>
    <t>YC124-JR-07100RL</t>
  </si>
  <si>
    <t>Резисторные сборки и массивы 100 Ohm 5% 1/16W 50V</t>
  </si>
  <si>
    <t>https://www.yageo.com/upload/media/product/app/datasheet/rchip/pyu-yc_tc_group_51_rohs_l.pdf</t>
  </si>
  <si>
    <t>CL21A475KBQNNNE</t>
  </si>
  <si>
    <t>Многослойные керамические конденсаторы - поверхностного монтажа 0805 4.7uF 50V X5R 10%</t>
  </si>
  <si>
    <t>https://mm.digikey.com/Volume0/opasdata/d220001/medias/docus/5727/CL21A475KBQNNNE.pdf</t>
  </si>
  <si>
    <t>LTST-S270KGKT</t>
  </si>
  <si>
    <t>Lite-On Inc.</t>
  </si>
  <si>
    <t>Стандартные светодиоды - Накладного монтажа Green Clear 571nm</t>
  </si>
  <si>
    <t>https://optoelectronics.liteon.com/upload/download/DS22-2000-226/LTST-S270KGKT.pdf</t>
  </si>
  <si>
    <t>RC0402FR-0718KL</t>
  </si>
  <si>
    <t xml:space="preserve">Толстопленочные резисторы – для поверхностного монтажа 0402 18K Ohm 1% </t>
  </si>
  <si>
    <t>3-641215-2</t>
  </si>
  <si>
    <t>2402</t>
  </si>
  <si>
    <t xml:space="preserve">Проводные клеммы и зажимы FRICTION LCK HDR 2P Straight Post gold </t>
  </si>
  <si>
    <t>https://www.te.com/usa-en/product-3-641215-2.datasheet.pdf</t>
  </si>
  <si>
    <t>2036-07-SM</t>
  </si>
  <si>
    <t>2202</t>
  </si>
  <si>
    <t xml:space="preserve">Газоразрядные трубки / газоплазменные разрядники Sparkover100V/s 75V Miniature 3 Pole </t>
  </si>
  <si>
    <t>https://www.bourns.com/docs/Product-Datasheets/2036-xx-SM.pdf</t>
  </si>
  <si>
    <t>ADG701BRJZ-500RL7</t>
  </si>
  <si>
    <t>1 Circuit IC Switch 1:1 3Ohm SOT-23-5</t>
  </si>
  <si>
    <t>https://www.analog.com/media/en/technical-documentation/data-sheets/ADG701_702.pdf</t>
  </si>
  <si>
    <t>BP-112/R красный</t>
  </si>
  <si>
    <t>Вилка 'Banana' красная</t>
  </si>
  <si>
    <t>2321</t>
  </si>
  <si>
    <t>BP-214G/G</t>
  </si>
  <si>
    <t>BP-214A/B</t>
  </si>
  <si>
    <t>06035J5R6BBSTR</t>
  </si>
  <si>
    <t>https://datasheets.kyocera-avx.com/Accu-P.pdf</t>
  </si>
  <si>
    <t>РЧ-конденсаторы / тонкопленочные конденсаторы 0603 5.6pF 50V 0.1pF  Tol Thin Film</t>
  </si>
  <si>
    <t>BAV99-QR</t>
  </si>
  <si>
    <t>2150</t>
  </si>
  <si>
    <t>Diode Array 1 Pair Series Connection 100 V 215mA (DC) Surface Mount TO-236-3, SC-59, SOT-23-3</t>
  </si>
  <si>
    <t>https://assets.nexperia.com/documents/data-sheet/BAV99-Q.pdf</t>
  </si>
  <si>
    <t>SPM0408LE5H-TB</t>
  </si>
  <si>
    <t>Knowles</t>
  </si>
  <si>
    <t>https://mm.digikey.com/Volume0/opasdata/d220001/medias/docus/384/SPM0408LE5H-TB.pdf</t>
  </si>
  <si>
    <t>100 Hz ~ 10 kHz Analog Microphone MEMS (Silicon) 1.5 V ~ 5.5 V Omnidirectional (-18dB ±3dB @ 94dB SPL) Solder Pads</t>
  </si>
  <si>
    <t>2053-07-SM-RPLF</t>
  </si>
  <si>
    <t>2411</t>
  </si>
  <si>
    <t>Gas Discharge Tube 75 V 3000A (3kA) ±20% 2 Pole Surface Mount</t>
  </si>
  <si>
    <t>https://www.bourns.com/docs/Product-Datasheets/2053.pdf</t>
  </si>
  <si>
    <t>TI201209U110</t>
  </si>
  <si>
    <t>Frontier</t>
  </si>
  <si>
    <t xml:space="preserve"> Ferrite Bead 0805 Multi-Layer High Current Ferrite Chip Bead, 11Ω, ±25%, 6A </t>
  </si>
  <si>
    <t>https://frontierusa.com/images/datasheets/TI2012(B).pdf</t>
  </si>
  <si>
    <t>AD8079A</t>
  </si>
  <si>
    <t>2126, 2235</t>
  </si>
  <si>
    <t>Buffer Amplifier 2 Circuit 8-SOIC</t>
  </si>
  <si>
    <t>https://www.analog.com/media/en/technical-documentation/data-sheets/AD8079.pdf</t>
  </si>
  <si>
    <t>112J-TDAR-R01-R3</t>
  </si>
  <si>
    <t>2330</t>
  </si>
  <si>
    <t>9 (8 + 1) Position Card Connector Secure Digital - microSD™ Surface Mount, Right Angle Gold</t>
  </si>
  <si>
    <t>ATTEND Technology</t>
  </si>
  <si>
    <t>https://www.attend.com.tw/data/download/file/112J-TXAR-R01_Spec.pdf</t>
  </si>
  <si>
    <t xml:space="preserve">112J-TDAR-R01 </t>
  </si>
  <si>
    <t>PDS1040-13</t>
  </si>
  <si>
    <t xml:space="preserve">Диоды и выпрямители Шоттки 10A 40V LFF </t>
  </si>
  <si>
    <t>https://www.diodes.com/assets/Datasheets/PDS1040.pdf</t>
  </si>
  <si>
    <t>FH19C-6S-0.5SH(10)</t>
  </si>
  <si>
    <t>2206</t>
  </si>
  <si>
    <t>Hirose Electric Co Ltd</t>
  </si>
  <si>
    <t xml:space="preserve">Соединители FFC и FPC 6P SMT HORZ .5MM PITCH REEL OF 5000 </t>
  </si>
  <si>
    <t>https://mm.digikey.com/Volume0/opasdata/d220001/medias/docus/822/FH19C_FH19SC_Series.pdf</t>
  </si>
  <si>
    <t>B39162B3913U410</t>
  </si>
  <si>
    <t xml:space="preserve">Формирование сигнала DCC6C - 45 C to + 85 C 1.588 GHz 2 dB 56 MHz 6 V 50 Ohms GNSS </t>
  </si>
  <si>
    <t>RF360</t>
  </si>
  <si>
    <t>https://mm.digikey.com/Volume0/opasdata/d220001/medias/docus/4271/B39162B3913U410_DS.pdf</t>
  </si>
  <si>
    <t>RC0603JR-0730RL</t>
  </si>
  <si>
    <t>Толстопленочные резисторы – для поверхностного монтажа 0603 30 Ohm 5%</t>
  </si>
  <si>
    <t>RC0603JR-07470RL</t>
  </si>
  <si>
    <t xml:space="preserve">Толстопленочные резисторы – для поверхностного монтажа 0603 470 Ohm 5% </t>
  </si>
  <si>
    <t>CC0603JRNPO9BN561</t>
  </si>
  <si>
    <t>Многослойные керамические конденсаторы - поверхностного монтажа 0603 560pF 50V C0G 5%</t>
  </si>
  <si>
    <t>GRM1885C2A560JA01D</t>
  </si>
  <si>
    <t>Многослойные керамические конденсаторы - поверхностного монтажа 0603 56pF 100V C0G 5%</t>
  </si>
  <si>
    <t>09670150424</t>
  </si>
  <si>
    <t>2332, 2336</t>
  </si>
  <si>
    <t xml:space="preserve">Корпуса разъемов D-Sub 15P HOOD TOP ENTRY BLK THERMOPLASTIC </t>
  </si>
  <si>
    <t>https://b2b.harting.com/files/download/PRD/PDF_TS/0967015042X_BL01_R31085_100207922DRW002A.pdf</t>
  </si>
  <si>
    <t>82_MMBX-S50-0-1/111_NM</t>
  </si>
  <si>
    <t>Huber+Suhner</t>
  </si>
  <si>
    <t>MMBX Connector Jack, Female Socket 50 Ohms Surface Mount Solder</t>
  </si>
  <si>
    <t>https://source.z2data.com/2021/9/6/12/27/55/261306/PdfFile_193106.pdf</t>
  </si>
  <si>
    <t>09140009950</t>
  </si>
  <si>
    <t xml:space="preserve">Сверхмощные разъемы питания SPACER MODULE </t>
  </si>
  <si>
    <t>https://b2b.harting.com/files/download/PRD/PDF_DS/PDF_DS_09140009950_EN.pdf</t>
  </si>
  <si>
    <t>GC2014-M</t>
  </si>
  <si>
    <t>2339</t>
  </si>
  <si>
    <t>Вилка; "банан" 2мм; 15А; Контакты: позолоченная латунь; 16AWG</t>
  </si>
  <si>
    <t>AD8079ARZ</t>
  </si>
  <si>
    <t xml:space="preserve">Быстродействующие операционные усилители SOIC 450 MHz Dual Gain=+2.0 Buffer </t>
  </si>
  <si>
    <t>ATMEGA128-16AU</t>
  </si>
  <si>
    <t xml:space="preserve">8-битные микроконтроллеры AVR 128KB FLASH 4KB EE 4KB SRAM,5V </t>
  </si>
  <si>
    <t>https://ww1.microchip.com/downloads/en/DeviceDoc/2467S.pdf</t>
  </si>
  <si>
    <t>BC846BMB,315</t>
  </si>
  <si>
    <t>2332</t>
  </si>
  <si>
    <t>TRANSISTOR NPN 65V 100MA SOT883</t>
  </si>
  <si>
    <t>https://assets.nexperia.com/documents/data-sheet/BC846BMB.pdf</t>
  </si>
  <si>
    <t>0430451428</t>
  </si>
  <si>
    <t xml:space="preserve">Проводные клеммы и зажимы Microfit 3.0 V TH Hdr DR 15Au 14Ckt </t>
  </si>
  <si>
    <t>https://tools.molex.com/pdm_docs/ps/PS-43045.pdf</t>
  </si>
  <si>
    <t>T491D106K050AT</t>
  </si>
  <si>
    <t xml:space="preserve">Танталовые конденсаторы - твердые для поверхностного монтажа 2917 10µF 50V 10%  D case  </t>
  </si>
  <si>
    <t>ADG1419BRMZ</t>
  </si>
  <si>
    <t xml:space="preserve">ИС аналогового переключателя 2.1 ? On Resistance, 15 V/+12 V/ 5 V, iCMOS SPDT Switch </t>
  </si>
  <si>
    <t>https://www.analog.com/media/en/technical-documentation/data-sheets/ADG1419.pdf</t>
  </si>
  <si>
    <t>TSM4YJ101KR05</t>
  </si>
  <si>
    <t>100 Ohms 0.25W, 1/4W J Lead Surface Mount Trimmer Potentiometer Cermet 11.0 Turn Top Adjustment</t>
  </si>
  <si>
    <t>BC857,215</t>
  </si>
  <si>
    <t>2303</t>
  </si>
  <si>
    <t>Биполярный транзистор, универсальный, PNP, -45 В, 100 МГц, 250 мВт, -100 мА, 125 hFE</t>
  </si>
  <si>
    <t>https://www.farnell.com/datasheets/490737.pdf</t>
  </si>
  <si>
    <t xml:space="preserve">TAJC476M016RNJ </t>
  </si>
  <si>
    <t>TAJR105K020RNJ</t>
  </si>
  <si>
    <t xml:space="preserve">Танталовые конденсаторы - твердые, для поверхностного монтажа 1206 1µF 16V 10% A case </t>
  </si>
  <si>
    <t xml:space="preserve">Танталовые конденсаторы - твердые, для поверхностного монтажа 0805 2.2µF 10V 10% R case   </t>
  </si>
  <si>
    <t xml:space="preserve">Танталовые конденсаторы - твердые, для поверхностного монтажа 0805 1µF 20V 10% R case   </t>
  </si>
  <si>
    <t>GRM1885C2E120FW07D</t>
  </si>
  <si>
    <t>https://search.murata.co.jp/Ceramy/image/img/A01X/G101/ENG/GRM1885C2E120FW07-00B.pdf</t>
  </si>
  <si>
    <t xml:space="preserve">Многослойные керамические конденсаторы - поверхностного монтажа 0603 12pF 250V COG 1% </t>
  </si>
  <si>
    <t>T491D106K035AT</t>
  </si>
  <si>
    <t xml:space="preserve">Танталовые конденсаторы - твердые для поверхностного монтажа 2917 10µF 35V 10%  D case  </t>
  </si>
  <si>
    <t>C1210C106M6PAC</t>
  </si>
  <si>
    <t xml:space="preserve">Многослойные керамические конденсаторы - поверхностного монтажа 1210 10uF 35V X5R 20% </t>
  </si>
  <si>
    <t>https://content.kemet.com/datasheets/KEM_C1006_X5R_SMD.pdf</t>
  </si>
  <si>
    <t>TPD8F003DQDR</t>
  </si>
  <si>
    <t xml:space="preserve">Фильтрующие контуры ЭМП 8Ch EMI Filter for Display Interface </t>
  </si>
  <si>
    <t>https://www.ti.com/lit/ds/symlink/tpd6f003.pdf?HQS=dis-dk-null-digikeymode-dsf-pf-null-wwe&amp;ts=1727191012799&amp;ref_url=https%253A%252F%252Fwww.ti.com%252Fgeneral%252Fdocs%252Fsuppproductinfo.tsp%253FdistId%253D10%2526gotoUrl%253Dhttps%253A%252F%252Fwww.ti.com%252Flit%252Fgpn%252Ftpd6f003</t>
  </si>
  <si>
    <t xml:space="preserve">Многослойные керамические конденсаторы - поверхностного монтажа 0402 3900pF 50V X7R 5% </t>
  </si>
  <si>
    <t>CC0402JRX7R9BB392</t>
  </si>
  <si>
    <t>CS3-1C5EU-G</t>
  </si>
  <si>
    <t>Разъем RJ45 (8P8C) кат.5E UTP</t>
  </si>
  <si>
    <t xml:space="preserve">GENERICA </t>
  </si>
  <si>
    <t>L-KLS1-151-W</t>
  </si>
  <si>
    <t>2227</t>
  </si>
  <si>
    <t xml:space="preserve">USBB-1F (UBBR-04SW01) (USBB-FR) тип В розетка с экраном угловая </t>
  </si>
  <si>
    <t>https://www.compel.ru/item-pdf/c3454df47f65454412503901a4395e9b/ps/kls~kls1-151.pdf</t>
  </si>
  <si>
    <t>ZT3243LFEY</t>
  </si>
  <si>
    <t>Low Power +3V to +5.5V/3D/5R 1000kbps RS232 Transceivers 28-Pin TSSOP</t>
  </si>
  <si>
    <t>2008-2015</t>
  </si>
  <si>
    <t>GRM43ER72A225KA01L</t>
  </si>
  <si>
    <t xml:space="preserve">Многослойные керамические конденсаторы - поверхностного монтажа 1812 2.2µF 100V X7R 10% </t>
  </si>
  <si>
    <t>1707. 1713, 1719</t>
  </si>
  <si>
    <t>HMC374E</t>
  </si>
  <si>
    <t xml:space="preserve">РЧ-усилитель lo Noise amp SMT, 0.3 - 3.0 GHz </t>
  </si>
  <si>
    <t>https://www.analog.com/media/en/technical-documentation/data-sheets/hmc374chips.pdf</t>
  </si>
  <si>
    <t>AD8018ARZ</t>
  </si>
  <si>
    <t xml:space="preserve">Специальные усилители SOIC Dual+5V HiSpd Hi Output Current Amp </t>
  </si>
  <si>
    <t>https://www.analog.com/media/en/technical-documentation/data-sheets/AD8018.pdf</t>
  </si>
  <si>
    <t>MT47H128M16RT-25E IT:C</t>
  </si>
  <si>
    <t>SDRAM - DDR2 Memory IC 2Gbit Parallel 400 MHz 400 ps 84-FBGA (9x12.5)</t>
  </si>
  <si>
    <t>https://mm.digikey.com/Volume0/opasdata/d220001/medias/docus/887/MT47H512M4_256M8_128M16_RevJ_2018.pdf</t>
  </si>
  <si>
    <t>B82442H1103K000</t>
  </si>
  <si>
    <t>10 µH Unshielded Drum Core, Wirewound Inductor 1 A 168mOhm Max 2-SMD, J-Lead</t>
  </si>
  <si>
    <t>https://www.tdk-electronics.tdk.com/inf/30/db/ind_2008/b82442h.pdf?ref_disty=digikey</t>
  </si>
  <si>
    <t>M74HC00M1R</t>
  </si>
  <si>
    <t>NAND Gate IC 4 Channel 14-SO</t>
  </si>
  <si>
    <t>https://mm.digikey.com/Volume0/opasdata/d220001/medias/docus/1/M74HC00.pdf</t>
  </si>
  <si>
    <t>PCF8575DBR</t>
  </si>
  <si>
    <t>I/O Expander 16 I2C, SMBus 400 kHz 24-SSOP</t>
  </si>
  <si>
    <t>https://www.ti.com/general/docs/suppproductinfo.tsp?distId=10&amp;gotoUrl=https%3A%2F%2Fwww.ti.com%2Flit%2Fgpn%2Fpcf8575</t>
  </si>
  <si>
    <t>TAJD156K050RNJ</t>
  </si>
  <si>
    <t xml:space="preserve">ATMEGA128A-AUR </t>
  </si>
  <si>
    <t xml:space="preserve">8-битные микроконтроллеры AVR 128K FLSH-16MHz IND TEMP 5V </t>
  </si>
  <si>
    <t>https://ww1.microchip.com/downloads/en/DeviceDoc/Atmel-8151S-8-bit-AVR-ATmega128A_Datasheet%20Summary.pdf</t>
  </si>
  <si>
    <t>A-USBPA-N</t>
  </si>
  <si>
    <t>Assmann WSW Components</t>
  </si>
  <si>
    <t>USB-A (USB TYPE-A) USB 2.0 Plug Connector 4 Position Free Hanging (In-Line)</t>
  </si>
  <si>
    <t>https://www.assmann-wsw.com/uploads/datasheets/ASS_8371_CO.pdf</t>
  </si>
  <si>
    <t>L-KLS1-4.20-FT</t>
  </si>
  <si>
    <t>Контакт для корпусов разъемов L-KLS1-4.20-xx-MH; гнездовой; луженый; обжим на провод; калибр 30…22 AWG</t>
  </si>
  <si>
    <t>2406</t>
  </si>
  <si>
    <t>TPD1E10B06DPYR</t>
  </si>
  <si>
    <t>14V Clamp 5A (8/20µs) Ipp Tvs Diode Surface Mount 2-X1SON (1x.60)</t>
  </si>
  <si>
    <t>https://www.ti.com/lit/ds/symlink/tpd1e10b06.pdf?ts=1730098713645&amp;ref_url=https%253A%252F%252Fwww.ti.com%252Fproduct%252FTPD1E10B06%253FkeyMatch%253DTPD1E10B06%2526tisearch%253Duniversal_search%2526usecase%253DGPN</t>
  </si>
  <si>
    <t>TAJA106K006RNJ</t>
  </si>
  <si>
    <t>2105, 2106, 
2108, 2412</t>
  </si>
  <si>
    <t>Танталовые конденсаторы - твердые, для поверхностного монтажа 1206 10µF 6.3V 10% A case</t>
  </si>
  <si>
    <t>TAJC476K016RNJ</t>
  </si>
  <si>
    <t>2427 - 2434</t>
  </si>
  <si>
    <t>Танталовые конденсаторы - твердые для поверхностного монтажа 2312 47µF 16V 10% C case</t>
  </si>
  <si>
    <t>AM3GH-4805Z</t>
  </si>
  <si>
    <t>Aimtec</t>
  </si>
  <si>
    <t>10AS016E4F27I3SG</t>
  </si>
  <si>
    <t>2207</t>
  </si>
  <si>
    <t>Intel</t>
  </si>
  <si>
    <t xml:space="preserve">FPGA - Программируемая вентильная матрица Arria 10 SX 160 SoC FPGA </t>
  </si>
  <si>
    <t>https://media.digikey.com/pdf/Data%20Sheets/Intel%20PDFs/Arria10_DeviceOverview.pdf</t>
  </si>
  <si>
    <t>10AX032E4F29I3SG</t>
  </si>
  <si>
    <t>2237</t>
  </si>
  <si>
    <t xml:space="preserve">FPGA - Программируемая вентильная матрица Arria 10 GX 320 FPGA </t>
  </si>
  <si>
    <t>DS1069-8MVW6X</t>
  </si>
  <si>
    <t>Разъем пит-я/сигнал. "вилка" 8 конт.(1x8) шаг 2.50 мм, вертик. на плату (XH тип, выводы без "kink") (аналог CWF-8*/ WK-08*/ PW10-8-M*/ B8B-XH*)</t>
  </si>
  <si>
    <t>https://api.e-components.ru/api/item/ds-1069-8mvw-6-x/doc/0</t>
  </si>
  <si>
    <t>30BQ060</t>
  </si>
  <si>
    <t>2324</t>
  </si>
  <si>
    <t>Diode 60 V Surface Mount DO-214AB (SMC)</t>
  </si>
  <si>
    <t>https://www.smc-diodes.com/propdf/30BQ060%20N0675%20REV.A.pdf</t>
  </si>
  <si>
    <t>RC0603JR-07300RL</t>
  </si>
  <si>
    <t>Толстопленочные резисторы – для поверхностного монтажа 0603 300 Ohm 5%</t>
  </si>
  <si>
    <t>RC0603JR-0720RL</t>
  </si>
  <si>
    <t>Толстопленочные резисторы – для поверхностного монтажа 0603 20 Ohm 5%</t>
  </si>
  <si>
    <t>RC0805JR-0768RL</t>
  </si>
  <si>
    <t>Толстопленочные резисторы – для поверхностного монтажа 0805 68 Ohm 5%</t>
  </si>
  <si>
    <t>RC0805JR-077K5L</t>
  </si>
  <si>
    <t>Толстопленочные резисторы – для поверхностного монтажа 0805 7.5K Ohm 5%</t>
  </si>
  <si>
    <t>BLM18AG221SN1D</t>
  </si>
  <si>
    <t>2226</t>
  </si>
  <si>
    <t>220 Ohms @ 100 MHz 1 Ferrite Bead 0603 (1608 Metric) 700mA 250mOhm</t>
  </si>
  <si>
    <t>https://www.murata.com/en-us/products/productdata/8796738650142/ENFA0003.pdf</t>
  </si>
  <si>
    <t>PT-213-03</t>
  </si>
  <si>
    <t>Панель контактная (нажимной клеммник), DRAGON</t>
  </si>
  <si>
    <t>Dragon</t>
  </si>
  <si>
    <t>LM2904DR</t>
  </si>
  <si>
    <t xml:space="preserve">Операционные усилители Dual GP Op Amp </t>
  </si>
  <si>
    <t>https://www.ti.com/lit/ds/symlink/lm2904v.pdf?HQS=dis-dk-null-digikeymode-dsf-pf-null-wwe&amp;ts=1732504367670&amp;ref_url=https%253A%252F%252Fwww.ti.com%252Fgeneral%252Fdocs%252Fsuppproductinfo.tsp%253FdistId%253D10%2526gotoUrl%253Dhttps%253A%252F%252Fwww.ti.com%252Flit%252Fgpn%252Flm2904v</t>
  </si>
  <si>
    <t>CC0603FRNPO0BN680</t>
  </si>
  <si>
    <t>Многослойные керамические конденсаторы - поверхностного монтажа 0603 680pF 100V C0G 1%</t>
  </si>
  <si>
    <t>0430450628</t>
  </si>
  <si>
    <t xml:space="preserve">Проводные клеммы и зажимы Microfit 3.0 Vert TH Hdr DR 15Au 6Ckt </t>
  </si>
  <si>
    <t>B82442T1103K000</t>
  </si>
  <si>
    <t xml:space="preserve">Силовые индукторы - поверхностный монтаж SMT-INDUCTOR 2220-T 10 UH 10%, Ag+Sn </t>
  </si>
  <si>
    <t>https://www.tdk-electronics.tdk.com/inf/30/db/ind_2008/b82442t.pdf?ref_disty=digikey</t>
  </si>
  <si>
    <t>SP1003-01ETG</t>
  </si>
  <si>
    <t xml:space="preserve">Диоды для защиты от ЭСР / диоды для подавления переходных скачков напряжения 1 Ch 30KV 30pF </t>
  </si>
  <si>
    <t>https://cdn1-originals.webdamdb.com/12956_127235209?cache=1729639009&amp;response-content-disposition=inline;filename=Littelfuse_TVS_Diode_Array_SP1003_Datasheet.pdf&amp;response-content-type=application/pdf&amp;Policy=eyJTdGF0ZW1lbnQiOlt7IlJlc291cmNlIjoiaHR0cCo6Ly9jZG4xLW9yaWdpbmFscy53ZWJkYW1kYi5jb20vMTI5NTZfMTI3MjM1MjA5P2NhY2hlPTE3Mjk2MzkwMDkmcmVzcG9uc2UtY29udGVudC1kaXNwb3NpdGlvbj1pbmxpbmU7ZmlsZW5hbWU9TGl0dGVsZnVzZV9UVlNfRGlvZGVfQXJyYXlfU1AxMDAzX0RhdGFzaGVldC5wZGYmcmVzcG9uc2UtY29udGVudC10eXBlPWFwcGxpY2F0aW9uL3BkZiIsIkNvbmRpdGlvbiI6eyJEYXRlTGVzc1RoYW4iOnsiQVdTOkVwb2NoVGltZSI6MjE0NzQxNDQwMH19fV19&amp;Signature=XU72ibRPskXn3ReLjEpaMWZkXq-pjk3YkfRQQUyMMDZuQoxc6CUP0Wst9edDbUW1jw~1xNV1fndsYXkvKmtzxoddInHxQAK98-lsVLjbe6Fy8Y4I5flESTmLIn75wVwgDyWr~ceR0LEFMm8byMprlXN-NYB~ZhWCYE9pi2wdCGlRSrxaLkwCxtWfP4iHyQNyxoAgMVGHtZ5FTDSVj4MbZ6gJbc77Pd33T4b7yO6SDKzWR4XtW0IStvodin0TmqSqDSLs5wFoniNafYYF-a9dsoVbeN~c00SQ9YEMzB4TolYx-K-Zl3XB8mcPFi6dwC1ZAvSMf5vid-uTlDQR738sXA__&amp;Key-Pair-Id=APKAI2ASI2IOLRFF2RHA</t>
  </si>
  <si>
    <t xml:space="preserve">BP-214A/R  </t>
  </si>
  <si>
    <t>SMA-115-141</t>
  </si>
  <si>
    <t>SMA-male на кабель RG-402</t>
  </si>
  <si>
    <t>CC1206KKX7R0BB154</t>
  </si>
  <si>
    <t>Многослойные керамические конденсаторы - поверхностного монтажа 1206 0.15uF 100V X7R 10%</t>
  </si>
  <si>
    <t>GRM1555C2A470JA01D</t>
  </si>
  <si>
    <t xml:space="preserve">Многослойные керамические конденсаторы - поверхностного монтажа 0402 47pF 100V C0G 5% </t>
  </si>
  <si>
    <t>KLS1-207-1-32-R2</t>
  </si>
  <si>
    <t>Штыревой соединитель 1х32 шаг 2,54мм,</t>
  </si>
  <si>
    <t>2220</t>
  </si>
  <si>
    <t>AC-102/K2417</t>
  </si>
  <si>
    <t>Сетевой разъем питания AC-102/K2417 – коннектор ручного соединения для цепей с нагрузкой до 10А и напряжением 220В (до 250В).</t>
  </si>
  <si>
    <t>HT7150-1</t>
  </si>
  <si>
    <t>Линейный регулятор напряжения (LDO) 100мА 100мВ@(1мА) фиксированный 5В5В положительный 1 30В SOT-89</t>
  </si>
  <si>
    <t>B82477G4223M000</t>
  </si>
  <si>
    <t xml:space="preserve">Силовые индукторы - поверхностный монтаж 22uH 3.6A 20 % 12.8x12.8mm SMD </t>
  </si>
  <si>
    <t xml:space="preserve">09670009924 </t>
  </si>
  <si>
    <t xml:space="preserve">Инструменты и аппаратное оборудование D-Sub FML SCREW LOCK 4-40 THRD 13MM </t>
  </si>
  <si>
    <t>https://b2b.harting.com/files/download/PRD/PDF_TS/096700099YY_100798388DRW000E.pdf</t>
  </si>
  <si>
    <t>CC0402JRNPO0BN150</t>
  </si>
  <si>
    <t xml:space="preserve">Многослойные керамические конденсаторы - поверхностного монтажа 0402 15pF 100V C0G 5% </t>
  </si>
  <si>
    <t>OP262GSZ</t>
  </si>
  <si>
    <t>Analog Devices Inc.</t>
  </si>
  <si>
    <t>Прецизионные усилители 15 MHZ RAIL-TO-RAIL DUAL OP AMP</t>
  </si>
  <si>
    <t>https://www.analog.com/media/en/technical-documentation/data-sheets/OP162_262_462.pdf</t>
  </si>
  <si>
    <t>SPX5205M5-L-1-8/TR</t>
  </si>
  <si>
    <t xml:space="preserve">LDO регуляторы напряжения 150mA LOW NOISE LDO </t>
  </si>
  <si>
    <t>MaxLinear, Inc.</t>
  </si>
  <si>
    <t>https://eu.mouser.com/datasheet/2/146/SPX5205-1889004.pdf</t>
  </si>
  <si>
    <t>B82496C3569J000</t>
  </si>
  <si>
    <t>РЧ-индукторы - поверхностный монтаж 5.6nH 700mA 5% 1.6x0.8mm SMD</t>
  </si>
  <si>
    <t>B82496C3220J000</t>
  </si>
  <si>
    <t>РЧ-индукторы - поверхностный монтаж 22nH 380mA 5% 1.6x0.8mm SMD</t>
  </si>
  <si>
    <t>CW201212-5N6J</t>
  </si>
  <si>
    <t xml:space="preserve">РЧ-индукторы - поверхностный монтаж 5.6nH 5% </t>
  </si>
  <si>
    <t>https://www.bourns.com/docs/Product-Datasheets/CW201212.pdf</t>
  </si>
  <si>
    <t>2310</t>
  </si>
  <si>
    <t>B32520C3683K000</t>
  </si>
  <si>
    <t xml:space="preserve">Пленочные конденсаторы 0.068uF 250volt 10% </t>
  </si>
  <si>
    <t>https://product.tdk.com/en/system/files/dam/doc/product/capacitor/film/mkt/data_sheet/20/20/db/fc_2009/b32520_529.pdf</t>
  </si>
  <si>
    <t>1923</t>
  </si>
  <si>
    <t>CT9693-90</t>
  </si>
  <si>
    <t>https://www.hioki.com/global/products/current-probes/high-precision/id_5966</t>
  </si>
  <si>
    <t>https://www.asm-sensor.com/files/asmTheme/pdf/ct969x90e3-44b.pdf</t>
  </si>
  <si>
    <t>5CGTFD7D5F31I7N</t>
  </si>
  <si>
    <t>Cyclone® V GT Field Programmable Gate Array (FPGA) IC 480 7880704 149500 896-BGA</t>
  </si>
  <si>
    <t>https://mm.digikey.com/Volume0/opasdata/d220001/medias/docus/607/Cyclone_V_Device_Overview_Web.pdf</t>
  </si>
  <si>
    <t>GC8010-M</t>
  </si>
  <si>
    <t>Разъем: вилка, "банан" 8мм, 80А, 6AWG, 0,15мОм</t>
  </si>
  <si>
    <t>2347</t>
  </si>
  <si>
    <t>https://www.tme.eu/Document/58871157ae0a09146c79dab4399bd814/amass8.pdf</t>
  </si>
  <si>
    <t>2035, 2210</t>
  </si>
  <si>
    <t>Abracon LLC</t>
  </si>
  <si>
    <t>25 MHz XO (Standard) CMOS Oscillator 3.3V Enable/Disable 4-SMD, No Lead</t>
  </si>
  <si>
    <t>https://abracon.com/Oscillators/ASEseries.pdf</t>
  </si>
  <si>
    <t>8 Position Receptacle Connector 0.079" (2.00mm) Through Hole, Right Angle Tin</t>
  </si>
  <si>
    <t>https://www.molex.com/content/dam/molex/molex-dot-com/products/automated/en-us/salesdrawingpdf/524/52418/524180310_sd.pdf?inline</t>
  </si>
  <si>
    <t>LQW15AN16NJ00D</t>
  </si>
  <si>
    <t>FIXED IND 16NH 370MA 0.24OHM SMD</t>
  </si>
  <si>
    <t>https://search.murata.co.jp/Ceramy/image/img/P02/JELF243A-0050.pdf</t>
  </si>
  <si>
    <t>ASE-25.000MHZ-LC-T</t>
  </si>
  <si>
    <t>39-01-4060</t>
  </si>
  <si>
    <t xml:space="preserve">Проводные клеммы и зажимы MiniFit Jr SR Recpt Hsg 6 CKT V-2 </t>
  </si>
  <si>
    <t>https://www.molex.com/en-us/products/part-detail/39014060?display=pdf</t>
  </si>
  <si>
    <t>TAJB226K016RNJ</t>
  </si>
  <si>
    <t xml:space="preserve">Танталовые конденсаторы - твердые, для поверхностного монтажа 1210 22µF 16V 10%  B Case </t>
  </si>
  <si>
    <t>J01150A0031</t>
  </si>
  <si>
    <t>https://www.telegaertner.com/en/product/online-catalogue-coax/sma/sma-straight-plug-crimp/sma-straight-plug-crimp-g5-rg-223-u-rg-142b-u-solder-crimp-100024601</t>
  </si>
  <si>
    <t xml:space="preserve">SMA Straight Plug Crimp G5 (RG-223/U); RG-142B/U solder/crimp </t>
  </si>
  <si>
    <t xml:space="preserve">P6KE39A-E3/73 </t>
  </si>
  <si>
    <t xml:space="preserve">Диоды для защиты от ЭСР / диоды для подавления переходных скачков напряжения 600W 39V 5% Unidir </t>
  </si>
  <si>
    <t>https://www.vishay.com/docs/88369/p6ke.pdf</t>
  </si>
  <si>
    <t>RFL-300G</t>
  </si>
  <si>
    <t>GC6010-F</t>
  </si>
  <si>
    <t>2403</t>
  </si>
  <si>
    <t>Amass Electronics</t>
  </si>
  <si>
    <t>Разъем: гнездо, "банан" 6мм, 60А, 8AWG, 0,2мОм</t>
  </si>
  <si>
    <t>GC6010-M</t>
  </si>
  <si>
    <t>Разъем: вилка, "банан" 6мм, 60А, 8AWG, 0,2мОм</t>
  </si>
  <si>
    <t>CC0402JRX7R9BB104</t>
  </si>
  <si>
    <t xml:space="preserve">Многослойные керамические конденсаторы - поверхностного монтажа 0402 0.1µF 50V X7R 5% </t>
  </si>
  <si>
    <t>https://www.yageo.com/en/Chart/Download/pdf/CC0402JRX7R9BB104</t>
  </si>
  <si>
    <t>LI1210D600R</t>
  </si>
  <si>
    <t>2305</t>
  </si>
  <si>
    <t>Laird-Signal Integrity Products</t>
  </si>
  <si>
    <t>60 Ohms 1 Power, Signal Line Ferrite Bead 1210 (3225 Metric) 500mA 300mOhm</t>
  </si>
  <si>
    <t>https://mm.digikey.com/Volume0/opasdata/d220001/medias/docus/2459/EMI%20Ferrite%20Chip%20Beads.pdf</t>
  </si>
  <si>
    <t>GC8010-F</t>
  </si>
  <si>
    <t>Разъем: гнездо, "банан" 8мм, 80А, 6AWG, 0,15мОм</t>
  </si>
  <si>
    <t>BZX384-B5V6.115</t>
  </si>
  <si>
    <t>Zener Diode 5.6 V 300 mW ±2% Surface Mount SOD-323</t>
  </si>
  <si>
    <t>https://assets.nexperia.com/documents/data-sheet/BZX384_SER.pdf</t>
  </si>
  <si>
    <t>MF-USMF075-2</t>
  </si>
  <si>
    <t xml:space="preserve">Восстанавливаемые предохранители - PPTC 6V .75A-HD 40A MAX </t>
  </si>
  <si>
    <t>https://eu.mouser.com/datasheet/2/54/mfusmf-777646.pdf</t>
  </si>
  <si>
    <t>2312</t>
  </si>
  <si>
    <t>TAJD107K010RNJ</t>
  </si>
  <si>
    <t xml:space="preserve">Танталовые конденсаторы - твердые для поверхностного монтажа 2917 100µF 10V 10% D case  </t>
  </si>
  <si>
    <t>Многослойные керамические конденсаторы - поверхностного монтажа 0.47UF 10V X7R 0402</t>
  </si>
  <si>
    <t>CC0805KRX7R9BB102</t>
  </si>
  <si>
    <t xml:space="preserve">Многослойные керамические конденсаторы - поверхностного монтажа 0805 1000pF 50V X7R 10% </t>
  </si>
  <si>
    <t>2420, 2503</t>
  </si>
  <si>
    <t>PCA9540BDP,118</t>
  </si>
  <si>
    <t>1803, 2214</t>
  </si>
  <si>
    <t>NXP USA Inc.</t>
  </si>
  <si>
    <t>https://www.nxp.com/docs/en/data-sheet/PCA9540B.pdf</t>
  </si>
  <si>
    <t>2-Channel I2C Multiplexer Interface 8-TSSOP</t>
  </si>
  <si>
    <t>ADM3485EARZ-REEL</t>
  </si>
  <si>
    <t>2201, 2416</t>
  </si>
  <si>
    <t xml:space="preserve">ИС интерфейса RS-422/RS-485 3.3 V, 15 kV ESD-Protected, RS-485/RS-422 Transceiver (Half Duplex, 12Mbps, DE/RE) </t>
  </si>
  <si>
    <t>https://www.analog.com/media/en/technical-documentation/data-sheets/ADM3485E.pdf</t>
  </si>
  <si>
    <t>KTK-5</t>
  </si>
  <si>
    <t xml:space="preserve">Плавкие предохранители промышленного класса 600VAC 5A Fast Acting Limitron </t>
  </si>
  <si>
    <t>https://www.eaton.com/content/dam/eaton/products/electrical-circuit-protection/fuses/data-sheets/bus-ele-ds-1011-ktk.pdf</t>
  </si>
  <si>
    <t>09692100033</t>
  </si>
  <si>
    <t xml:space="preserve">Соединители D-Sub со смешанными контактами D-Sub 3W3 male shell </t>
  </si>
  <si>
    <t>https://b2b.harting.com/files/download/PRD/PDF_TS/09692100033_BL01_R32119_100079334DRW002A.pdf</t>
  </si>
  <si>
    <t>RT0603BRD07205RL</t>
  </si>
  <si>
    <t xml:space="preserve">Тонкопленочные резисторы – для поверхностного монтажа 0603 205 Оhm 0.1% 25ppm 1/10W </t>
  </si>
  <si>
    <t>RT0603BRD074K02L</t>
  </si>
  <si>
    <t xml:space="preserve">Тонкопленочные резисторы – для поверхностного монтажа 0603 4.02K Ohm 0.1% 25ppm 1/10W </t>
  </si>
  <si>
    <t>33-03402</t>
  </si>
  <si>
    <t>контакт пин (D=0,8+0,01/0 L=14,9)</t>
  </si>
  <si>
    <t>SM Contact</t>
  </si>
  <si>
    <t>45750-1211</t>
  </si>
  <si>
    <t>Проводные клеммы и зажимы MN-FT HCS 18-20G F</t>
  </si>
  <si>
    <t>https://www.molex.com/en-us/products/part-detail/457501211?display=pdf</t>
  </si>
  <si>
    <t xml:space="preserve">NES/J 250 </t>
  </si>
  <si>
    <t>Conn Power PL 2 POS ST Cable Mount 2 Terminal 1 Port</t>
  </si>
  <si>
    <t>SCHWARZ</t>
  </si>
  <si>
    <t>https://static6.arrow.com/aropdfconversion/5d40f11c84b543361e3785d552d201549d05460d/nes_j250.pdf</t>
  </si>
  <si>
    <t>51021-0600</t>
  </si>
  <si>
    <t>2410</t>
  </si>
  <si>
    <t>6 Rectangular Connectors - Housings Receptacle Natural 0.049" (1.25mm)</t>
  </si>
  <si>
    <t>https://www.molex.com/en-us/products/part-detail-pdf/510210600?display=pdf</t>
  </si>
  <si>
    <t>LR20-FS-R5-012</t>
  </si>
  <si>
    <t xml:space="preserve">Lshitech Electronic Technology </t>
  </si>
  <si>
    <t>LB20-FS-UB-012</t>
  </si>
  <si>
    <t xml:space="preserve">ADSP-TS101SAB1-100 </t>
  </si>
  <si>
    <t>1812</t>
  </si>
  <si>
    <t>Процессоры и контроллеры цифровых сигналов (DSP, DSC) 300MHz TigerSHARC w/ 6Mbit on-chip SRAM</t>
  </si>
  <si>
    <t>https://www.analog.com/media/en/technical-documentation/data-sheets/ADSP-TS101S.pdf</t>
  </si>
  <si>
    <t xml:space="preserve">Тонкопленочные резисторы – для поверхностного монтажа 0603 24.9 Ohm 0.1% 25ppm 1/10W  </t>
  </si>
  <si>
    <t>09670009972</t>
  </si>
  <si>
    <t>Инструменты и аппаратное оборудование D-Sub SCREWLOCK FOR R/A VERSION</t>
  </si>
  <si>
    <t>https://b2b.harting.com/files/download/PRD/PDF_DS/PDF_DS_09670009972_EN.pdf</t>
  </si>
  <si>
    <t>DG243-5.0-04P-11-00A(H)</t>
  </si>
  <si>
    <t>Пружинный клеммник на печатную плату 4 контакта. Серия DG243-5.0</t>
  </si>
  <si>
    <t>https://клеммник.рф/upload/uf/cfa/q04nx1eniie6vcvzqbhquliop0hssbdl.pdf</t>
  </si>
  <si>
    <t>TPS61222DCKR</t>
  </si>
  <si>
    <t>Boost Switching Regulator IC Positive Fixed 5V 1 Output 200mA (Switch) 6-TSSOP, SC-88, SOT-363</t>
  </si>
  <si>
    <t>https://www.ti.com/lit/ds/symlink/tps61220.pdf?HQS=dis-dk-null-digikeymode-dsf-pf-null-wwe&amp;ts=1749038515923&amp;ref_url=https%253A%252F%252Fwww.ti.com%252Fgeneral%252Fdocs%252Fsuppproductinfo.tsp%253FdistId%253D10%2526gotoUrl%253Dhttps%253A%252F%252Fwww.ti.com%252Flit%252Fgpn%252Ftps61220</t>
  </si>
  <si>
    <t>DS1025-05-2*5 P8BV1 
(PLD2-10)</t>
  </si>
  <si>
    <t>DS1025-06-2*10 P8BR1 
(PLD2-20R)</t>
  </si>
  <si>
    <t>DS1025-06-2*15 P8BR1 
(PLD2-30R)</t>
  </si>
  <si>
    <t>DS1025-06-2*20 P8BR1 
(PLD2-40R)</t>
  </si>
  <si>
    <t>DS1025-06-2*4 P8BR1 
(PLD2-8R)</t>
  </si>
  <si>
    <t>DS1029-04-2*10 P8BVB10-B (PLHD-20)</t>
  </si>
  <si>
    <t xml:space="preserve">DS1029-04-2*40 P8BVB10-B (PLHD-40) </t>
  </si>
  <si>
    <t xml:space="preserve">Штыри двухрядные 2x40 конт. шаг 2.54 мм, межплатные вертик. (3.0/ 10.4/ 6.3 мм), позол. </t>
  </si>
  <si>
    <t xml:space="preserve">Штыри двухрядные 2x10 конт. шаг 2.54 мм, межплатные вертик. (7.1/15.6/12.3 мм), позол. (изолят. тип V2) </t>
  </si>
  <si>
    <t>https://api.e-components.ru/api/item/ds-1029-04-2-10-p-8-bvb-29-b/doc/0</t>
  </si>
  <si>
    <t>CC0402BRNPO9BN7R5</t>
  </si>
  <si>
    <t>Многослойные керамические конденсаторы - поверхностного монтажа 0402 7.5pF 50V C0G ±0.1pF</t>
  </si>
  <si>
    <t>Многослойные керамические конденсаторы - поверхностного монтажа 0402 4.3pF 50V C0G ±0.1pF</t>
  </si>
  <si>
    <t>https://www.yageo.com/en/Chart/Download/pdf/CC0402BRNPO9BN7R5</t>
  </si>
  <si>
    <t>BZX384-C18.115</t>
  </si>
  <si>
    <t>2328</t>
  </si>
  <si>
    <t>Zener Diode 18 V 300 mW ±5% Surface Mount SOD-323</t>
  </si>
  <si>
    <t>SPX5205M5-2-5/TR</t>
  </si>
  <si>
    <t>Sipex</t>
  </si>
  <si>
    <t>Fixed Positive LDO Regulator, 2.5V, 0.35V Dropout</t>
  </si>
  <si>
    <t>https://rocelec.widen.net/view/pdf/u7tcmrehyd/EXARS01345-1.pdf?t.download=true&amp;u=5oefqw</t>
  </si>
  <si>
    <t>1.691.1200.50</t>
  </si>
  <si>
    <t>2319</t>
  </si>
  <si>
    <t>Кабельный ввод; с заземлением; M12; 1,5; IP68; латунь; HSK-M-EMC</t>
  </si>
  <si>
    <t>HUMMEL</t>
  </si>
  <si>
    <t>https://www.tme.eu/Document/296888ded435aee1b8aec20e35a919b8/1691b.pdf</t>
  </si>
  <si>
    <t>RC2512FK-07215RL</t>
  </si>
  <si>
    <t xml:space="preserve">Толстопленочные резисторы – для поверхностного монтажа 2512 215 Ohm ±1% 1W </t>
  </si>
  <si>
    <t>https://www.yageo.com/upload/media/product/products/datasheet/rchip/PYu-RC_Group_51_RoHS_L_12.pdf</t>
  </si>
  <si>
    <t>CA064C104K4RACTU</t>
  </si>
  <si>
    <t>2401</t>
  </si>
  <si>
    <t xml:space="preserve">Конденсаторные массивы и сети 16VDC 0.1uF X7R 10% X7R 10% </t>
  </si>
  <si>
    <t>https://mm.digikey.com/Volume0/opasdata/d220001/medias/docus/530/X7R_Dielectric_10-200V_Rev_Nov2013.pdf</t>
  </si>
  <si>
    <t>EPCQ64ASI16N</t>
  </si>
  <si>
    <t>1838</t>
  </si>
  <si>
    <t>IC CONFIG DEVICE 64MBIT 16SOIC</t>
  </si>
  <si>
    <t>https://mm.digikey.com/Volume0/opasdata/d220001/medias/docus/2615/EPCQ-A_Serial_Configuration_Device.pdf</t>
  </si>
  <si>
    <t>ATC800B2R0BT500X</t>
  </si>
  <si>
    <t>Многослойные керамические конденсаторы - поверхностного монтажа 1111 2pF 500V NP0 ±0.1pF</t>
  </si>
  <si>
    <t>AMPMGFA-8.0000</t>
  </si>
  <si>
    <t>Abracon</t>
  </si>
  <si>
    <t>ABM3B-25.000MHz-10-D-1-U</t>
  </si>
  <si>
    <t>ASFL1-16.000MHz-L</t>
  </si>
  <si>
    <t>ABL-16.0000MHz-B4Y</t>
  </si>
  <si>
    <t>AIML-0603-47NK</t>
  </si>
  <si>
    <t>CA6XV5-1KA2020 SNP</t>
  </si>
  <si>
    <t>ACP Technologies</t>
  </si>
  <si>
    <t>AT25DF321A-SH</t>
  </si>
  <si>
    <t>Adesto Technologies</t>
  </si>
  <si>
    <t>PCI-6208V-GL</t>
  </si>
  <si>
    <t>Adlink Technology</t>
  </si>
  <si>
    <t>ADAM-6052</t>
  </si>
  <si>
    <t>Advantech</t>
  </si>
  <si>
    <t>AM1L-1205D-NZ</t>
  </si>
  <si>
    <t>AM6G-2412SZ</t>
  </si>
  <si>
    <t>AM1/4L-0512S-NZ</t>
  </si>
  <si>
    <t>AM2G-2415DZ</t>
  </si>
  <si>
    <t>AM2G-1212SZ</t>
  </si>
  <si>
    <t>AM1LS-0512S-NZ</t>
  </si>
  <si>
    <t>AM1DS-0505SH30JZ</t>
  </si>
  <si>
    <t>TX32-33010S-32.000-X</t>
  </si>
  <si>
    <t>Aker Technology</t>
  </si>
  <si>
    <t>CPA-SMA-G10-S23</t>
  </si>
  <si>
    <t>Alfa'r Connectors</t>
  </si>
  <si>
    <t>AXP100</t>
  </si>
  <si>
    <t>Alinx Electronic Technology (Shanghai)</t>
  </si>
  <si>
    <t>ACS756KCB-050B-PFF-T</t>
  </si>
  <si>
    <t>Allegro MicroSystems</t>
  </si>
  <si>
    <t>AOD2610</t>
  </si>
  <si>
    <t>Alpha and Omega Semiconductor</t>
  </si>
  <si>
    <t>EP1S25F1020I6</t>
  </si>
  <si>
    <t>EPF10K50RI240-4</t>
  </si>
  <si>
    <t>EP3C40F780I7</t>
  </si>
  <si>
    <t>EP4CGX22CF19I7N</t>
  </si>
  <si>
    <t>EPC8QI100</t>
  </si>
  <si>
    <t>EPF10K10QI208-4</t>
  </si>
  <si>
    <t>EP4CGX22CF19I7</t>
  </si>
  <si>
    <t>EP3C40F484I7</t>
  </si>
  <si>
    <t>EPCS1SI8N</t>
  </si>
  <si>
    <t>EP4CE15F17I</t>
  </si>
  <si>
    <t>AM486DX4-100V16BHI</t>
  </si>
  <si>
    <t>AM29F400BT-90SI</t>
  </si>
  <si>
    <t>AM29LV040B-90EI</t>
  </si>
  <si>
    <t>MCX1181A1-3GT30G-11-50</t>
  </si>
  <si>
    <t>Amphenol</t>
  </si>
  <si>
    <t>RJFTVB2G ISO NI</t>
  </si>
  <si>
    <t>L17DM537425</t>
  </si>
  <si>
    <t>242130RP</t>
  </si>
  <si>
    <t>RJFTVC2G</t>
  </si>
  <si>
    <t>RJF TV 6MG</t>
  </si>
  <si>
    <t>RJFTVC6G</t>
  </si>
  <si>
    <t>L17DTZK25K</t>
  </si>
  <si>
    <t>D38999/26WA98S</t>
  </si>
  <si>
    <t>2M805-002-16M19-85PA</t>
  </si>
  <si>
    <t>Amphenol Aerospace</t>
  </si>
  <si>
    <t>2M805-002-16NF12-26PA</t>
  </si>
  <si>
    <t>10051922-1510EHLF</t>
  </si>
  <si>
    <t>Amphenol FCi</t>
  </si>
  <si>
    <t>BNC 112778</t>
  </si>
  <si>
    <t>AD9058AKD</t>
  </si>
  <si>
    <t>AD9858BSV</t>
  </si>
  <si>
    <t>AD843AQ</t>
  </si>
  <si>
    <t>HMC440QS16G</t>
  </si>
  <si>
    <t>HMC917LP3E</t>
  </si>
  <si>
    <t>HMC758LP3E</t>
  </si>
  <si>
    <t>AD654JRZ</t>
  </si>
  <si>
    <t>ADuM1301CRW</t>
  </si>
  <si>
    <t>HMC478SC70</t>
  </si>
  <si>
    <t>AD8009ARZ</t>
  </si>
  <si>
    <t>HMC516</t>
  </si>
  <si>
    <t>ADG452BRZ</t>
  </si>
  <si>
    <t>AD9218BST-40</t>
  </si>
  <si>
    <t>ADA4841-2YRZ</t>
  </si>
  <si>
    <t>HMC453ST89</t>
  </si>
  <si>
    <t>AD9912ABCPZ</t>
  </si>
  <si>
    <t>ADG409BN</t>
  </si>
  <si>
    <t>AD7893AR-10</t>
  </si>
  <si>
    <t>HMC441LC3B</t>
  </si>
  <si>
    <t>HMC346LC3B</t>
  </si>
  <si>
    <t>HMC553LC3B</t>
  </si>
  <si>
    <t>AD843BQ</t>
  </si>
  <si>
    <t>ADCMP604BKSZ</t>
  </si>
  <si>
    <t>HMC838LP6C</t>
  </si>
  <si>
    <t>ADF4350BCPZ</t>
  </si>
  <si>
    <t>LTC2986ILX-1#PBF</t>
  </si>
  <si>
    <t>ADM232AAN</t>
  </si>
  <si>
    <t>LTC4359IS8#PBF</t>
  </si>
  <si>
    <t>AD7475BRMZ</t>
  </si>
  <si>
    <t>AD712AQ</t>
  </si>
  <si>
    <t>LTC4357HMS8#PBF</t>
  </si>
  <si>
    <t>ADR431BRZ</t>
  </si>
  <si>
    <t>ADA4950-1YCPZ</t>
  </si>
  <si>
    <t>ADA4938-2ACPZ</t>
  </si>
  <si>
    <t>AD588AQ</t>
  </si>
  <si>
    <t>HMC860LP3</t>
  </si>
  <si>
    <t>ADP3339AKCZ-2.5</t>
  </si>
  <si>
    <t>AD8347ARU</t>
  </si>
  <si>
    <t>AD8009AR</t>
  </si>
  <si>
    <t>AD5689BRUZ</t>
  </si>
  <si>
    <t>ADR01BRZ</t>
  </si>
  <si>
    <t>AD8057ARZ</t>
  </si>
  <si>
    <t>AD8185ARUZ</t>
  </si>
  <si>
    <t>ADM3202ARW</t>
  </si>
  <si>
    <t>AD812AN</t>
  </si>
  <si>
    <t>AD780AR</t>
  </si>
  <si>
    <t>HMC433</t>
  </si>
  <si>
    <t>ADP7183ACPZN2.5</t>
  </si>
  <si>
    <t>ADM3101EARQZ</t>
  </si>
  <si>
    <t>ADM2682EBRIZ</t>
  </si>
  <si>
    <t>AD8065AR</t>
  </si>
  <si>
    <t>ADP3303AR-3.3</t>
  </si>
  <si>
    <t>ADR4520BRZ</t>
  </si>
  <si>
    <t>OP284FS</t>
  </si>
  <si>
    <t>MAX3221EAE</t>
  </si>
  <si>
    <t>AD8361ARMZ</t>
  </si>
  <si>
    <t>AD8130AR</t>
  </si>
  <si>
    <t>ADL5531ACPZ</t>
  </si>
  <si>
    <t>ADL5501AKSZ</t>
  </si>
  <si>
    <t>LT1117IST-3.3</t>
  </si>
  <si>
    <t>ADP3335ARMZ-3.3</t>
  </si>
  <si>
    <t>ADP3334AR</t>
  </si>
  <si>
    <t>ADM3076EARZ</t>
  </si>
  <si>
    <t>ADG619BRM</t>
  </si>
  <si>
    <t>AD822AR</t>
  </si>
  <si>
    <t>AD712JN</t>
  </si>
  <si>
    <t>AD680AR</t>
  </si>
  <si>
    <t>AD815AYS</t>
  </si>
  <si>
    <t>ADM3483EARZ</t>
  </si>
  <si>
    <t>ADA4860-1YRJZ</t>
  </si>
  <si>
    <t>AD8541ARTZ</t>
  </si>
  <si>
    <t>AD825ARZ</t>
  </si>
  <si>
    <t>ADG751ART</t>
  </si>
  <si>
    <t>LS38-C3S-TI-N-DD</t>
  </si>
  <si>
    <t>APAC Opto Electronics</t>
  </si>
  <si>
    <t>HS200 1K5 F</t>
  </si>
  <si>
    <t>Arcol</t>
  </si>
  <si>
    <t>Mega 2560 R3</t>
  </si>
  <si>
    <t>Arduino</t>
  </si>
  <si>
    <t>ARL-5213UWC-30cd</t>
  </si>
  <si>
    <t>Arlight</t>
  </si>
  <si>
    <t>LDS100-24-H00</t>
  </si>
  <si>
    <t>Artesyn Embedded Technologies</t>
  </si>
  <si>
    <t>AX88178A QF</t>
  </si>
  <si>
    <t>Asix Electronics</t>
  </si>
  <si>
    <t>AK-1394-18</t>
  </si>
  <si>
    <t>A-USBPB-N</t>
  </si>
  <si>
    <t>A-USBPB-HOOD-N</t>
  </si>
  <si>
    <t>A-DC 09 S W</t>
  </si>
  <si>
    <t>600F241JT250</t>
  </si>
  <si>
    <t>ATC</t>
  </si>
  <si>
    <t>600F390JT250</t>
  </si>
  <si>
    <t>600L8R2BT200</t>
  </si>
  <si>
    <t>600F680JT250</t>
  </si>
  <si>
    <t>600S0R8BT250</t>
  </si>
  <si>
    <t>600S0R6BT250</t>
  </si>
  <si>
    <t>600F300FT250</t>
  </si>
  <si>
    <t>600F6R8JT250</t>
  </si>
  <si>
    <t>600F3R3CT250</t>
  </si>
  <si>
    <t>600F1R5BT250</t>
  </si>
  <si>
    <t>600F2R7CT250</t>
  </si>
  <si>
    <t>600F101JT250</t>
  </si>
  <si>
    <t>0402HC-5N6ECTS</t>
  </si>
  <si>
    <t>600F1R5CT250</t>
  </si>
  <si>
    <t>600F2R2CT250</t>
  </si>
  <si>
    <t>600S1R6BT250</t>
  </si>
  <si>
    <t>AM2005</t>
  </si>
  <si>
    <t>Atlanta Micro</t>
  </si>
  <si>
    <t>AM6002</t>
  </si>
  <si>
    <t>ATWILC1000B-MU</t>
  </si>
  <si>
    <t>Atmel</t>
  </si>
  <si>
    <t>AT89C51ED2-RDTUM</t>
  </si>
  <si>
    <t>AT24CM01-SHM</t>
  </si>
  <si>
    <t>ATxmega128A1-AU</t>
  </si>
  <si>
    <t>ATmega8-16AI</t>
  </si>
  <si>
    <t>AT89C51ED2-RLTUM</t>
  </si>
  <si>
    <t>ATmega324PA-AU</t>
  </si>
  <si>
    <t>DPM-R7K-H</t>
  </si>
  <si>
    <t>Auk Contractors</t>
  </si>
  <si>
    <t>MSA-0835</t>
  </si>
  <si>
    <t>MSA-0635</t>
  </si>
  <si>
    <t>HSMS-2822</t>
  </si>
  <si>
    <t>MGB8-04G-ST</t>
  </si>
  <si>
    <t>AVC Industrial</t>
  </si>
  <si>
    <t>D/MG12A-H4-02</t>
  </si>
  <si>
    <t>CM105CG220J50A</t>
  </si>
  <si>
    <t>CM21CG103K16A</t>
  </si>
  <si>
    <t>TAJD335K050RNJ</t>
  </si>
  <si>
    <t>CM21X7R105K10A</t>
  </si>
  <si>
    <t>CM105X7R105K16A</t>
  </si>
  <si>
    <t>CM105X7R103J50A</t>
  </si>
  <si>
    <t>18125C335KAT2A</t>
  </si>
  <si>
    <t>TAJB226K020RNJ</t>
  </si>
  <si>
    <t>TAJB475M016RNJ</t>
  </si>
  <si>
    <t>CM105X7R102K50A</t>
  </si>
  <si>
    <t>TAJD156M050RNJ</t>
  </si>
  <si>
    <t>1210PC333KAT1A</t>
  </si>
  <si>
    <t>TAJE336K025RNJ</t>
  </si>
  <si>
    <t>TPSB106K020R1000</t>
  </si>
  <si>
    <t>TAJD476K016RNJ</t>
  </si>
  <si>
    <t>TLCR105M035RTA</t>
  </si>
  <si>
    <t>TAJE477K010RNJ</t>
  </si>
  <si>
    <t>04023A680FAT2A</t>
  </si>
  <si>
    <t>0402YA681GAT2A</t>
  </si>
  <si>
    <t>06033C474JAT2A</t>
  </si>
  <si>
    <t>CM316X7R105K25A</t>
  </si>
  <si>
    <t>TAJE226K035RNJ</t>
  </si>
  <si>
    <t>TAJA475K010RNJ</t>
  </si>
  <si>
    <t>TAJD476K010RNJ</t>
  </si>
  <si>
    <t>TAJB107M010RNJ</t>
  </si>
  <si>
    <t>0402ZC6R8KAT2A</t>
  </si>
  <si>
    <t>0402ZC473KAT2A</t>
  </si>
  <si>
    <t>04025C103JAT2A</t>
  </si>
  <si>
    <t>08051A102JAT2A</t>
  </si>
  <si>
    <t>CM105CG120J100A</t>
  </si>
  <si>
    <t>CM105CG180J100A</t>
  </si>
  <si>
    <t>CM105CG561J50A</t>
  </si>
  <si>
    <t>18125C474KAT2A</t>
  </si>
  <si>
    <t>CM105CG270J100A</t>
  </si>
  <si>
    <t>TLCR105M020RTA</t>
  </si>
  <si>
    <t>TAJA225K006RNJ</t>
  </si>
  <si>
    <t>CM105CG391J50A</t>
  </si>
  <si>
    <t>06031A331JAT2A</t>
  </si>
  <si>
    <t>1206YC103KAT2A</t>
  </si>
  <si>
    <t>04025C222JAT2A</t>
  </si>
  <si>
    <t>TAJA104K035RNJ</t>
  </si>
  <si>
    <t>06035C104KAT2A</t>
  </si>
  <si>
    <t>1210ZD226KAT2A</t>
  </si>
  <si>
    <t>06035A300JAT2A</t>
  </si>
  <si>
    <t>CM105CG330J100A</t>
  </si>
  <si>
    <t>0805YD105KAT2A</t>
  </si>
  <si>
    <t>CM21X7R105K25A</t>
  </si>
  <si>
    <t>CM105X7R104K50A</t>
  </si>
  <si>
    <t>TAJE157M016RNJ</t>
  </si>
  <si>
    <t>CM105CG560J100A</t>
  </si>
  <si>
    <t>CM05CG100J50A</t>
  </si>
  <si>
    <t>F981E105MMA</t>
  </si>
  <si>
    <t>CM105X7R104K25A</t>
  </si>
  <si>
    <t>12061A221KAT2A</t>
  </si>
  <si>
    <t>06031A5R1CAT2A</t>
  </si>
  <si>
    <t>0402ZC472KAT2A</t>
  </si>
  <si>
    <t>06036D106MAT2A</t>
  </si>
  <si>
    <t>F981A475MUALZT</t>
  </si>
  <si>
    <t>06031A4R7CAT2A</t>
  </si>
  <si>
    <t>06031A100FAT2A</t>
  </si>
  <si>
    <t>CM05X7R221K50A</t>
  </si>
  <si>
    <t>TAJA106K010TNJ</t>
  </si>
  <si>
    <t>06035C333JAT2A</t>
  </si>
  <si>
    <t>TPSB336K010R0500</t>
  </si>
  <si>
    <t>22201C106MAT2A</t>
  </si>
  <si>
    <t>TAJB107K006RNJ</t>
  </si>
  <si>
    <t>CM316X7R225K10A</t>
  </si>
  <si>
    <t>06033C330KAT2A</t>
  </si>
  <si>
    <t>0402YA560GAT2A</t>
  </si>
  <si>
    <t>06031A8R0CAT2A</t>
  </si>
  <si>
    <t>TAJB227M004RNJ</t>
  </si>
  <si>
    <t>TAJB106M006RNJ</t>
  </si>
  <si>
    <t>0603YD225KAT2A</t>
  </si>
  <si>
    <t>06031A220JAT2A</t>
  </si>
  <si>
    <t>TAJD226M035RNJ</t>
  </si>
  <si>
    <t>08055A681JAT2A</t>
  </si>
  <si>
    <t>CM105CG8R0F100A</t>
  </si>
  <si>
    <t>CM105CG220J100A</t>
  </si>
  <si>
    <t>1206ZC684JAT2A</t>
  </si>
  <si>
    <t>12101C335K4T2A</t>
  </si>
  <si>
    <t>TAJD336K020RNJ</t>
  </si>
  <si>
    <t>TAJC105K050RNJ</t>
  </si>
  <si>
    <t>CM32X7R105K50A</t>
  </si>
  <si>
    <t>0402ZC683KAT2A</t>
  </si>
  <si>
    <t>04023A270FAT2A</t>
  </si>
  <si>
    <t>1206GC102KAT2A</t>
  </si>
  <si>
    <t>04026C105JAT2A</t>
  </si>
  <si>
    <t>0603YA272KAT2A</t>
  </si>
  <si>
    <t>CM105CG150J50A</t>
  </si>
  <si>
    <t>0805YC475KAT2A</t>
  </si>
  <si>
    <t>TAJC106M025RNJ</t>
  </si>
  <si>
    <t>TAJD157M016RNJ</t>
  </si>
  <si>
    <t>CM105CG471J50A</t>
  </si>
  <si>
    <t>0402ZC223KAT2A</t>
  </si>
  <si>
    <t>06035C101KAT2A</t>
  </si>
  <si>
    <t>CM105X7R473K25A</t>
  </si>
  <si>
    <t>CM105X5R474K16A</t>
  </si>
  <si>
    <t>04023A220FAT2A</t>
  </si>
  <si>
    <t>CM21CG182J50A</t>
  </si>
  <si>
    <t>0603YC105JAT2A</t>
  </si>
  <si>
    <t>CM105X7R103K16A</t>
  </si>
  <si>
    <t>TAJC336K010RNJ</t>
  </si>
  <si>
    <t>1206PC103KAZ1A</t>
  </si>
  <si>
    <t>0402ZD474KAT2A</t>
  </si>
  <si>
    <t>1210ZD107KAT2A</t>
  </si>
  <si>
    <t>CM105CG470J100A</t>
  </si>
  <si>
    <t>CM21CG152J50A</t>
  </si>
  <si>
    <t>08055A101KAT2A</t>
  </si>
  <si>
    <t>04023A471FAT2A</t>
  </si>
  <si>
    <t>04025A2R2JAT2A</t>
  </si>
  <si>
    <t>04023A271FAT2A</t>
  </si>
  <si>
    <t>0603ZD475KAT2A</t>
  </si>
  <si>
    <t>CM105CG221J50A</t>
  </si>
  <si>
    <t>CM105CG121J50A</t>
  </si>
  <si>
    <t>0402YA100GAT2A</t>
  </si>
  <si>
    <t>CM105X7R103K25A</t>
  </si>
  <si>
    <t>08055C224K4T2A</t>
  </si>
  <si>
    <t>TLCL105M025RTA</t>
  </si>
  <si>
    <t>04023A1R8BAT2A</t>
  </si>
  <si>
    <t>04023A120JAT2A</t>
  </si>
  <si>
    <t>08055D104KAT2A</t>
  </si>
  <si>
    <t>0402ZC224KAT2A</t>
  </si>
  <si>
    <t>0603ZC104KAT2A</t>
  </si>
  <si>
    <t>04023A470FAT2A</t>
  </si>
  <si>
    <t>0402YA120GAT2A</t>
  </si>
  <si>
    <t>0805YA103JAT2A</t>
  </si>
  <si>
    <t>04025A102JAT2A</t>
  </si>
  <si>
    <t>0402YA120KAT2A</t>
  </si>
  <si>
    <t>0402YA220KAT2A</t>
  </si>
  <si>
    <t>CM21X7R104K50A</t>
  </si>
  <si>
    <t>04023C103KAT2A</t>
  </si>
  <si>
    <t>04023C103JAT2A</t>
  </si>
  <si>
    <t>CM105X7R103K50A</t>
  </si>
  <si>
    <t>CM05X7R103K16A</t>
  </si>
  <si>
    <t>04025A8R2JAT2A</t>
  </si>
  <si>
    <t>0402YC104KAT2A</t>
  </si>
  <si>
    <t>06035A561JAT2A</t>
  </si>
  <si>
    <t>PLP2-500</t>
  </si>
  <si>
    <t>Bivar</t>
  </si>
  <si>
    <t>3313J-1-502E</t>
  </si>
  <si>
    <t>3313J-1-101E</t>
  </si>
  <si>
    <t>3540S-1-202L</t>
  </si>
  <si>
    <t>SRU5028-680Y</t>
  </si>
  <si>
    <t>SRP1770TA-150M</t>
  </si>
  <si>
    <t>CR0402-JW-221GLF</t>
  </si>
  <si>
    <t>4816P-1-103</t>
  </si>
  <si>
    <t>3313J-1-221E</t>
  </si>
  <si>
    <t>3339H-1-102LF</t>
  </si>
  <si>
    <t>CR0402-J/-000GLF</t>
  </si>
  <si>
    <t>CR0402-JW-331GLF</t>
  </si>
  <si>
    <t>3296W-1-253LF</t>
  </si>
  <si>
    <t>SRR4018-100Y</t>
  </si>
  <si>
    <t>3296W-1-102LF</t>
  </si>
  <si>
    <t>CW100505-2N2D</t>
  </si>
  <si>
    <t>CRS2512-FW-1R00ELF</t>
  </si>
  <si>
    <t>CG0603MLU-3.3</t>
  </si>
  <si>
    <t>TBU-CA065-300-WH</t>
  </si>
  <si>
    <t>CR0603-FX-1005ELF</t>
  </si>
  <si>
    <t>MF-MSMF075/24</t>
  </si>
  <si>
    <t>CR1206-JW-106ELF</t>
  </si>
  <si>
    <t>SRP1265A-330M</t>
  </si>
  <si>
    <t>CR0805-JW-122ELF</t>
  </si>
  <si>
    <t>SMAJ15CA</t>
  </si>
  <si>
    <t>CR1206-FX-45R3ELF</t>
  </si>
  <si>
    <t>CR0603-FW-1204ELF</t>
  </si>
  <si>
    <t>RLB0914-102KL</t>
  </si>
  <si>
    <t>TC42X-2-103</t>
  </si>
  <si>
    <t>CR1206-JW-510ELF</t>
  </si>
  <si>
    <t>CR0805-FX-75R0ELF</t>
  </si>
  <si>
    <t>CR0805-JW-513ELF</t>
  </si>
  <si>
    <t>CR0201-JW-121GLF</t>
  </si>
  <si>
    <t>CR1206-JW-122ELF</t>
  </si>
  <si>
    <t>CR0402-FX-2671GLF</t>
  </si>
  <si>
    <t>CR2512-JW-751ELF</t>
  </si>
  <si>
    <t>CR0603-FX-9101ELF</t>
  </si>
  <si>
    <t>CR0805-JW-270ELF</t>
  </si>
  <si>
    <t>CR0805-JW-183ELF</t>
  </si>
  <si>
    <t>CR0603-FX-3831ELF</t>
  </si>
  <si>
    <t>MF-USMF075</t>
  </si>
  <si>
    <t>SRU5028-100Y</t>
  </si>
  <si>
    <t>CR0603-FX-5491ELF</t>
  </si>
  <si>
    <t>CR0201-JW-180GLF</t>
  </si>
  <si>
    <t>CR0402-FX-4750GLF</t>
  </si>
  <si>
    <t>CR0603-FX-6490ELF</t>
  </si>
  <si>
    <t>CR0805-FX-20R0ELF</t>
  </si>
  <si>
    <t>CR1206-JW-431ELF</t>
  </si>
  <si>
    <t>SDR1307-271KL</t>
  </si>
  <si>
    <t>CR0805-JW-303ELF</t>
  </si>
  <si>
    <t>CR0603-FX-1963ELF</t>
  </si>
  <si>
    <t>CR0805-JW-912ELF</t>
  </si>
  <si>
    <t>CR0603-FX-1432ELF</t>
  </si>
  <si>
    <t>CR0805-JW-622ELF</t>
  </si>
  <si>
    <t>CR0201-JW-750GLF</t>
  </si>
  <si>
    <t>SDR1307-560KL</t>
  </si>
  <si>
    <t>CR0402-FX-1182GLF</t>
  </si>
  <si>
    <t>CR1206-JW-121ELF</t>
  </si>
  <si>
    <t>CR0805-FX-2001ELF</t>
  </si>
  <si>
    <t>MF-PSMF010X-2</t>
  </si>
  <si>
    <t>CR0402-FX-1581GLF</t>
  </si>
  <si>
    <t>CR0402-FX-4871GLF</t>
  </si>
  <si>
    <t>CR0805-JW-112ELF</t>
  </si>
  <si>
    <t>CR0603-FX-1472ELF</t>
  </si>
  <si>
    <t>CR0805-JW-621ELF</t>
  </si>
  <si>
    <t>CR0603-FX-2400ELF</t>
  </si>
  <si>
    <t>CR0402-FX-1433GLF</t>
  </si>
  <si>
    <t>CR0402-FX-2262GLF</t>
  </si>
  <si>
    <t>CR0603-FX-5761ELF</t>
  </si>
  <si>
    <t>CR0402-FX-5901GLF</t>
  </si>
  <si>
    <t>CR0603-JW-180ELF</t>
  </si>
  <si>
    <t>SRN6028-6R0M</t>
  </si>
  <si>
    <t>CR0603-FX-3571ELF</t>
  </si>
  <si>
    <t>CR0603-JW-391ELF</t>
  </si>
  <si>
    <t>CR0603-FX-1210ELF</t>
  </si>
  <si>
    <t>CR0402-JW-561GLF</t>
  </si>
  <si>
    <t>CR0402-FX-2201GLF</t>
  </si>
  <si>
    <t>CR0603-FX-2740ELF</t>
  </si>
  <si>
    <t>CR0603-FX-9761ELF</t>
  </si>
  <si>
    <t>CR0805-JW-272ELF</t>
  </si>
  <si>
    <t>CRL0603-FW-2R20ELF</t>
  </si>
  <si>
    <t>CR0805-JW-472ELF</t>
  </si>
  <si>
    <t>CR0402-JW-150GLF</t>
  </si>
  <si>
    <t>CR0402-JW-100GLF</t>
  </si>
  <si>
    <t>CR0402-FX-3900GLF</t>
  </si>
  <si>
    <t>CR0603-JW-104ELF</t>
  </si>
  <si>
    <t>CR0402-FX-1213GLF</t>
  </si>
  <si>
    <t>CR0402-FX-91R0GLF</t>
  </si>
  <si>
    <t>CR0603-FX-16R9ELF</t>
  </si>
  <si>
    <t>CR0603-JW-621ELF</t>
  </si>
  <si>
    <t>CR0603-FX-3012ELF</t>
  </si>
  <si>
    <t>CR0603-FX-47R0ELF</t>
  </si>
  <si>
    <t>CR0805-FX-2263ELF</t>
  </si>
  <si>
    <t>CR0402-FX-4992GLF</t>
  </si>
  <si>
    <t>CR0603-FX-5111ELF</t>
  </si>
  <si>
    <t>CR0402-FX-3303GLF</t>
  </si>
  <si>
    <t>CR0603-FX-13R0ELF</t>
  </si>
  <si>
    <t>CR0603-JW-912ELF</t>
  </si>
  <si>
    <t>CR0603-FX-1212ELF</t>
  </si>
  <si>
    <t>CR0402-FX-2490GLF</t>
  </si>
  <si>
    <t>CR0603-JW-102ELF</t>
  </si>
  <si>
    <t>CR0603-FX-1023ELF</t>
  </si>
  <si>
    <t>CR0603-FX-2213ELF</t>
  </si>
  <si>
    <t>CR0603-FX-3923ELF</t>
  </si>
  <si>
    <t>CR0805-FX-1602ELF</t>
  </si>
  <si>
    <t>SRN3015-100M</t>
  </si>
  <si>
    <t>CR0603-JW-392ELF</t>
  </si>
  <si>
    <t>CR0402-FX-1622GLF</t>
  </si>
  <si>
    <t>CR0402-FX-3012GLF</t>
  </si>
  <si>
    <t>CR0603-FX-5600ELF</t>
  </si>
  <si>
    <t>CR0603-FX-4990ELF</t>
  </si>
  <si>
    <t>CR0603-FX-1003ELF</t>
  </si>
  <si>
    <t>CR1206-FX-1002ELF</t>
  </si>
  <si>
    <t>CR0805-J/-4R7ELF</t>
  </si>
  <si>
    <t>CR0603-JW-332ELF</t>
  </si>
  <si>
    <t>CR0603-FX-24R9ELF</t>
  </si>
  <si>
    <t>CR0805-JW-100ELF</t>
  </si>
  <si>
    <t>CR0603-FX-2942ELF</t>
  </si>
  <si>
    <t>CR0603-FX-1623ELF</t>
  </si>
  <si>
    <t>CMP1206-FX-20R0ELF</t>
  </si>
  <si>
    <t>CMP1206-FX-1004ELF</t>
  </si>
  <si>
    <t>CR0805-JW-361ELF</t>
  </si>
  <si>
    <t>CR0603-FX-51R1ELF</t>
  </si>
  <si>
    <t>CR0603-FX-3010ELF</t>
  </si>
  <si>
    <t>CR0603-JW-431ELF</t>
  </si>
  <si>
    <t>CR0603-JW-510ELF</t>
  </si>
  <si>
    <t>CR0805-FX-3303ELF</t>
  </si>
  <si>
    <t>CR0603-FX-5902ELF</t>
  </si>
  <si>
    <t>CR0805-JW-106ELF</t>
  </si>
  <si>
    <t>CR0603-FX-2613ELF</t>
  </si>
  <si>
    <t>CR0603-FX-5102ELF</t>
  </si>
  <si>
    <t>CR0603-JW-511ELF</t>
  </si>
  <si>
    <t>CR0402-FX-9100GLF</t>
  </si>
  <si>
    <t>CR0805-FX-1053ELF</t>
  </si>
  <si>
    <t>CR0603-FX-1200ELF</t>
  </si>
  <si>
    <t>CR0805-JW-475ELF</t>
  </si>
  <si>
    <t>CR0603-JW-222ELF</t>
  </si>
  <si>
    <t>CR0402-FX-1600GLF</t>
  </si>
  <si>
    <t>CR1206-FX-6800ELF</t>
  </si>
  <si>
    <t>CR0805-JW-200ELF</t>
  </si>
  <si>
    <t>CR0603-FX-6810ELF</t>
  </si>
  <si>
    <t>CR0603-FX-1332ELF</t>
  </si>
  <si>
    <t>CR0603-FX-3243ELF</t>
  </si>
  <si>
    <t>CR0402-FX-8251GLF</t>
  </si>
  <si>
    <t>CR0603-FX-6340ELF</t>
  </si>
  <si>
    <t>CR0603-JW-304ELF</t>
  </si>
  <si>
    <t>CR0805-FX-2201ELF</t>
  </si>
  <si>
    <t>CR0402-FX-2263GLF</t>
  </si>
  <si>
    <t>CR0603-JW-395ELF</t>
  </si>
  <si>
    <t>CAY16-221J4LF</t>
  </si>
  <si>
    <t>CR0805-JW-684ELF</t>
  </si>
  <si>
    <t>CR0603-FX-5101ELF</t>
  </si>
  <si>
    <t>CR0603-FX-2201ELF</t>
  </si>
  <si>
    <t>CR1206-JW-100ELF</t>
  </si>
  <si>
    <t>CR0805-FX-1801ELF</t>
  </si>
  <si>
    <t>CR1206-JW-203ELF</t>
  </si>
  <si>
    <t>CR0402-FX-2211GLF</t>
  </si>
  <si>
    <t>CR0402-FX-4121GLF</t>
  </si>
  <si>
    <t>CR0402-FX-7151GLF</t>
  </si>
  <si>
    <t>CR0402-FX-1692GLF</t>
  </si>
  <si>
    <t>CR0402-FX-2052GLF</t>
  </si>
  <si>
    <t>CR0402-FX-2432GLF</t>
  </si>
  <si>
    <t>CR0805-JW-330ELF</t>
  </si>
  <si>
    <t>CR0603-JW-751ELF</t>
  </si>
  <si>
    <t>CR0603-JW-202ELF</t>
  </si>
  <si>
    <t>CR0402-FX-1602GLF</t>
  </si>
  <si>
    <t>CR0603-FX-8201ELF</t>
  </si>
  <si>
    <t>CR0805-JW-332ELF</t>
  </si>
  <si>
    <t>CR1206-J/-000ELF</t>
  </si>
  <si>
    <t>CR0402-FX-1372GLF</t>
  </si>
  <si>
    <t>MOV-07D431K</t>
  </si>
  <si>
    <t>CR0805-JW-154ELF</t>
  </si>
  <si>
    <t>CR0402-FX-39R0GLF</t>
  </si>
  <si>
    <t>CR0805-JW-564ELF</t>
  </si>
  <si>
    <t>CR0603-FX-4221ELF</t>
  </si>
  <si>
    <t>CR0805-JW-104ELF</t>
  </si>
  <si>
    <t>CR0805-FX-1000ELF</t>
  </si>
  <si>
    <t>CR0603-JW-221ELF</t>
  </si>
  <si>
    <t>CR0603-FX-1331ELF</t>
  </si>
  <si>
    <t>CR0603-FX-2001ELF</t>
  </si>
  <si>
    <t>CR0402-JW-153GLF</t>
  </si>
  <si>
    <t>CR0603-FX-75R0ELF</t>
  </si>
  <si>
    <t>CR0603-FX-3241ELF</t>
  </si>
  <si>
    <t>CR0402-FX-6982GLF</t>
  </si>
  <si>
    <t>CR0603-FX-3573ELF</t>
  </si>
  <si>
    <t>CR0603-JW-472ELF</t>
  </si>
  <si>
    <t>CR0805-JW-510ELF</t>
  </si>
  <si>
    <t>CR0805-FX-1003ELF</t>
  </si>
  <si>
    <t>CR0805-FX-10R0ELF</t>
  </si>
  <si>
    <t>CR0805-JW-914ELF</t>
  </si>
  <si>
    <t>CR0603-FX-7871ELF</t>
  </si>
  <si>
    <t>CR0805-FX-3002ELF</t>
  </si>
  <si>
    <t>CR0402-FX-1912GLF</t>
  </si>
  <si>
    <t>CR0805-JW-202ELF</t>
  </si>
  <si>
    <t>CR0805-JW-105ELF</t>
  </si>
  <si>
    <t>CR0603-FX-3742ELF</t>
  </si>
  <si>
    <t>CR0603-FX-7872ELF</t>
  </si>
  <si>
    <t>CR0603-FX-8451ELF</t>
  </si>
  <si>
    <t>CR0603-FX-2872ELF</t>
  </si>
  <si>
    <t>CR0603-FX-9531ELF</t>
  </si>
  <si>
    <t>CR0603-FX-1653ELF</t>
  </si>
  <si>
    <t>CR0603-FX-3483ELF</t>
  </si>
  <si>
    <t>CR0805-JW-181ELF</t>
  </si>
  <si>
    <t>CR0402-FX-2871GLF</t>
  </si>
  <si>
    <t>CR0402-FX-2702GLF</t>
  </si>
  <si>
    <t>CR0402-FX-4022GLF</t>
  </si>
  <si>
    <t>CR0402-FX-5602GLF</t>
  </si>
  <si>
    <t>CR0805-FX-3301ELF</t>
  </si>
  <si>
    <t>CR0603-FX-3011ELF</t>
  </si>
  <si>
    <t>CR0805-JW-221ELF</t>
  </si>
  <si>
    <t>CR0402-FX-1501GLF</t>
  </si>
  <si>
    <t>CR0603-JW-514ELF</t>
  </si>
  <si>
    <t>CR0603-JW-200ELF</t>
  </si>
  <si>
    <t>CR0805-JW-101ELF</t>
  </si>
  <si>
    <t>CR0805-J/-8R2ELF</t>
  </si>
  <si>
    <t>CR0805-JW-431ELF</t>
  </si>
  <si>
    <t>CR0603-FX-2200ELF</t>
  </si>
  <si>
    <t>CR0402-FX-5100GLF</t>
  </si>
  <si>
    <t>CR0603-JW-181ELF</t>
  </si>
  <si>
    <t>CR0805-JW-512ELF</t>
  </si>
  <si>
    <t>CR0603-FX-2003ELF</t>
  </si>
  <si>
    <t>CR0603-FX-1650ELF</t>
  </si>
  <si>
    <t>CR0603-FX-2870ELF</t>
  </si>
  <si>
    <t>CR0402-FX-4700GLF</t>
  </si>
  <si>
    <t>CR0402-FX-2433GLF</t>
  </si>
  <si>
    <t>CR0603-FX-1802ELF</t>
  </si>
  <si>
    <t>CR0603-FX-2203ELF</t>
  </si>
  <si>
    <t>CR0805-JW-201ELF</t>
  </si>
  <si>
    <t>CR0402-FX-6201GLF</t>
  </si>
  <si>
    <t>CR0402-FX-3002GLF</t>
  </si>
  <si>
    <t>CR1206-JW-102ELF</t>
  </si>
  <si>
    <t>CR0402-J/-2R2GLF</t>
  </si>
  <si>
    <t>CR0402-FX-2322GLF</t>
  </si>
  <si>
    <t>CR0402-FX-5101GLF</t>
  </si>
  <si>
    <t>CR0603-FX-22R0ELF</t>
  </si>
  <si>
    <t>CR0603-JW-301ELF</t>
  </si>
  <si>
    <t>CR0603-FX-7320ELF</t>
  </si>
  <si>
    <t>CR0603-JW-122ELF</t>
  </si>
  <si>
    <t>CR0603-JW-623ELF</t>
  </si>
  <si>
    <t>CR0603-JW-244ELF</t>
  </si>
  <si>
    <t>CR0402-FX-36R0GLF</t>
  </si>
  <si>
    <t>CR0603-FX-4700ELF</t>
  </si>
  <si>
    <t>CR0402-JW-821GLF</t>
  </si>
  <si>
    <t>CR0603-FX-49R9ELF</t>
  </si>
  <si>
    <t>CR0603-JW-911ELF</t>
  </si>
  <si>
    <t>CR0603-FX-2492ELF</t>
  </si>
  <si>
    <t>CR0603-FX-56R2ELF</t>
  </si>
  <si>
    <t>CR0603-FX-4703ELF</t>
  </si>
  <si>
    <t>CR0603-FX-3003ELF</t>
  </si>
  <si>
    <t>CAT16-103J4LF</t>
  </si>
  <si>
    <t>CR0603-JW-203ELF</t>
  </si>
  <si>
    <t>CR0603-FX-1004ELF</t>
  </si>
  <si>
    <t>CR0603-JW-821ELF</t>
  </si>
  <si>
    <t>CR0603-FX-4992ELF</t>
  </si>
  <si>
    <t>CR0603-FX-5110ELF</t>
  </si>
  <si>
    <t>CR0603-JW-220ELF</t>
  </si>
  <si>
    <t>CR0603-JW-121ELF</t>
  </si>
  <si>
    <t>R0603-JW-154ELF</t>
  </si>
  <si>
    <t>CR0402-FX-1000GLF</t>
  </si>
  <si>
    <t>CR0603-JW-225ELF</t>
  </si>
  <si>
    <t>CR0402-JW-112GLF</t>
  </si>
  <si>
    <t>CR0603-JW-471ELF</t>
  </si>
  <si>
    <t>CR0603-JW-513ELF</t>
  </si>
  <si>
    <t>CR0402-JW-121GLF</t>
  </si>
  <si>
    <t>CR0402-FX-3921GLF</t>
  </si>
  <si>
    <t>CR0402-FX-8252GLF</t>
  </si>
  <si>
    <t>CR0603-JW-113ELF</t>
  </si>
  <si>
    <t>CR1206-FX-68R0ELF</t>
  </si>
  <si>
    <t>CR1206-JW-240ELF</t>
  </si>
  <si>
    <t>CR0603-FX-2102ELF</t>
  </si>
  <si>
    <t>CR0603-FX-3403ELF</t>
  </si>
  <si>
    <t>CR0603-JW-101ELF</t>
  </si>
  <si>
    <t>CR0402-JW-300GLF</t>
  </si>
  <si>
    <t>CR0402-JW-181GLF</t>
  </si>
  <si>
    <t>CR0805-FX-3321ELF</t>
  </si>
  <si>
    <t>CR0805-FX-6801ELF</t>
  </si>
  <si>
    <t>CR0603-JW-183ELF</t>
  </si>
  <si>
    <t>CR0201-JW-101GLF</t>
  </si>
  <si>
    <t>CAY16-102J4LF</t>
  </si>
  <si>
    <t>CR0603-JW-204ELF</t>
  </si>
  <si>
    <t>CR0603-FX-2430ELF</t>
  </si>
  <si>
    <t>CR0603-J/-1R0ELF</t>
  </si>
  <si>
    <t>CR1206-JW-473ELF</t>
  </si>
  <si>
    <t>CR0603-FX-1153ELF</t>
  </si>
  <si>
    <t>CR0603-FX-3653ELF</t>
  </si>
  <si>
    <t>CR0603-FX-1403ELF</t>
  </si>
  <si>
    <t>CR0805-JW-113ELF</t>
  </si>
  <si>
    <t>CR0603-JW-153ELF</t>
  </si>
  <si>
    <t>CR0201-JW-301GLF</t>
  </si>
  <si>
    <t>CR0603-FX-10R0ELF</t>
  </si>
  <si>
    <t>CR0402-JW-180GLF</t>
  </si>
  <si>
    <t>CR0603-FX-3302ELF</t>
  </si>
  <si>
    <t>CR0603-JW-240ELF</t>
  </si>
  <si>
    <t>CR0805-JW-390ELF</t>
  </si>
  <si>
    <t>CR0402-JW-332GLF</t>
  </si>
  <si>
    <t>CR0603-JW-273ELF</t>
  </si>
  <si>
    <t>CR0402-FX-4532GLF</t>
  </si>
  <si>
    <t>CR0603-JW-622ELF</t>
  </si>
  <si>
    <t>CR0603-FX-2612ELF</t>
  </si>
  <si>
    <t>CR0603-FX-1302ELF</t>
  </si>
  <si>
    <t>BS-C514RD</t>
  </si>
  <si>
    <t>Bright Led Electronics</t>
  </si>
  <si>
    <t>KMR231NGLFS</t>
  </si>
  <si>
    <t>C&amp;K Components</t>
  </si>
  <si>
    <t>MP915-15.0-1%</t>
  </si>
  <si>
    <t>Caddock Electronics</t>
  </si>
  <si>
    <t>MP915-20.0-1%</t>
  </si>
  <si>
    <t>PS2501-1</t>
  </si>
  <si>
    <t>CEL</t>
  </si>
  <si>
    <t>AM-1015E-F</t>
  </si>
  <si>
    <t>Changzhou Amass Electronics</t>
  </si>
  <si>
    <t>TCC0603X7R103K101CT</t>
  </si>
  <si>
    <t>Chaozhou Three-Circle</t>
  </si>
  <si>
    <t>KAM1512D</t>
  </si>
  <si>
    <t>Chinfa Electronics</t>
  </si>
  <si>
    <t>FTX24.000M16SM6S-10/10A</t>
  </si>
  <si>
    <t>Chip Sun Technology</t>
  </si>
  <si>
    <t>CH7317B-TF-I</t>
  </si>
  <si>
    <t>Chrontel</t>
  </si>
  <si>
    <t>142-1801-046</t>
  </si>
  <si>
    <t>Cinch Connectivity Solutions</t>
  </si>
  <si>
    <t>142-1701-131</t>
  </si>
  <si>
    <t>142-0761-861</t>
  </si>
  <si>
    <t>TRG10R120-36E03</t>
  </si>
  <si>
    <t>Cincon Electronics</t>
  </si>
  <si>
    <t>SG57633</t>
  </si>
  <si>
    <t>Cirmaker Industry</t>
  </si>
  <si>
    <t>Cixi Kaifeng Electronics</t>
  </si>
  <si>
    <t>CL1505-TP/1</t>
  </si>
  <si>
    <t>Cliff Electronic Components</t>
  </si>
  <si>
    <t>CP30293</t>
  </si>
  <si>
    <t>102-1092-BL-00100</t>
  </si>
  <si>
    <t>CnC Tech</t>
  </si>
  <si>
    <t>102-1092-BL-00050</t>
  </si>
  <si>
    <t>102-1030-BL-00100</t>
  </si>
  <si>
    <t>760-10010-00015</t>
  </si>
  <si>
    <t>1002-001-BE-KIT</t>
  </si>
  <si>
    <t>7M3-224</t>
  </si>
  <si>
    <t>DA2304-AL</t>
  </si>
  <si>
    <t>XPL2010-333ML</t>
  </si>
  <si>
    <t>XFL2010-333ME</t>
  </si>
  <si>
    <t>XAL7070-122ME</t>
  </si>
  <si>
    <t>DO1813H-181ML</t>
  </si>
  <si>
    <t>WBT4-1ASL</t>
  </si>
  <si>
    <t>Fastcom: LT1</t>
  </si>
  <si>
    <t>Commtech</t>
  </si>
  <si>
    <t>DS1023-01-2*8SF11</t>
  </si>
  <si>
    <t>Connfly Electronic</t>
  </si>
  <si>
    <t>DS1091-WN0X</t>
  </si>
  <si>
    <t>DS1021-2*10SF150-B</t>
  </si>
  <si>
    <t>DS1021-2*10SF145-B</t>
  </si>
  <si>
    <t>DS1031-01-1*5P8BV11</t>
  </si>
  <si>
    <t>DS1047-25M1L-N</t>
  </si>
  <si>
    <t>DS1065-03-2*3S8BV</t>
  </si>
  <si>
    <t>DS1069-3MRW6SA</t>
  </si>
  <si>
    <t>DS1108-BN0</t>
  </si>
  <si>
    <t>DS1046-15C1L</t>
  </si>
  <si>
    <t>DS1022-3*11RF11-B</t>
  </si>
  <si>
    <t>DS1069-10MVW6X</t>
  </si>
  <si>
    <t>DS1029-04-2*10P8BVB34-B</t>
  </si>
  <si>
    <t>DS1023-1*3SF11</t>
  </si>
  <si>
    <t>DS1031-01-1*40P8BV31-3A</t>
  </si>
  <si>
    <t>DS1031-01-1*6P8BV31-3A</t>
  </si>
  <si>
    <t>DS1029-04-2*8P8BVA32-B</t>
  </si>
  <si>
    <t>DS1035-62FUNSiSS</t>
  </si>
  <si>
    <t>DS1028-02-2BBF1</t>
  </si>
  <si>
    <t>DS1047-25M2L-N</t>
  </si>
  <si>
    <t>DS1014-14MF1BSR-B</t>
  </si>
  <si>
    <t>DS1033-09FBT8SS-CT</t>
  </si>
  <si>
    <t>DS1022-1*20RUF18-B</t>
  </si>
  <si>
    <t>DS1046-37C1L</t>
  </si>
  <si>
    <t>DS1095-10-WNB0</t>
  </si>
  <si>
    <t>DS1025-01-1*40P8BV1-B</t>
  </si>
  <si>
    <t>DS1035-44MBT8SS</t>
  </si>
  <si>
    <t>I-DS1071-SCB01*1</t>
  </si>
  <si>
    <t>DS1066-8MVW6S</t>
  </si>
  <si>
    <t>DS1033-09FBNSiSS-CT</t>
  </si>
  <si>
    <t>DS1035-78MUNSiSS</t>
  </si>
  <si>
    <t>DS1118-64M0V23</t>
  </si>
  <si>
    <t>DS1046-09C1L1</t>
  </si>
  <si>
    <t>DS1016-50MA2BB</t>
  </si>
  <si>
    <t>I-DS1071-SCB02*10</t>
  </si>
  <si>
    <t>DS1089-WN0X</t>
  </si>
  <si>
    <t>I-DS1073-02-PCT02*2</t>
  </si>
  <si>
    <t>I-DS1073-02-PCT03*2</t>
  </si>
  <si>
    <t>DS1099-WN0</t>
  </si>
  <si>
    <t>DS1045-37AP1L1-B</t>
  </si>
  <si>
    <t>DS1035-26FWTSiSS</t>
  </si>
  <si>
    <t>I-DS1066-SCW006</t>
  </si>
  <si>
    <t>DS1033-37FBNSiSS-CT</t>
  </si>
  <si>
    <t>DS1021-1*3SF11-B</t>
  </si>
  <si>
    <t>I-DS1073-02-SCT02*3</t>
  </si>
  <si>
    <t>DS1021-1*4SF11-B</t>
  </si>
  <si>
    <t>DS1024-2*7RF1</t>
  </si>
  <si>
    <t>DS1035-78MBT8SS</t>
  </si>
  <si>
    <t>DS1031-01-1*4P8BV31-3A</t>
  </si>
  <si>
    <t>DS1077-62MB8NSS</t>
  </si>
  <si>
    <t>DS1099-WN30</t>
  </si>
  <si>
    <t>DS1065-01-1*8S8BV</t>
  </si>
  <si>
    <t>I-DS1071-SCB02*3</t>
  </si>
  <si>
    <t>DS1023-01-2*10SF11</t>
  </si>
  <si>
    <t>DS1021-1*12SF11-B</t>
  </si>
  <si>
    <t>I-DS1069-SCW007</t>
  </si>
  <si>
    <t>DS1038-62FBNSiA74-0CC</t>
  </si>
  <si>
    <t>DS1031-01-1*30P8BV31-3A</t>
  </si>
  <si>
    <t>DS1022-2*4RF11-B</t>
  </si>
  <si>
    <t>DS1029-04-2*5P8BVB10</t>
  </si>
  <si>
    <t>DS1033-09MBNSiSS</t>
  </si>
  <si>
    <t>DS1045-15AP1L1-B</t>
  </si>
  <si>
    <t>DS1025-01-1*5P8BV1-B</t>
  </si>
  <si>
    <t>DS1092-13-N8S</t>
  </si>
  <si>
    <t>DS1066-5MVW6S</t>
  </si>
  <si>
    <t>DS1045-09APQS1-A</t>
  </si>
  <si>
    <t>DS1022-1*5RUF18-B</t>
  </si>
  <si>
    <t>DS1035-15FBT8SS</t>
  </si>
  <si>
    <t>I-DS1071-SCB02*8</t>
  </si>
  <si>
    <t>I-DS1071-SCB01*6</t>
  </si>
  <si>
    <t>DS1021-1*12SF19-B</t>
  </si>
  <si>
    <t>DS1023-1*10SF21</t>
  </si>
  <si>
    <t>DS1069-7MVW6X</t>
  </si>
  <si>
    <t>DS1035-26MWTSiSS</t>
  </si>
  <si>
    <t>T-DS1071-SC600</t>
  </si>
  <si>
    <t>DS1077-26MB8NSS</t>
  </si>
  <si>
    <t>DS1033-15FUN8SS-CT</t>
  </si>
  <si>
    <t>DS1045-50PA1-A</t>
  </si>
  <si>
    <t>DS1035-44MUNSiSS</t>
  </si>
  <si>
    <t>DS1035-15FUT8SS</t>
  </si>
  <si>
    <t>I-DS1071-SCB02*5</t>
  </si>
  <si>
    <t>DS1035-26FBTSiSS</t>
  </si>
  <si>
    <t>I-DS1073-02-SCT02*2</t>
  </si>
  <si>
    <t>DS1023-1*12S21</t>
  </si>
  <si>
    <t>DS1033-09FUNSiSS-CT</t>
  </si>
  <si>
    <t>DS1033-09FUN8SS-CT</t>
  </si>
  <si>
    <t>DS1025-06-2*5P8BR</t>
  </si>
  <si>
    <t>DS1035-26MBNSi23</t>
  </si>
  <si>
    <t>I-DS1069-SCW005</t>
  </si>
  <si>
    <t>DS1021-2*3SF12</t>
  </si>
  <si>
    <t>DS1025-01-1*6P8BV1-3A</t>
  </si>
  <si>
    <t>DS1021-2*5SF1</t>
  </si>
  <si>
    <t>DS1026-06-2*10S8BV</t>
  </si>
  <si>
    <t>DS1021-2*12SF11</t>
  </si>
  <si>
    <t>I-DS1070-SCV02</t>
  </si>
  <si>
    <t>I-DS1069-SCW006</t>
  </si>
  <si>
    <t>T-DS1073-02-SC600</t>
  </si>
  <si>
    <t>I-DS1066-SCW005</t>
  </si>
  <si>
    <t>DS1099-WN0-Fe</t>
  </si>
  <si>
    <t>DS1074-2FCT6</t>
  </si>
  <si>
    <t>DS1069-03-3FCW6</t>
  </si>
  <si>
    <t>DS1021-2*6SF11-B</t>
  </si>
  <si>
    <t>DS1022-1*9RDF11-B</t>
  </si>
  <si>
    <t>DS1021-1*40SF11</t>
  </si>
  <si>
    <t>DS1021-1*6SF11</t>
  </si>
  <si>
    <t>DS1121-01-P43T</t>
  </si>
  <si>
    <t>DS1016-14MA2BB</t>
  </si>
  <si>
    <t>DS1033-09MBT8SS-JY</t>
  </si>
  <si>
    <t>DS1069-3MRW6XB</t>
  </si>
  <si>
    <t>T-DS1070-SC600</t>
  </si>
  <si>
    <t>DS1104-B60SRS</t>
  </si>
  <si>
    <t>I-DS1069-SCW010</t>
  </si>
  <si>
    <t>DS1021-1*9SF11-B</t>
  </si>
  <si>
    <t>DS1021-2*3SF11</t>
  </si>
  <si>
    <t>DS1027-2ABF10</t>
  </si>
  <si>
    <t>DS1005-09-468</t>
  </si>
  <si>
    <t>I-DS1066-SCW003</t>
  </si>
  <si>
    <t>DS1021-1*6SF163-B</t>
  </si>
  <si>
    <t>CVHD-037X-100.000</t>
  </si>
  <si>
    <t>Crystek</t>
  </si>
  <si>
    <t>209002MSTFD</t>
  </si>
  <si>
    <t>CTS</t>
  </si>
  <si>
    <t>UJ3-MIABH-1-SMT</t>
  </si>
  <si>
    <t>CUI</t>
  </si>
  <si>
    <t>CMD177C3</t>
  </si>
  <si>
    <t>Custom MMIC Design Services</t>
  </si>
  <si>
    <t>CMD182C4</t>
  </si>
  <si>
    <t>Cypress Semiconductor</t>
  </si>
  <si>
    <t>CY7C65630-56LTXI</t>
  </si>
  <si>
    <t>FM25256B-G</t>
  </si>
  <si>
    <t>CY62256LL-55SNXI</t>
  </si>
  <si>
    <t>CY7C68013-56PVC</t>
  </si>
  <si>
    <t>S29GL01GS11DHIV1</t>
  </si>
  <si>
    <t>S25FS128SAGMFI10</t>
  </si>
  <si>
    <t>M7</t>
  </si>
  <si>
    <t>DC Components</t>
  </si>
  <si>
    <t>DG1450-B-09P-13-00A(H)</t>
  </si>
  <si>
    <t>Degson Electronics</t>
  </si>
  <si>
    <t>DG141V-2.54-06P-14-00A(H)</t>
  </si>
  <si>
    <t>DG13HS-1.2-10P-19-00A(H)</t>
  </si>
  <si>
    <t>2EDGK-5.08-06P-14-00A(H)</t>
  </si>
  <si>
    <t>DG240-2.54-02P-1Y-00A(H)</t>
  </si>
  <si>
    <t>2EDGK-5.08-03P-14-00A(H)</t>
  </si>
  <si>
    <t>DG141V-2.54-08P-14-00A(H)</t>
  </si>
  <si>
    <t>2EDGR-5.08-03P-14-00A(H)</t>
  </si>
  <si>
    <t>2EDGVM-5.08-12P-14-00A(H)</t>
  </si>
  <si>
    <t>DG240-2.54-02P-15-00A(H)</t>
  </si>
  <si>
    <t>DS2.5-01P-12-00A(H)</t>
  </si>
  <si>
    <t>15EDGKA-3.81-05P-14-100A(H)</t>
  </si>
  <si>
    <t>EK254V-10P</t>
  </si>
  <si>
    <t>Dinkle Enterprise</t>
  </si>
  <si>
    <t>5ESDT-05P</t>
  </si>
  <si>
    <t>EK254V-05P</t>
  </si>
  <si>
    <t>5EHDRC-05P</t>
  </si>
  <si>
    <t>5EHDRC-03P</t>
  </si>
  <si>
    <t>ELK508V-02P</t>
  </si>
  <si>
    <t>EK500V-02P</t>
  </si>
  <si>
    <t>MB252</t>
  </si>
  <si>
    <t>1N4148WS-7-F</t>
  </si>
  <si>
    <t>B340A-13-F</t>
  </si>
  <si>
    <t>B550C-13-F</t>
  </si>
  <si>
    <t>1N5819PBF</t>
  </si>
  <si>
    <t>KBPC604</t>
  </si>
  <si>
    <t>Diotec Semiconductor</t>
  </si>
  <si>
    <t>DMR-05-V</t>
  </si>
  <si>
    <t>Diptronics Manufacturing</t>
  </si>
  <si>
    <t>AD-1415-403</t>
  </si>
  <si>
    <t>Dongjin Technology Innovation</t>
  </si>
  <si>
    <t>BP-112, черная</t>
  </si>
  <si>
    <t>Dragon City Industries</t>
  </si>
  <si>
    <t>TP-002B</t>
  </si>
  <si>
    <t>BP-112, красная</t>
  </si>
  <si>
    <t>TP-002A</t>
  </si>
  <si>
    <t>TP-003B</t>
  </si>
  <si>
    <t>BP-213</t>
  </si>
  <si>
    <t>TP-001B</t>
  </si>
  <si>
    <t>BP-523</t>
  </si>
  <si>
    <t>FH-501</t>
  </si>
  <si>
    <t>BP-214, зеленая</t>
  </si>
  <si>
    <t>DS-210B</t>
  </si>
  <si>
    <t>8GE04V80362</t>
  </si>
  <si>
    <t>Dremec</t>
  </si>
  <si>
    <t>CTX210611-R</t>
  </si>
  <si>
    <t>Eaton</t>
  </si>
  <si>
    <t>ESP1010</t>
  </si>
  <si>
    <t>ECE</t>
  </si>
  <si>
    <t>ELBA430P81DA50H</t>
  </si>
  <si>
    <t>ECHO Microwave</t>
  </si>
  <si>
    <t>ELBA488P81DA50H</t>
  </si>
  <si>
    <t>ELBA546P81DA50H</t>
  </si>
  <si>
    <t>ELBA604P81DA50H</t>
  </si>
  <si>
    <t>ECS-1612MV-080-CN</t>
  </si>
  <si>
    <t>ECS</t>
  </si>
  <si>
    <t>ECS-TXO-2016-33-500</t>
  </si>
  <si>
    <t>ECS-80-12-33-JGN</t>
  </si>
  <si>
    <t>ECS-3525-250-B</t>
  </si>
  <si>
    <t>EPC2052</t>
  </si>
  <si>
    <t>Efficient Power Conversion</t>
  </si>
  <si>
    <t>EPC2016C</t>
  </si>
  <si>
    <t>COMX-CAR-610 COM</t>
  </si>
  <si>
    <t>Emerson Electric</t>
  </si>
  <si>
    <t>DTCK09-K</t>
  </si>
  <si>
    <t>Encitech</t>
  </si>
  <si>
    <t>106-P30-A3-10A</t>
  </si>
  <si>
    <t>E-T-A Engineering Technology</t>
  </si>
  <si>
    <t>106-P30-10A</t>
  </si>
  <si>
    <t>74LVT245MTC</t>
  </si>
  <si>
    <t>MMBD4148SE</t>
  </si>
  <si>
    <t>FDT434P</t>
  </si>
  <si>
    <t>74VHC244MTC</t>
  </si>
  <si>
    <t>10118193-0001LF</t>
  </si>
  <si>
    <t>FCI Electronics</t>
  </si>
  <si>
    <t>K1FF 16.0x12.0x5.0x0.5</t>
  </si>
  <si>
    <t>Ferrico</t>
  </si>
  <si>
    <t>F1-5069APC</t>
  </si>
  <si>
    <t>Fiber Instrument Sales</t>
  </si>
  <si>
    <t>34.517.005.0010</t>
  </si>
  <si>
    <t>Finder</t>
  </si>
  <si>
    <t>UP01L11M019SBK1Z1ZB</t>
  </si>
  <si>
    <t>Fischer Connectors</t>
  </si>
  <si>
    <t>UB11 A1BK</t>
  </si>
  <si>
    <t>S 104 A087-80+</t>
  </si>
  <si>
    <t>BL 6 12</t>
  </si>
  <si>
    <t>Fischer Elektronik</t>
  </si>
  <si>
    <t>XL04-9-20-10</t>
  </si>
  <si>
    <t>Foshan Shunde Xinzhaolang Hardware Electronics</t>
  </si>
  <si>
    <t>GS66504B</t>
  </si>
  <si>
    <t>GaN Systems</t>
  </si>
  <si>
    <t>GS61004B</t>
  </si>
  <si>
    <t>GA05JT01-46</t>
  </si>
  <si>
    <t>GeneSiC Semiconductor</t>
  </si>
  <si>
    <t>KXO-V97-80 MHz</t>
  </si>
  <si>
    <t>Geyer Electronic</t>
  </si>
  <si>
    <t>KX-7T 25,0 MHz</t>
  </si>
  <si>
    <t>KX-9A 8,0 MHz</t>
  </si>
  <si>
    <t>KX-3H 16,0 MHz</t>
  </si>
  <si>
    <t>KX-7T 24,0 MHz</t>
  </si>
  <si>
    <t>KX-3H 8,0 MHz</t>
  </si>
  <si>
    <t>GD32F103C8T6</t>
  </si>
  <si>
    <t>GigaDevice Semiconductor</t>
  </si>
  <si>
    <t>507-146M37C</t>
  </si>
  <si>
    <t>Glenair</t>
  </si>
  <si>
    <t>507-146M37</t>
  </si>
  <si>
    <t>660-083-Z1S704-5</t>
  </si>
  <si>
    <t>GNL-0603SRC</t>
  </si>
  <si>
    <t>G-Nor Optoelectronics</t>
  </si>
  <si>
    <t>GSX-641/111DF 20.0MHz</t>
  </si>
  <si>
    <t>Golledge Electronics</t>
  </si>
  <si>
    <t>HC49/351JF 10.245MHz</t>
  </si>
  <si>
    <t>EC1350</t>
  </si>
  <si>
    <t>Governors America</t>
  </si>
  <si>
    <t>GS832036AGT-200I</t>
  </si>
  <si>
    <t>GSI Technology</t>
  </si>
  <si>
    <t>TG110-E050N5RL</t>
  </si>
  <si>
    <t>Halo Electronics</t>
  </si>
  <si>
    <t>M12 HARAX 21 03 121 1801</t>
  </si>
  <si>
    <t>Harting</t>
  </si>
  <si>
    <t>Han-INOX 19 44 000 5085</t>
  </si>
  <si>
    <t>D-SUB-M 09 69 400 9107</t>
  </si>
  <si>
    <t>D-SUB-HD 09 56 462 7813</t>
  </si>
  <si>
    <t>D-SUB-S 09 66 153 7613</t>
  </si>
  <si>
    <t>D-SUB-F 09 64 412 7215</t>
  </si>
  <si>
    <t>D-SUB-S 09 66 151 7513</t>
  </si>
  <si>
    <t>21 01 000 0033</t>
  </si>
  <si>
    <t>M12 Crimp 21 03 882 1415</t>
  </si>
  <si>
    <t>D-SUB-S 09 65 162 7812</t>
  </si>
  <si>
    <t>D-SUB-S 09 65 163 7812</t>
  </si>
  <si>
    <t>Han 09 38 008 2653</t>
  </si>
  <si>
    <t>D-SUB-S 09 67 037 5604</t>
  </si>
  <si>
    <t>M12-L HARAX 21 03 281 1405</t>
  </si>
  <si>
    <t>DIN41612 Type M 09 03 000 6262</t>
  </si>
  <si>
    <t>D-SUB-M 09 69 301 5094</t>
  </si>
  <si>
    <t>D-SUB-HD 09 56 152 7613</t>
  </si>
  <si>
    <t>D-SUB-S 09 68 263 7812</t>
  </si>
  <si>
    <t>Han 09 38 008 2753</t>
  </si>
  <si>
    <t>D-SUB-F 09 64 211 7210</t>
  </si>
  <si>
    <t>D-SUB-S 09 68 163 7812</t>
  </si>
  <si>
    <t>D-SUB-M 09 69 281 7423</t>
  </si>
  <si>
    <t>D-SUB-HD 09 56 361 7713</t>
  </si>
  <si>
    <t>D-SUB-H 09 67 037 0425</t>
  </si>
  <si>
    <t>RJ45 09 47 474 7111</t>
  </si>
  <si>
    <t>RJ45 09 45 151 1560</t>
  </si>
  <si>
    <t>D-SUB-H 09 67 009 0493</t>
  </si>
  <si>
    <t>Han 19 30 024 0528</t>
  </si>
  <si>
    <t>DIN41612 Type M 09 03 178 6901</t>
  </si>
  <si>
    <t>D-SUB-A 09 67 000 9974</t>
  </si>
  <si>
    <t>DIN41612 Type C 09 03 296 6823</t>
  </si>
  <si>
    <t>M12 21 01 100 9019</t>
  </si>
  <si>
    <t>D-SUB-HD 09 56 552 7612</t>
  </si>
  <si>
    <t>D-SUB-H 61 03 001 3014</t>
  </si>
  <si>
    <t>D-SUB-S 09 65 461 6713</t>
  </si>
  <si>
    <t>D-SUB-A 09 67 001 9957</t>
  </si>
  <si>
    <t>D-SUB-HD 09 56 462 7812</t>
  </si>
  <si>
    <t>D-SUB-A 09 67 002 9030</t>
  </si>
  <si>
    <t>D-SUB-S 09 67 015 4715</t>
  </si>
  <si>
    <t>D-SUB-HD 09 56 452 7613</t>
  </si>
  <si>
    <t>D-SUB-S 09 67 050 4704</t>
  </si>
  <si>
    <t>D-SUB-H 09 67 009 0425</t>
  </si>
  <si>
    <t>D-SUB-HD 09 56 261 7713</t>
  </si>
  <si>
    <t>M12 21 01 100 9014</t>
  </si>
  <si>
    <t>D-SUB-HD 09 56 400 5615 050</t>
  </si>
  <si>
    <t>M12 Crimp 21 03 881 1405</t>
  </si>
  <si>
    <t>D-SUB-H 09 67 009 0443</t>
  </si>
  <si>
    <t>RJ45 09 45 151 1100</t>
  </si>
  <si>
    <t>DIN41612 Type C 09 03 096 0501</t>
  </si>
  <si>
    <t>D-SUB-A 09 67 000 9973</t>
  </si>
  <si>
    <t>D-SUB-M 09 69 401 7214</t>
  </si>
  <si>
    <t>D-SUB-M 09 69 181 7422</t>
  </si>
  <si>
    <t>D-SUB-S 09 67 009 4715</t>
  </si>
  <si>
    <t>D-SUB-S 09 65 261 6713</t>
  </si>
  <si>
    <t>D-SUB-H 09 67 025 0424</t>
  </si>
  <si>
    <t>D-SUB-HD 09 56 400 4715 050</t>
  </si>
  <si>
    <t>D-SUB-M 09 69 181 7423</t>
  </si>
  <si>
    <t>D-SUB-S 09 65 161 6713</t>
  </si>
  <si>
    <t>D-SUB-M 09 69 210 0633</t>
  </si>
  <si>
    <t>D-SUB-S 09 68 163 7813</t>
  </si>
  <si>
    <t>D-SUB-H 09 67 037 0424</t>
  </si>
  <si>
    <t>D-SUB-S 09 67 215 4715</t>
  </si>
  <si>
    <t>D-SUB-HD 09 56 162 5812</t>
  </si>
  <si>
    <t>D-SUB-M 09 69 200 0633</t>
  </si>
  <si>
    <t>D-SUB-HD 09 56 152 5612</t>
  </si>
  <si>
    <t>D-SUB 09 67 000 8576</t>
  </si>
  <si>
    <t>D-SUB-S 09 66 163 6813</t>
  </si>
  <si>
    <t>D-SUB-HD 09 56 252 5612</t>
  </si>
  <si>
    <t>D-SUB-М 09 69 100 0022</t>
  </si>
  <si>
    <t>D-SUB 09 67 009 0711</t>
  </si>
  <si>
    <t>D-SUB-S 09 66 255 6513</t>
  </si>
  <si>
    <t>D-SUB-S 09 68 153 7613</t>
  </si>
  <si>
    <t>D-SUB-S 09 67 215 5615</t>
  </si>
  <si>
    <t>D-SUB-H 09 67 000 9930</t>
  </si>
  <si>
    <t>D-SUB-A 09 67 001 9974</t>
  </si>
  <si>
    <t>M80-5610605</t>
  </si>
  <si>
    <t>M80-5111422</t>
  </si>
  <si>
    <t>M80-5112642</t>
  </si>
  <si>
    <t>M80-4170498</t>
  </si>
  <si>
    <t>M80-5100605</t>
  </si>
  <si>
    <t>M80-263F302-00-00</t>
  </si>
  <si>
    <t>M80-5T10405M2-02-331-00-000</t>
  </si>
  <si>
    <t>M80-4711005</t>
  </si>
  <si>
    <t>M80-4710405</t>
  </si>
  <si>
    <t>M80-8530642</t>
  </si>
  <si>
    <t>M80-2130000B</t>
  </si>
  <si>
    <t>M80-8532042</t>
  </si>
  <si>
    <t>G125-FW10450L94</t>
  </si>
  <si>
    <t>M80-8530442</t>
  </si>
  <si>
    <t>M80-8532642</t>
  </si>
  <si>
    <t>M20-7850846</t>
  </si>
  <si>
    <t>HW-222C60M11</t>
  </si>
  <si>
    <t>High Wood Technology Development</t>
  </si>
  <si>
    <t>HW-221D00F24H-008-340045</t>
  </si>
  <si>
    <t>HW-221D00F24H-0010-340045</t>
  </si>
  <si>
    <t>HW-221E00F24H-0008-3320</t>
  </si>
  <si>
    <t>HW-221E00F24H-0010-3320</t>
  </si>
  <si>
    <t>HW-222YL60M12LH</t>
  </si>
  <si>
    <t>HW-221C20F24H</t>
  </si>
  <si>
    <t>HW-221YL30F24H</t>
  </si>
  <si>
    <t>HW-221S20F222</t>
  </si>
  <si>
    <t>HW-222C20M11</t>
  </si>
  <si>
    <t>HW-222S60M12LH</t>
  </si>
  <si>
    <t>HW-222E00M11-0010-4320</t>
  </si>
  <si>
    <t>HW-222E00M11-0008-4320</t>
  </si>
  <si>
    <t>HW-222C08M11</t>
  </si>
  <si>
    <t>HW-221YL20F24H</t>
  </si>
  <si>
    <t>HW-222C30M11</t>
  </si>
  <si>
    <t>HW-222YL20M12LH</t>
  </si>
  <si>
    <t>MDF7-8P-2.54DSA(55)</t>
  </si>
  <si>
    <t>Hirose</t>
  </si>
  <si>
    <t>DF13-20DS-1.25C</t>
  </si>
  <si>
    <t>U.FL-2LPHF6-068N1T-A-120</t>
  </si>
  <si>
    <t>DF14-2628SCFA</t>
  </si>
  <si>
    <t>DF14-25S-1.25C</t>
  </si>
  <si>
    <t>DF9B-41S-1V(69)</t>
  </si>
  <si>
    <t>DF13-2P-1.25DS</t>
  </si>
  <si>
    <t>DM3CS-SF</t>
  </si>
  <si>
    <t>BUELA 30K</t>
  </si>
  <si>
    <t>Hirschmann</t>
  </si>
  <si>
    <t>ELV101M50RE</t>
  </si>
  <si>
    <t>Hitano Enterprise</t>
  </si>
  <si>
    <t>ELV101M50AE</t>
  </si>
  <si>
    <t>ECR2R2M35</t>
  </si>
  <si>
    <t>ECR102M35</t>
  </si>
  <si>
    <t>ECA470M25</t>
  </si>
  <si>
    <t>ECR221M2A</t>
  </si>
  <si>
    <t>ELV220M2ARE</t>
  </si>
  <si>
    <t>ENR470M50</t>
  </si>
  <si>
    <t>ECR2R2M2A</t>
  </si>
  <si>
    <t>EXR221M50</t>
  </si>
  <si>
    <t>ECR471M50</t>
  </si>
  <si>
    <t>ECA010M63</t>
  </si>
  <si>
    <t>ECR100M50</t>
  </si>
  <si>
    <t>ECR100M35</t>
  </si>
  <si>
    <t>FMCP-TO-FMCP-B2M-3</t>
  </si>
  <si>
    <t>HiTech Global</t>
  </si>
  <si>
    <t>HI-1567PSI</t>
  </si>
  <si>
    <t>Holt Integrated Circuits</t>
  </si>
  <si>
    <t>HDR-E50MSG1+</t>
  </si>
  <si>
    <t>Honda Tsushin Kogyo</t>
  </si>
  <si>
    <t>HDR-E50LPH</t>
  </si>
  <si>
    <t>HDR-E26MSG1+</t>
  </si>
  <si>
    <t>HO-16C-40.0000-WTSP</t>
  </si>
  <si>
    <t>Hosonic Electronic</t>
  </si>
  <si>
    <t>HC-49SA 16.000MHz</t>
  </si>
  <si>
    <t>BNC HYR-0101-174/U</t>
  </si>
  <si>
    <t>Hoyutec International</t>
  </si>
  <si>
    <t>RJ9 HYC-G1445</t>
  </si>
  <si>
    <t>BNC HYR-0105D</t>
  </si>
  <si>
    <t>D1001-09GS0I00</t>
  </si>
  <si>
    <t>Hsuan Mao Technology</t>
  </si>
  <si>
    <t>W3966-04PRTW00R</t>
  </si>
  <si>
    <t>H3967-02PW0000R</t>
  </si>
  <si>
    <t>W3966-05PRGW00R</t>
  </si>
  <si>
    <t>W3966-06PSTW00R</t>
  </si>
  <si>
    <t>W3966-05PSGW00R</t>
  </si>
  <si>
    <t>W3966-04PSTW00R</t>
  </si>
  <si>
    <t>W3966-04PRGW00R</t>
  </si>
  <si>
    <t>D1001-09GT0I00</t>
  </si>
  <si>
    <t>W3966-03PSTW00R</t>
  </si>
  <si>
    <t>C0541-09MAAASBR</t>
  </si>
  <si>
    <t>H3967-06PW0000R</t>
  </si>
  <si>
    <t>C0540-09FAATSBR</t>
  </si>
  <si>
    <t>D1001-25GT0I00</t>
  </si>
  <si>
    <t>PW7600-05PSNGW0R</t>
  </si>
  <si>
    <t>C0540-25MAAASBR</t>
  </si>
  <si>
    <t>W3966-02PSGW00R</t>
  </si>
  <si>
    <t>PW7600-08PSNGW0R</t>
  </si>
  <si>
    <t>C0560-15FAANBLR</t>
  </si>
  <si>
    <t>PW7600-06PSNGW0R</t>
  </si>
  <si>
    <t>PW7600-03PSNGW0R</t>
  </si>
  <si>
    <t>PW7600-02PSNGW0R</t>
  </si>
  <si>
    <t>11_SMA-50-3-39/111_Y</t>
  </si>
  <si>
    <t>24_SMA-50-1-6/111_Y</t>
  </si>
  <si>
    <t>11_SMA-50-2-29/119_N</t>
  </si>
  <si>
    <t>SF103/ 16_N-372/ 11_SMA-371/ 1500 mm</t>
  </si>
  <si>
    <t>mini141-9</t>
  </si>
  <si>
    <t>16_MMBX-50-2-1/111_N</t>
  </si>
  <si>
    <t>11_SMA-50-3-6/111_N</t>
  </si>
  <si>
    <t>73_Z-0-0-587</t>
  </si>
  <si>
    <t>73_Z-0-0-291</t>
  </si>
  <si>
    <t>HSK-INOX 1.695.1600.50</t>
  </si>
  <si>
    <t>Hummel</t>
  </si>
  <si>
    <t>HSK-INOX 1.695.1600.51</t>
  </si>
  <si>
    <t>GM-INOX 1.161.1600.58</t>
  </si>
  <si>
    <t>HSK-K 1.321.1200.59</t>
  </si>
  <si>
    <t>HSK-K 1.321.1600.59</t>
  </si>
  <si>
    <t>HSK-K 1.209.2000.50</t>
  </si>
  <si>
    <t>GM-Ms 1.161.2000.50</t>
  </si>
  <si>
    <t>HSK-K 1.209.1200.50</t>
  </si>
  <si>
    <t>GM-FS 1.262.2500.50</t>
  </si>
  <si>
    <t>RJ45 PLUG-8P8C-U-C5</t>
  </si>
  <si>
    <t>Hyperline Systems</t>
  </si>
  <si>
    <t>RJ45 PLUG-8P8C-U-C6-SH</t>
  </si>
  <si>
    <t>PLUG-10P10C-U-06-10</t>
  </si>
  <si>
    <t>RJ45 PLUG-8P8C-UV-C6А-SH</t>
  </si>
  <si>
    <t>RJ45 PLUG-8P8C-UV-C6-SH</t>
  </si>
  <si>
    <t>Boot-BK</t>
  </si>
  <si>
    <t>RJ45 PLUG-8P8C-PV-C5-SH</t>
  </si>
  <si>
    <t>BOOT-BL</t>
  </si>
  <si>
    <t>71024S15TYGI</t>
  </si>
  <si>
    <t>IDT</t>
  </si>
  <si>
    <t>71024S15TYI</t>
  </si>
  <si>
    <t>70V3319S133BC</t>
  </si>
  <si>
    <t>9DBU0441AKILF</t>
  </si>
  <si>
    <t>KINO-DBT-N28071-R10</t>
  </si>
  <si>
    <t>IEI Integration</t>
  </si>
  <si>
    <t>РМ-1028-8</t>
  </si>
  <si>
    <t>IEI Technology</t>
  </si>
  <si>
    <t>CY7C1441KV33-133AXI</t>
  </si>
  <si>
    <t>S70GL02GS12FHIV1</t>
  </si>
  <si>
    <t>IRFB3077PbF</t>
  </si>
  <si>
    <t>BSP322P</t>
  </si>
  <si>
    <t>IRFH5406TRPbF</t>
  </si>
  <si>
    <t>Реле PVN013SPbF</t>
  </si>
  <si>
    <t>IRFR4620TRLPbF</t>
  </si>
  <si>
    <t>IRFP7718PbF</t>
  </si>
  <si>
    <t>IRLML6302TRPbF</t>
  </si>
  <si>
    <t>IRFP140NPbF</t>
  </si>
  <si>
    <t>BTS141BKSA1</t>
  </si>
  <si>
    <t>IRF7473PbF</t>
  </si>
  <si>
    <t>BSC097N06NS</t>
  </si>
  <si>
    <t>BAT62-02L</t>
  </si>
  <si>
    <t>IR2110SPBF</t>
  </si>
  <si>
    <t>IRF7380PbF</t>
  </si>
  <si>
    <t>PVN012SPbF</t>
  </si>
  <si>
    <t>IRF7328TRPbF</t>
  </si>
  <si>
    <t>BSP315P</t>
  </si>
  <si>
    <t>IRF3205ZSTRLPbF</t>
  </si>
  <si>
    <t>IRLR024NPbF</t>
  </si>
  <si>
    <t>BAR64-06</t>
  </si>
  <si>
    <t>IRLML0060TRPbF</t>
  </si>
  <si>
    <t>BAR64-02V</t>
  </si>
  <si>
    <t>IRS44273LTRPBF</t>
  </si>
  <si>
    <t>IRF7509PbF</t>
  </si>
  <si>
    <t>EP1K100FI484-2</t>
  </si>
  <si>
    <t>10CX220YF780E6G</t>
  </si>
  <si>
    <t>TE28F320B-3BD90</t>
  </si>
  <si>
    <t>GC80503CS166EXTSL3B8</t>
  </si>
  <si>
    <t>EPF10K100EQC240-2N</t>
  </si>
  <si>
    <t>PVT322AS</t>
  </si>
  <si>
    <t>International Rectifier</t>
  </si>
  <si>
    <t>IR2181S</t>
  </si>
  <si>
    <t>IRFZ44N</t>
  </si>
  <si>
    <t>IRF7380</t>
  </si>
  <si>
    <t>IRF7855PbF</t>
  </si>
  <si>
    <t>ICL7107CPL</t>
  </si>
  <si>
    <t>Intersil</t>
  </si>
  <si>
    <t>MPU-9150</t>
  </si>
  <si>
    <t>InvenSense</t>
  </si>
  <si>
    <t>LFXTAL002995</t>
  </si>
  <si>
    <t>IQD Frequency Products</t>
  </si>
  <si>
    <t>19N503L18</t>
  </si>
  <si>
    <t>ITW Switches</t>
  </si>
  <si>
    <t>VLR-12V</t>
  </si>
  <si>
    <t>J.S.T. MFG.</t>
  </si>
  <si>
    <t>SEH-002T-P0.6L</t>
  </si>
  <si>
    <t>02P-MWPV-SSR</t>
  </si>
  <si>
    <t>EHR-15</t>
  </si>
  <si>
    <t>VLR-02V</t>
  </si>
  <si>
    <t>SSHL-002T-P0.2</t>
  </si>
  <si>
    <t>B2PS-VH</t>
  </si>
  <si>
    <t>VLS-02V</t>
  </si>
  <si>
    <t>GHR-08V-S</t>
  </si>
  <si>
    <t>PHR-4</t>
  </si>
  <si>
    <t>XHP-8</t>
  </si>
  <si>
    <t>SXH-001T-P0.6</t>
  </si>
  <si>
    <t>TKR471M1HG20</t>
  </si>
  <si>
    <t>Jamicon</t>
  </si>
  <si>
    <t>K-G08B05-4HA</t>
  </si>
  <si>
    <t>O 25.0-JO54H-D-2.5-1-T1</t>
  </si>
  <si>
    <t>Jauch Quartz</t>
  </si>
  <si>
    <t>O 25.0-JO54H-D-3.3-1-T1</t>
  </si>
  <si>
    <t>O 125.0-JOD75-C-3.3-T1</t>
  </si>
  <si>
    <t>O 25.0-JO54H-D-1.8-1-T1</t>
  </si>
  <si>
    <t>O 24.0-JO75-G-3.3-1-T1</t>
  </si>
  <si>
    <t>Q 25.0-JXS53-18-10/30-T1-LF</t>
  </si>
  <si>
    <t>Q 19.2-JXS53-12-10/30-T1-LF</t>
  </si>
  <si>
    <t>JCK1V221M080105</t>
  </si>
  <si>
    <t>JB Capacitors</t>
  </si>
  <si>
    <t>JCK1H221M100105</t>
  </si>
  <si>
    <t>JRB1H470M02500630110000B</t>
  </si>
  <si>
    <t>JH16-C1 ON-ON зеленая</t>
  </si>
  <si>
    <t>Jinghan Switch Electronic</t>
  </si>
  <si>
    <t>251R15S220JV4</t>
  </si>
  <si>
    <t>Johanson Technology</t>
  </si>
  <si>
    <t>1720BL15A0100</t>
  </si>
  <si>
    <t>SF1F-21T-P0.6</t>
  </si>
  <si>
    <t>JST Sales America</t>
  </si>
  <si>
    <t>JWL228M035S1ACM32L</t>
  </si>
  <si>
    <t>Kaimei Electronic</t>
  </si>
  <si>
    <t>KTL-017-05</t>
  </si>
  <si>
    <t>Karson Technology</t>
  </si>
  <si>
    <t>KTL-017-10</t>
  </si>
  <si>
    <t>T491D336M035AT</t>
  </si>
  <si>
    <t>C350C334K1G5TA7301</t>
  </si>
  <si>
    <t>T491D226K025AT</t>
  </si>
  <si>
    <t>T491X477K010AT</t>
  </si>
  <si>
    <t>C350C685K5R5TA</t>
  </si>
  <si>
    <t>T491A475K006AT</t>
  </si>
  <si>
    <t>C1210C684K3RAC</t>
  </si>
  <si>
    <t>T491C106K025AT</t>
  </si>
  <si>
    <t>C2220C225K5RAC</t>
  </si>
  <si>
    <t>C2220C106K3R1C</t>
  </si>
  <si>
    <t>T495C107K010ATE250</t>
  </si>
  <si>
    <t>T495D477K006ATE125</t>
  </si>
  <si>
    <t>T491D336K035AT</t>
  </si>
  <si>
    <t>T491C476K016AT</t>
  </si>
  <si>
    <t>T494D226K020AH</t>
  </si>
  <si>
    <t>C0603C104K5RAC</t>
  </si>
  <si>
    <t>T494D106K035AH</t>
  </si>
  <si>
    <t>C0603C102K8RAC</t>
  </si>
  <si>
    <t>T491D107K010AT</t>
  </si>
  <si>
    <t>C1210C302F1HAC</t>
  </si>
  <si>
    <t>T491C105K050AT</t>
  </si>
  <si>
    <t>C1210C125K3PAC</t>
  </si>
  <si>
    <t>T491B156K010AT</t>
  </si>
  <si>
    <t>T494D476K016AH</t>
  </si>
  <si>
    <t>C1210C564K5RAC</t>
  </si>
  <si>
    <t>T494A106K010AT</t>
  </si>
  <si>
    <t>T491C475K035AT</t>
  </si>
  <si>
    <t>T491B225K035AT</t>
  </si>
  <si>
    <t>T491A225K016AT</t>
  </si>
  <si>
    <t>ESH228M050AM3AA</t>
  </si>
  <si>
    <t>T491X226K035AT</t>
  </si>
  <si>
    <t>T491A105M035AT</t>
  </si>
  <si>
    <t>T491B106K016AT</t>
  </si>
  <si>
    <t>T495A475K010ATE1K3</t>
  </si>
  <si>
    <t>T491A105K010AT</t>
  </si>
  <si>
    <t>T491D226K035AT</t>
  </si>
  <si>
    <t>C1210C226K8RAC</t>
  </si>
  <si>
    <t>C0603C821J3GAC</t>
  </si>
  <si>
    <t>T491D476K010AT</t>
  </si>
  <si>
    <t>T494C475K035AH</t>
  </si>
  <si>
    <t>C0603C225K8PAC</t>
  </si>
  <si>
    <t>C0402C104J4RAC</t>
  </si>
  <si>
    <t>T491A225K020AT</t>
  </si>
  <si>
    <t>C1206C154J2RAC</t>
  </si>
  <si>
    <t>CBR04C101F3GAC</t>
  </si>
  <si>
    <t>C0603C103K8GAC</t>
  </si>
  <si>
    <t>T491C225K050AT</t>
  </si>
  <si>
    <t>T491D227K010AT</t>
  </si>
  <si>
    <t>T494B106K010AT</t>
  </si>
  <si>
    <t>C0603C121J5GAC</t>
  </si>
  <si>
    <t>T491D337K006AT</t>
  </si>
  <si>
    <t>C1210C106K8PAC</t>
  </si>
  <si>
    <t>T491B476K010AT</t>
  </si>
  <si>
    <t>C1210C107M9PAC</t>
  </si>
  <si>
    <t>C0805C102J1GAC</t>
  </si>
  <si>
    <t>T494C225K035AT</t>
  </si>
  <si>
    <t>C0805C223K5RAC</t>
  </si>
  <si>
    <t>C0805C106K8PAC</t>
  </si>
  <si>
    <t>C0402C105K9PAC</t>
  </si>
  <si>
    <t>C0805C470K5GAC</t>
  </si>
  <si>
    <t>C1210C107M4PAC</t>
  </si>
  <si>
    <t>C0603C104J4RAC</t>
  </si>
  <si>
    <t>DA56-51GWA</t>
  </si>
  <si>
    <t>Kingbright Electronic</t>
  </si>
  <si>
    <t>KA-3528PWC</t>
  </si>
  <si>
    <t>PSC05-11SRWA</t>
  </si>
  <si>
    <t>BC56-12SRWA</t>
  </si>
  <si>
    <t>KPH-1608SGC</t>
  </si>
  <si>
    <t>L-710A8CB/1GD</t>
  </si>
  <si>
    <t>CC56-12SRWA</t>
  </si>
  <si>
    <t>KPHHS-1005QBC-D-V</t>
  </si>
  <si>
    <t>KPT-3216CGCK</t>
  </si>
  <si>
    <t>KPG-1005CGC</t>
  </si>
  <si>
    <t>L-1154NT</t>
  </si>
  <si>
    <t>DC56-11SRWA</t>
  </si>
  <si>
    <t>L-57GGD</t>
  </si>
  <si>
    <t>L-154A4SUREQBFZGEW</t>
  </si>
  <si>
    <t>L-57IID</t>
  </si>
  <si>
    <t>KPC-3216SURC</t>
  </si>
  <si>
    <t>KPH-1608MGC</t>
  </si>
  <si>
    <t>AA3528SURCK</t>
  </si>
  <si>
    <t>HD-4025.DD3</t>
  </si>
  <si>
    <t>Kippribor</t>
  </si>
  <si>
    <t>L-KLS6-20D-330K</t>
  </si>
  <si>
    <t>AG-12L</t>
  </si>
  <si>
    <t>KSS</t>
  </si>
  <si>
    <t>CX3225GB14745P0HPQCC</t>
  </si>
  <si>
    <t>Kyocera Crystal Device</t>
  </si>
  <si>
    <t>HI1206N101R-10</t>
  </si>
  <si>
    <t>Laird Technologies</t>
  </si>
  <si>
    <t>MI0603J601R-10</t>
  </si>
  <si>
    <t>TWT-PL45/S-8P8C-6A</t>
  </si>
  <si>
    <t>Lanmaster</t>
  </si>
  <si>
    <t>TWT-PL45-8P8C</t>
  </si>
  <si>
    <t>HGG.0B.304.CLLP</t>
  </si>
  <si>
    <t>Lemo</t>
  </si>
  <si>
    <t>GMA.3B.060.DG</t>
  </si>
  <si>
    <t>GMA.3B.070.DG</t>
  </si>
  <si>
    <t>08-0981</t>
  </si>
  <si>
    <t>Lin'an CF</t>
  </si>
  <si>
    <t>06-0300-A</t>
  </si>
  <si>
    <t>36-2510</t>
  </si>
  <si>
    <t>08-0951</t>
  </si>
  <si>
    <t>LT1963ES8#PBF</t>
  </si>
  <si>
    <t>Linear Technology</t>
  </si>
  <si>
    <t>LTM8031EV#PBF</t>
  </si>
  <si>
    <t>LTM4614EV#PBF</t>
  </si>
  <si>
    <t>LTC5588IPF-1#PBF</t>
  </si>
  <si>
    <t>LT3080EMS8E</t>
  </si>
  <si>
    <t>LTM4616</t>
  </si>
  <si>
    <t>LT1963AES8-3.3</t>
  </si>
  <si>
    <t>LTC3412AIFE#PBF</t>
  </si>
  <si>
    <t>LT3971EMSE-3.3#PBF</t>
  </si>
  <si>
    <t>LT1963AES8-1.8#PBF</t>
  </si>
  <si>
    <t>LT1964IS5-5#PBF</t>
  </si>
  <si>
    <t>LT1761ES5-3.3#PBF</t>
  </si>
  <si>
    <t>LT1963AEFE-2.5</t>
  </si>
  <si>
    <t>LTC2850IDD#TRPBF</t>
  </si>
  <si>
    <t>CONSMA007-G</t>
  </si>
  <si>
    <t>Linx Technologies</t>
  </si>
  <si>
    <t>KX102J2</t>
  </si>
  <si>
    <t>SM712-02HTG</t>
  </si>
  <si>
    <t>SMBJ75A</t>
  </si>
  <si>
    <t>0468.500NRHF</t>
  </si>
  <si>
    <t>5KP110A</t>
  </si>
  <si>
    <t>SMBJ7.5A</t>
  </si>
  <si>
    <t>178.6165.000</t>
  </si>
  <si>
    <t>SMF33A</t>
  </si>
  <si>
    <t>SP3010-04UTG</t>
  </si>
  <si>
    <t>0468002.NR</t>
  </si>
  <si>
    <t>1.5KE13A</t>
  </si>
  <si>
    <t>RUE300</t>
  </si>
  <si>
    <t>0494005.NRHF</t>
  </si>
  <si>
    <t>P 303 S</t>
  </si>
  <si>
    <t>Lumberg</t>
  </si>
  <si>
    <t>SSI-LXR3612YD</t>
  </si>
  <si>
    <t>Lumex</t>
  </si>
  <si>
    <t>SSI-LXR3612SRD</t>
  </si>
  <si>
    <t>SML1</t>
  </si>
  <si>
    <t>SMLA45-1</t>
  </si>
  <si>
    <t>SMA32-1</t>
  </si>
  <si>
    <t>AT-273</t>
  </si>
  <si>
    <t>AT233CR-12</t>
  </si>
  <si>
    <t>AT263CR-12</t>
  </si>
  <si>
    <t>MA4P504-132</t>
  </si>
  <si>
    <t>MA4P404-132</t>
  </si>
  <si>
    <t>MX66L2G45GXRI00</t>
  </si>
  <si>
    <t>Macronix International</t>
  </si>
  <si>
    <t>MXO37H/R-D19B5S-50 MHZ</t>
  </si>
  <si>
    <t>Magic Xtal</t>
  </si>
  <si>
    <t>MXOCR-E17H5S-100 MHz</t>
  </si>
  <si>
    <t>88E1111-RCJ</t>
  </si>
  <si>
    <t>Marvell Technology</t>
  </si>
  <si>
    <t>MAX232EEWE</t>
  </si>
  <si>
    <t>MAX8215ESD</t>
  </si>
  <si>
    <t>MAX1644EAE</t>
  </si>
  <si>
    <t>MAX7219EWG</t>
  </si>
  <si>
    <t>DS89C450-QNL</t>
  </si>
  <si>
    <t>MAX4657ESA+</t>
  </si>
  <si>
    <t>MAX2112ETI+</t>
  </si>
  <si>
    <t>MAX803SEXR+T</t>
  </si>
  <si>
    <t>MAX490EESA</t>
  </si>
  <si>
    <t>MAX15019BASA+</t>
  </si>
  <si>
    <t>MAX9928FAUA+</t>
  </si>
  <si>
    <t>DS1813 SOT-23</t>
  </si>
  <si>
    <t>MAX811TEUS+</t>
  </si>
  <si>
    <t>MAX3295AUT+</t>
  </si>
  <si>
    <t>MAX4172ESA+</t>
  </si>
  <si>
    <t>ACC-513E GMSK</t>
  </si>
  <si>
    <t>Maxon</t>
  </si>
  <si>
    <t>SK54B-L</t>
  </si>
  <si>
    <t>SM6T15A</t>
  </si>
  <si>
    <t>MDE Semiconductor</t>
  </si>
  <si>
    <t>SM6T7V5A</t>
  </si>
  <si>
    <t>SM6T6V8A</t>
  </si>
  <si>
    <t>NSD15-12S12</t>
  </si>
  <si>
    <t>Mean Well Enterprises</t>
  </si>
  <si>
    <t>KN3 (C)-101-D1</t>
  </si>
  <si>
    <t>Medium Toggle Switch</t>
  </si>
  <si>
    <t>MHRJ45SRB-O</t>
  </si>
  <si>
    <t>MH Connectors</t>
  </si>
  <si>
    <t>MIC94053BC6</t>
  </si>
  <si>
    <t>Micrel</t>
  </si>
  <si>
    <t>EVB-LAN7430</t>
  </si>
  <si>
    <t>Microchip Technology</t>
  </si>
  <si>
    <t>MCP23S17-E/SS</t>
  </si>
  <si>
    <t>DM330013-2</t>
  </si>
  <si>
    <t>KSZ8081RNACA</t>
  </si>
  <si>
    <t>MCP9700AT-E/TT</t>
  </si>
  <si>
    <t>ATmega64M1-15AZ</t>
  </si>
  <si>
    <t>USB2514Bi-AEZG</t>
  </si>
  <si>
    <t>ATmega48-20AU</t>
  </si>
  <si>
    <t>ATxmega32A4-AU</t>
  </si>
  <si>
    <t>MCP3221A0T-E/OT</t>
  </si>
  <si>
    <t>TC1047AVNB</t>
  </si>
  <si>
    <t>MT46H32M32LFCM-5LIT:A</t>
  </si>
  <si>
    <t>Micron Technology</t>
  </si>
  <si>
    <t>MT29F16G08ABABAWP-IT</t>
  </si>
  <si>
    <t>MT49H16M36BM-25</t>
  </si>
  <si>
    <t>MT25QL128ABA1ESE-0SIT</t>
  </si>
  <si>
    <t>MT29F32G08AFACAWP-ITZ:C</t>
  </si>
  <si>
    <t>M25P32-VMW6TGB</t>
  </si>
  <si>
    <t>GC4430-00</t>
  </si>
  <si>
    <t>Microsemi</t>
  </si>
  <si>
    <t>WED2DL32512V40BI</t>
  </si>
  <si>
    <t>618S</t>
  </si>
  <si>
    <t>Microwave Devices</t>
  </si>
  <si>
    <t>R11e-2HnD</t>
  </si>
  <si>
    <t>MikroTik</t>
  </si>
  <si>
    <t>YAT-0A+</t>
  </si>
  <si>
    <t>LFCN-2000</t>
  </si>
  <si>
    <t>LAT-20+</t>
  </si>
  <si>
    <t>LAT-8+</t>
  </si>
  <si>
    <t>ZAPDJ-2-S+</t>
  </si>
  <si>
    <t>LFCN-1400</t>
  </si>
  <si>
    <t>RLM-43-5W+</t>
  </si>
  <si>
    <t>SCP-3-1+</t>
  </si>
  <si>
    <t>LVA-123+</t>
  </si>
  <si>
    <t>WP4G1+</t>
  </si>
  <si>
    <t>SIM-U742MH+</t>
  </si>
  <si>
    <t>SBA-2-14</t>
  </si>
  <si>
    <t>MOS-810-119+</t>
  </si>
  <si>
    <t>LFCN-800+</t>
  </si>
  <si>
    <t>AVA-183+</t>
  </si>
  <si>
    <t>YAT-15+</t>
  </si>
  <si>
    <t xml:space="preserve"> JPS-2-900</t>
  </si>
  <si>
    <t>BFCN-3600+</t>
  </si>
  <si>
    <t>BFCN-4800+</t>
  </si>
  <si>
    <t>GP2S1+</t>
  </si>
  <si>
    <t>RMK-3-332+</t>
  </si>
  <si>
    <t>TCP-2-33W+</t>
  </si>
  <si>
    <t>KSX2-14+</t>
  </si>
  <si>
    <t>LFCN-80</t>
  </si>
  <si>
    <t>SCN-2-11+</t>
  </si>
  <si>
    <t>LFCN-490+</t>
  </si>
  <si>
    <t>LFCN-1200D+</t>
  </si>
  <si>
    <t>SBTC-2-25L+</t>
  </si>
  <si>
    <t>HFCN-1000+</t>
  </si>
  <si>
    <t>MNA-4A+</t>
  </si>
  <si>
    <t>ERA-9SM+</t>
  </si>
  <si>
    <t>LAT-12</t>
  </si>
  <si>
    <t>ERA-21SM+</t>
  </si>
  <si>
    <t>ROS-1344-119+</t>
  </si>
  <si>
    <t>DBTC-17-5+</t>
  </si>
  <si>
    <t>HFCN-2000+</t>
  </si>
  <si>
    <t>LAT-30+</t>
  </si>
  <si>
    <t>YAT-7+</t>
  </si>
  <si>
    <t>TC1-1-13М</t>
  </si>
  <si>
    <t>SCA-4-20+</t>
  </si>
  <si>
    <t>HSWA2-30DR+</t>
  </si>
  <si>
    <t>LFCN-120</t>
  </si>
  <si>
    <t>TCM3-1T+</t>
  </si>
  <si>
    <t>GALI-3+</t>
  </si>
  <si>
    <t>HFCN-1600</t>
  </si>
  <si>
    <t>LFCN-180+</t>
  </si>
  <si>
    <t>LAT-15+</t>
  </si>
  <si>
    <t>MNA-6</t>
  </si>
  <si>
    <t>LFCN-1800+</t>
  </si>
  <si>
    <t>LFCN-1800</t>
  </si>
  <si>
    <t>HFCN-880</t>
  </si>
  <si>
    <t>TC1-1-13M+</t>
  </si>
  <si>
    <t>TCN2-14</t>
  </si>
  <si>
    <t>SCN-2-15</t>
  </si>
  <si>
    <t>YAT-1+</t>
  </si>
  <si>
    <t>MNA-4</t>
  </si>
  <si>
    <t>HFCN-440+</t>
  </si>
  <si>
    <t>ERA-4+</t>
  </si>
  <si>
    <t>BP2U1+</t>
  </si>
  <si>
    <t>90130-1226</t>
  </si>
  <si>
    <t>90119-2122</t>
  </si>
  <si>
    <t>106053-0500</t>
  </si>
  <si>
    <t>90130-1308</t>
  </si>
  <si>
    <t>68784-0002</t>
  </si>
  <si>
    <t>83421-9014</t>
  </si>
  <si>
    <t>02-08-1201</t>
  </si>
  <si>
    <t>51022-0300</t>
  </si>
  <si>
    <t>90142-0034</t>
  </si>
  <si>
    <t>48037-0001</t>
  </si>
  <si>
    <t>44661-0001</t>
  </si>
  <si>
    <t>90136-1305</t>
  </si>
  <si>
    <t>502352-0910</t>
  </si>
  <si>
    <t>48258-0001</t>
  </si>
  <si>
    <t>90130-1326</t>
  </si>
  <si>
    <t>47151-0001</t>
  </si>
  <si>
    <t>50597-8000</t>
  </si>
  <si>
    <t>90119-2110</t>
  </si>
  <si>
    <t>50394-8052</t>
  </si>
  <si>
    <t>53627-0374</t>
  </si>
  <si>
    <t>53398-0371</t>
  </si>
  <si>
    <t>88751-1410</t>
  </si>
  <si>
    <t>53398-0471</t>
  </si>
  <si>
    <t>87831-2021</t>
  </si>
  <si>
    <t>90142-0014</t>
  </si>
  <si>
    <t>90130-1208</t>
  </si>
  <si>
    <t>53261-0290</t>
  </si>
  <si>
    <t>50061-8000</t>
  </si>
  <si>
    <t>35021-1160</t>
  </si>
  <si>
    <t>53398-0271</t>
  </si>
  <si>
    <t>43045-0601</t>
  </si>
  <si>
    <t>03-06-1023</t>
  </si>
  <si>
    <t>43025-0800</t>
  </si>
  <si>
    <t>502579-1000</t>
  </si>
  <si>
    <t>105300-2200</t>
  </si>
  <si>
    <t>43645-0200</t>
  </si>
  <si>
    <t>K78L05-1000R3</t>
  </si>
  <si>
    <t>Mornsun Guangzhou Science &amp; Technology</t>
  </si>
  <si>
    <t>B1212S-1WR2</t>
  </si>
  <si>
    <t>MC13135DW</t>
  </si>
  <si>
    <t>Motorola</t>
  </si>
  <si>
    <t>Uport 1650-8</t>
  </si>
  <si>
    <t>Moxa</t>
  </si>
  <si>
    <t>CP-102U-T</t>
  </si>
  <si>
    <t>MTA</t>
  </si>
  <si>
    <t>MCCTC106M025</t>
  </si>
  <si>
    <t>Multicomp</t>
  </si>
  <si>
    <t>MC19030001</t>
  </si>
  <si>
    <t>HC49U 10.245 MHz</t>
  </si>
  <si>
    <t>MCSJK-7I-8.00-10-10-60-B-10</t>
  </si>
  <si>
    <t>HC49U-22.1184-20-50-60-30-ATF</t>
  </si>
  <si>
    <t>HC49S-8-30-50-70-30-ATF</t>
  </si>
  <si>
    <t>HC49U 22.1184MHz</t>
  </si>
  <si>
    <t>MCWF08R1002BTL</t>
  </si>
  <si>
    <t>MCWF08U2001BTL</t>
  </si>
  <si>
    <t>HC49S 20.000MHz</t>
  </si>
  <si>
    <t>MCWF08R1502BTL</t>
  </si>
  <si>
    <t>MC0402N101J500C</t>
  </si>
  <si>
    <t>MC0402N100J500C</t>
  </si>
  <si>
    <t>MC0402X104K100C</t>
  </si>
  <si>
    <t>PV-KST4/2,5I-UR</t>
  </si>
  <si>
    <t>Multi-Contact</t>
  </si>
  <si>
    <t>PV-KBT4/2,5I-UR</t>
  </si>
  <si>
    <t>PVG3A203C01</t>
  </si>
  <si>
    <t>PVG3A201C01</t>
  </si>
  <si>
    <t>GRM31CR60J157ME11</t>
  </si>
  <si>
    <t>LQW2BASR68J00</t>
  </si>
  <si>
    <t>LQW2BASR82J00</t>
  </si>
  <si>
    <t>GRM1555C2A3R3BA01</t>
  </si>
  <si>
    <t>LQH43NN101J032</t>
  </si>
  <si>
    <t>LQH43NN680J032</t>
  </si>
  <si>
    <t>GRM32EC72A106KE05</t>
  </si>
  <si>
    <t>GRM2165C2A391JA01</t>
  </si>
  <si>
    <t>MA40E8-2</t>
  </si>
  <si>
    <t>GRM32CR72A105KA35</t>
  </si>
  <si>
    <t>BLM15PD121SN1</t>
  </si>
  <si>
    <t>TZB4P300BA10R00</t>
  </si>
  <si>
    <t>GRM21A5C2E150JW01</t>
  </si>
  <si>
    <t>NFM18PC105R0J3</t>
  </si>
  <si>
    <t>PVG3A101C01</t>
  </si>
  <si>
    <t>GRM21BR11H104KA01</t>
  </si>
  <si>
    <t>GRM55DR72E474KW01</t>
  </si>
  <si>
    <t>GRM1555C1H391GA01</t>
  </si>
  <si>
    <t>PVG3A502C01</t>
  </si>
  <si>
    <t>GQM1885C1H220FB01</t>
  </si>
  <si>
    <t>GRM43ER72A225KA01</t>
  </si>
  <si>
    <t>GRM55DR73A104KW01</t>
  </si>
  <si>
    <t>GNM2145C1H220KD01</t>
  </si>
  <si>
    <t>GQM2195C1H220GB01</t>
  </si>
  <si>
    <t>GRM55DR72E334KW01</t>
  </si>
  <si>
    <t>GRM1885C1H101JA01</t>
  </si>
  <si>
    <t>GRM188R6YA475KE15</t>
  </si>
  <si>
    <t>GRM219F51H104ZA01</t>
  </si>
  <si>
    <t>GRM1885C1H390JA01</t>
  </si>
  <si>
    <t>LQH55DH4R7M03</t>
  </si>
  <si>
    <t>GQM1885C1H180FB01</t>
  </si>
  <si>
    <t>GQM1885C1H470FB01</t>
  </si>
  <si>
    <t>LQM18NNR33K00</t>
  </si>
  <si>
    <t>SF2049E-1</t>
  </si>
  <si>
    <t>GRM31CR61A107ME05</t>
  </si>
  <si>
    <t>GRM1885C1H752JA01</t>
  </si>
  <si>
    <t>GRM188R71H183KA01</t>
  </si>
  <si>
    <t>MA40MF14-5B</t>
  </si>
  <si>
    <t>GRM1885C1H101FA01</t>
  </si>
  <si>
    <t>GRM31MR71H474KA01</t>
  </si>
  <si>
    <t>GRM1885C1H622JA01</t>
  </si>
  <si>
    <t>GQM1885C1H8R0CB01</t>
  </si>
  <si>
    <t>GRM55ER71H475KA01</t>
  </si>
  <si>
    <t>GRM21BR71E475KA73</t>
  </si>
  <si>
    <t>PVG3A501C01</t>
  </si>
  <si>
    <t>GRM188R71C104JA01</t>
  </si>
  <si>
    <t>PV32H103A01</t>
  </si>
  <si>
    <t>GRM033R61A473KE84</t>
  </si>
  <si>
    <t>GA343DR7GD472KW01</t>
  </si>
  <si>
    <t>GR442QR73D471KW01</t>
  </si>
  <si>
    <t>GRM1885C1H100JA01</t>
  </si>
  <si>
    <t>GRM1885C1H431JA01</t>
  </si>
  <si>
    <t>GJM1555C1H200GB01</t>
  </si>
  <si>
    <t>GRM21A5C2J100FWA1</t>
  </si>
  <si>
    <t>GRM55ER72A475KA01</t>
  </si>
  <si>
    <t>GRM1555C1H160GA01</t>
  </si>
  <si>
    <t>GRM1885C2E100JW07</t>
  </si>
  <si>
    <t>SFECV10M7JA00-R0</t>
  </si>
  <si>
    <t>GRM2165C2A681JA01</t>
  </si>
  <si>
    <t>GRM1555C1H561GA01</t>
  </si>
  <si>
    <t>GRM21A5C2E101FW01</t>
  </si>
  <si>
    <t>LQW18AN13NJ00</t>
  </si>
  <si>
    <t>LQW18AN15NJ00</t>
  </si>
  <si>
    <t>LQP15MN6N8B02</t>
  </si>
  <si>
    <t>LQW18AN16NJ00</t>
  </si>
  <si>
    <t>GQM2195C2E151GB12</t>
  </si>
  <si>
    <t>LQW18AN43NJ00</t>
  </si>
  <si>
    <t>GRM55RR71H105KA01</t>
  </si>
  <si>
    <t>GRM188D71A106KA73</t>
  </si>
  <si>
    <t>GQM2195C2E160JB12</t>
  </si>
  <si>
    <t>LQW18ANR22J00</t>
  </si>
  <si>
    <t>LQW2BAS10NJ00</t>
  </si>
  <si>
    <t>LQW18AN20NJ00</t>
  </si>
  <si>
    <t>GRM1555C1H152JA01</t>
  </si>
  <si>
    <t>BLM41PG102SN1</t>
  </si>
  <si>
    <t>GRM32ER71H105KA01</t>
  </si>
  <si>
    <t>SFECF10M7HF00S0</t>
  </si>
  <si>
    <t>GRM1885C2A820JA01</t>
  </si>
  <si>
    <t>LQG15HS15NJ02</t>
  </si>
  <si>
    <t>GRM21B1X1H393JA01</t>
  </si>
  <si>
    <t>SFECF10M7HF00-R0</t>
  </si>
  <si>
    <t>GRM31C5C1E104JA01</t>
  </si>
  <si>
    <t>GRM1887U1H103JA01</t>
  </si>
  <si>
    <t>GJM1555C1H6R8BB01</t>
  </si>
  <si>
    <t>GRM188R71H821KA01</t>
  </si>
  <si>
    <t>GR443QR73D102KW01</t>
  </si>
  <si>
    <t>GRM21A5C2D560JW01</t>
  </si>
  <si>
    <t>GRM31CR61H105KA12</t>
  </si>
  <si>
    <t>NXFT15XH103FA1B025</t>
  </si>
  <si>
    <t>LQM21FN100N00</t>
  </si>
  <si>
    <t>BLM18PG600SH1</t>
  </si>
  <si>
    <t>GRM188R61E475KE11</t>
  </si>
  <si>
    <t>GCD188R71H182KA01</t>
  </si>
  <si>
    <t>GRM1555C1H3R9WA01</t>
  </si>
  <si>
    <t>BLA2AAG102SN4</t>
  </si>
  <si>
    <t>LQH55DN4R7M03</t>
  </si>
  <si>
    <t>SFELF10M7LFTA</t>
  </si>
  <si>
    <t>GRM1555C1H471GA01</t>
  </si>
  <si>
    <t>LQW2BAS36NJ00</t>
  </si>
  <si>
    <t>LQW15AN6N2B80</t>
  </si>
  <si>
    <t>CSTNE8M00G52A000</t>
  </si>
  <si>
    <t>GRM188R71E102KA01</t>
  </si>
  <si>
    <t>LQW15AN33NG8Z</t>
  </si>
  <si>
    <t>GRM1885C1H6R2CA01</t>
  </si>
  <si>
    <t>LQW2BAS33NJ00</t>
  </si>
  <si>
    <t>GRM1555C1H111GA01</t>
  </si>
  <si>
    <t>GRM216R71H103JA01</t>
  </si>
  <si>
    <t>GRM188R61H103KA01</t>
  </si>
  <si>
    <t>GRM155R71H272KA01</t>
  </si>
  <si>
    <t>GRM1555C2A3R3CA01</t>
  </si>
  <si>
    <t>GCM1555C1H680GA16</t>
  </si>
  <si>
    <t>GRM1885C2A330JA01</t>
  </si>
  <si>
    <t>GRM1885C1H3R3CA01</t>
  </si>
  <si>
    <t>GRM1885C2A560JA01</t>
  </si>
  <si>
    <t>GRM188R71E362KA01</t>
  </si>
  <si>
    <t>GRM21A5C2D121JW01</t>
  </si>
  <si>
    <t>GRM21A5C2D390JW01</t>
  </si>
  <si>
    <t>GRM1555C1H5R1BA01</t>
  </si>
  <si>
    <t>GRM21B5C1H183JA01</t>
  </si>
  <si>
    <t>GRM1555C1H3R9BA01</t>
  </si>
  <si>
    <t>GRM1885C1H130JA01</t>
  </si>
  <si>
    <t>LQW2BAS27NJ00</t>
  </si>
  <si>
    <t>GCM1555C1H241GA16</t>
  </si>
  <si>
    <t>GJM1555C1H160GB01</t>
  </si>
  <si>
    <t>GRM2165C1H432JA01</t>
  </si>
  <si>
    <t>GRM2195C1H123JA01</t>
  </si>
  <si>
    <t>GRM32ER61C226KE20</t>
  </si>
  <si>
    <t>GRM21A5C2J220FWA1</t>
  </si>
  <si>
    <t>GRM155F51E104ZA01</t>
  </si>
  <si>
    <t>GRM1555C1H430GA01</t>
  </si>
  <si>
    <t>NFM21PC105B1C3</t>
  </si>
  <si>
    <t>BLM21RK102SN1</t>
  </si>
  <si>
    <t>GRM188R72A104KA35</t>
  </si>
  <si>
    <t>GRM155R71H222KA01</t>
  </si>
  <si>
    <t>GRM219R71C225ME15</t>
  </si>
  <si>
    <t>GRM3195C2A183JA01</t>
  </si>
  <si>
    <t>NCP18XH103J03RB</t>
  </si>
  <si>
    <t>GRM188R72A222KA01</t>
  </si>
  <si>
    <t>GRM1885C1H272JA01</t>
  </si>
  <si>
    <t>GRM1885C1H510JA01</t>
  </si>
  <si>
    <t>GRM1555C1H8R2WA01</t>
  </si>
  <si>
    <t>GRM0335C1E1R0BA01</t>
  </si>
  <si>
    <t>GRM0335C1ER50BA01</t>
  </si>
  <si>
    <t>GRM1555C1H471JA01</t>
  </si>
  <si>
    <t>BLM15HD102SN1</t>
  </si>
  <si>
    <t>LQH32PN4R7NN0</t>
  </si>
  <si>
    <t>LQW2BASR27J00</t>
  </si>
  <si>
    <t>GRM1885C1H432JA01</t>
  </si>
  <si>
    <t>GRM155R71H272JA01</t>
  </si>
  <si>
    <t>GRM2165C1H3R9CD01</t>
  </si>
  <si>
    <t>BLM15AG121SN1</t>
  </si>
  <si>
    <t>GCJ31MR71E335KA12</t>
  </si>
  <si>
    <t>GRM033R71C561KA01</t>
  </si>
  <si>
    <t>GRM31CR72E473KW03</t>
  </si>
  <si>
    <t>GRM1887U1A273JA01</t>
  </si>
  <si>
    <t>GRM155R60J334KE01</t>
  </si>
  <si>
    <t>GRM188R72A223KAC4</t>
  </si>
  <si>
    <t>GRM21BR71E225KA73</t>
  </si>
  <si>
    <t>LQW2BASR24J00</t>
  </si>
  <si>
    <t>GRM21A5C2D680JW01</t>
  </si>
  <si>
    <t>GRM2165C2A561JA01</t>
  </si>
  <si>
    <t>GRM155R71H104KE14</t>
  </si>
  <si>
    <t>GRM31MR71H224KA01</t>
  </si>
  <si>
    <t>GRM1885C2A180JA01</t>
  </si>
  <si>
    <t>BLM31PG121SN1</t>
  </si>
  <si>
    <t>GRM188R72A682KA01</t>
  </si>
  <si>
    <t>GRM32ER71E226ME15</t>
  </si>
  <si>
    <t>LQP15MN1N8W02</t>
  </si>
  <si>
    <t>GRM033C71A104KE14</t>
  </si>
  <si>
    <t>LQW18AN8N7D00</t>
  </si>
  <si>
    <t>GRM1885C1H222JA01</t>
  </si>
  <si>
    <t>GRM2165C1H102JA01</t>
  </si>
  <si>
    <t>GRT188R61E105KE13</t>
  </si>
  <si>
    <t>GRM033R61A225KE47</t>
  </si>
  <si>
    <t>GRM155R71H561KA01</t>
  </si>
  <si>
    <t>GCM1885C2A101FA16</t>
  </si>
  <si>
    <t>GRM21BR71E334KA01</t>
  </si>
  <si>
    <t>LQW15AN39NG00</t>
  </si>
  <si>
    <t>LQW2BAS22NJ00</t>
  </si>
  <si>
    <t>LQW18ANR39G00</t>
  </si>
  <si>
    <t>GRM2165C2A152JA01</t>
  </si>
  <si>
    <t>GRM21BR71A106KA73</t>
  </si>
  <si>
    <t>LQH31MN2R2K03</t>
  </si>
  <si>
    <t>GRM2195C1H822JA01</t>
  </si>
  <si>
    <t>GRM31CR72D473KW03</t>
  </si>
  <si>
    <t>GCM188R70J225KE22</t>
  </si>
  <si>
    <t>GRM21BR72A104KAC4</t>
  </si>
  <si>
    <t>GCM155C71A474KE36</t>
  </si>
  <si>
    <t>GRM188C71C684KA12</t>
  </si>
  <si>
    <t>GCJ188R71H104KA12</t>
  </si>
  <si>
    <t>GRM188R71E103KA01</t>
  </si>
  <si>
    <t>GRM188R61C105KA12</t>
  </si>
  <si>
    <t>GRM155R71C474KE01</t>
  </si>
  <si>
    <t>GQM1875C2E101JB12</t>
  </si>
  <si>
    <t>GRM219F51C474ZA01</t>
  </si>
  <si>
    <t>LQW18ANR12G00</t>
  </si>
  <si>
    <t>GC321AD72E103KX01</t>
  </si>
  <si>
    <t>GRM319R71H104KA01</t>
  </si>
  <si>
    <t>GQM1885C1H180GB01</t>
  </si>
  <si>
    <t>GRM1555C1H270GA01</t>
  </si>
  <si>
    <t>PVG3A100C01</t>
  </si>
  <si>
    <t>GRM21BZ71H475KE15</t>
  </si>
  <si>
    <t>GRM1885C1H391JA01</t>
  </si>
  <si>
    <t>LQW2BAS39NJ00</t>
  </si>
  <si>
    <t>GRM1555C1H8R2CA01</t>
  </si>
  <si>
    <t>GJM1555C1H2R0BB01</t>
  </si>
  <si>
    <t>GRM1885C1H121JA01</t>
  </si>
  <si>
    <t>GCM21BR71H105KA03</t>
  </si>
  <si>
    <t>GRM1885C1H2R2CA01</t>
  </si>
  <si>
    <t>GRM1885C1H5R6CA01</t>
  </si>
  <si>
    <t>LQW18AN12NG00</t>
  </si>
  <si>
    <t>GRM31A5C2J331JW01</t>
  </si>
  <si>
    <t>GCM1885C2AR80BA16</t>
  </si>
  <si>
    <t>GRM155Z71A105KE01</t>
  </si>
  <si>
    <t>GCM21BR71A106KE22</t>
  </si>
  <si>
    <t>GRM1555C1H431GA01</t>
  </si>
  <si>
    <t>BLM18RK102SN1</t>
  </si>
  <si>
    <t>GRM21AR72E102KW01</t>
  </si>
  <si>
    <t>GRT188R61H105KE13</t>
  </si>
  <si>
    <t>GRM21BR71H683KA01</t>
  </si>
  <si>
    <t>GRM1885C1H681JA01</t>
  </si>
  <si>
    <t>GCM188R71C334KA37</t>
  </si>
  <si>
    <t>GCM1555C1H2R4BA16</t>
  </si>
  <si>
    <t>GRM21BR71A225KA01</t>
  </si>
  <si>
    <t>LQW2BASR33J00</t>
  </si>
  <si>
    <t>BLM15PX181SN1</t>
  </si>
  <si>
    <t>GRM188R71H222KA01</t>
  </si>
  <si>
    <t>GRM155R60J474KE19</t>
  </si>
  <si>
    <t>GRM21A5C2E100JW01</t>
  </si>
  <si>
    <t>GCM1885C2A3R0BA16</t>
  </si>
  <si>
    <t>GCM1885C2A8R0BA16</t>
  </si>
  <si>
    <t>BLM18RK221SN1</t>
  </si>
  <si>
    <t>GRM31MR71H105KA88</t>
  </si>
  <si>
    <t>GRM1555C1H682GE01</t>
  </si>
  <si>
    <t>GRM188R71E104KA01</t>
  </si>
  <si>
    <t>GRM1885C1H270JA01</t>
  </si>
  <si>
    <t>GRM1885C1H201JA01</t>
  </si>
  <si>
    <t>GRM188R71H154KAC4</t>
  </si>
  <si>
    <t>GRM1885C1H560JA01</t>
  </si>
  <si>
    <t>GRM155R71H182KA01</t>
  </si>
  <si>
    <t>LQH32MN2R2K23</t>
  </si>
  <si>
    <t>GCM188R71C105KA64</t>
  </si>
  <si>
    <t>GCM155R72A222KA37</t>
  </si>
  <si>
    <t>GRM1555C1H750GA01</t>
  </si>
  <si>
    <t>LQP15MN12NG02</t>
  </si>
  <si>
    <t>GRM1555C1H120GA01</t>
  </si>
  <si>
    <t>LQW15ANR10J00</t>
  </si>
  <si>
    <t>GRM2165C1H332JA01</t>
  </si>
  <si>
    <t>GRM1885C1H181JA01</t>
  </si>
  <si>
    <t>GRM1885C1H120JA01</t>
  </si>
  <si>
    <t>GRM1555C1E5R6CA01</t>
  </si>
  <si>
    <t>GRM1885C1H332JA01</t>
  </si>
  <si>
    <t>GRM1885C1H221JA01</t>
  </si>
  <si>
    <t>GRM188R72A102KA01</t>
  </si>
  <si>
    <t>GRM1885C1H131JA01</t>
  </si>
  <si>
    <t>GCM1885C2A221JA16</t>
  </si>
  <si>
    <t>BLM18PG471SN1</t>
  </si>
  <si>
    <t>GRM1885C1H361JA01</t>
  </si>
  <si>
    <t>GRM219R7YA105KA12</t>
  </si>
  <si>
    <t>GRM1885C1H302JA01</t>
  </si>
  <si>
    <t>LQH32CN2R2M53</t>
  </si>
  <si>
    <t>GRM1885C1H150JA01</t>
  </si>
  <si>
    <t>GRM21BR71C105KA01</t>
  </si>
  <si>
    <t>GRM155R71H473KE14</t>
  </si>
  <si>
    <t>GRM1885C1H472JA01</t>
  </si>
  <si>
    <t>GRM216R71H223KA01</t>
  </si>
  <si>
    <t>GRM033R71E102KA01</t>
  </si>
  <si>
    <t>GQM1885C1H200JB01</t>
  </si>
  <si>
    <t>GCM1885C2A100JA16</t>
  </si>
  <si>
    <t>GRM1885C1H240JA01</t>
  </si>
  <si>
    <t>GRM188R61C225KE15</t>
  </si>
  <si>
    <t>LQW18AN22NJ00</t>
  </si>
  <si>
    <t>GRM1885C1H122JA01</t>
  </si>
  <si>
    <t>GRT188R61H225KE13</t>
  </si>
  <si>
    <t>GRM188R61H474KA12</t>
  </si>
  <si>
    <t>GRM188R71E682KA01</t>
  </si>
  <si>
    <t>GRM155R71C333KA01</t>
  </si>
  <si>
    <t>GRM3195C1H682JA01</t>
  </si>
  <si>
    <t>LQW18AN39NJ00</t>
  </si>
  <si>
    <t>GRM1555C1H100JA01</t>
  </si>
  <si>
    <t>GRM1555C2A101JA01</t>
  </si>
  <si>
    <t>GRM219R71H103KA01</t>
  </si>
  <si>
    <t>LQW18AN9N1D00</t>
  </si>
  <si>
    <t>GRM1555C1H330JA01</t>
  </si>
  <si>
    <t>GRM1555C1H5R0CA01</t>
  </si>
  <si>
    <t>GRM155R71C154KA12</t>
  </si>
  <si>
    <t>GRM188R71H563KA93</t>
  </si>
  <si>
    <t>GRM155R71H102JA01</t>
  </si>
  <si>
    <t>BLM18HE152SN1</t>
  </si>
  <si>
    <t>GRM033R61C393KE84</t>
  </si>
  <si>
    <t>GRM155R70J104KA01</t>
  </si>
  <si>
    <t>GRM155R71C102KA01</t>
  </si>
  <si>
    <t>GRM155R71H471KA01</t>
  </si>
  <si>
    <t>LQG15HS1N5S02</t>
  </si>
  <si>
    <t>GRM155R61A105KE01</t>
  </si>
  <si>
    <t>GRM188R71H471KA01</t>
  </si>
  <si>
    <t>GRM1555C1E120JA01</t>
  </si>
  <si>
    <t>GRM1555C1H301JA01</t>
  </si>
  <si>
    <t>GRM1555C1E180GA01</t>
  </si>
  <si>
    <t>GRM1552C1H120JA01</t>
  </si>
  <si>
    <t>GRM188R71E332KA01</t>
  </si>
  <si>
    <t>GRM188R61C106MA73</t>
  </si>
  <si>
    <t>LQW18ANR27J00</t>
  </si>
  <si>
    <t>GRM188R71H823JA93</t>
  </si>
  <si>
    <t>GCM155R71H472KA37</t>
  </si>
  <si>
    <t>GRM155R71A104JA01</t>
  </si>
  <si>
    <t>GRM188R71C105KE15</t>
  </si>
  <si>
    <t>GCM155R71H333KE02</t>
  </si>
  <si>
    <t>GRM1885C1H331JA01</t>
  </si>
  <si>
    <t>GRM155R70J103KA01</t>
  </si>
  <si>
    <t>GJM1555C1H5R6CB01</t>
  </si>
  <si>
    <t>LQG15HS6N8J02</t>
  </si>
  <si>
    <t>BLM21AG601SN1</t>
  </si>
  <si>
    <t>GRM155R71E682KA01</t>
  </si>
  <si>
    <t>GRM1555C1H681JA01</t>
  </si>
  <si>
    <t>GRM188R72A103KA01</t>
  </si>
  <si>
    <t>GRM1885C1H561JA01</t>
  </si>
  <si>
    <t>GRM31MR71E105KA01</t>
  </si>
  <si>
    <t>GCM1555C1H180JA16</t>
  </si>
  <si>
    <t>GRM155R71C223KA01</t>
  </si>
  <si>
    <t>GQM1885C1H101JB01</t>
  </si>
  <si>
    <t>GRM1555C1H6R8CA01</t>
  </si>
  <si>
    <t>LQW18CAR58J00</t>
  </si>
  <si>
    <t>GRM21BR61A106KE19</t>
  </si>
  <si>
    <t>GRM033R60J474KE90</t>
  </si>
  <si>
    <t>GRM1555C1H560GA01</t>
  </si>
  <si>
    <t>GRM1885C2A120JA01</t>
  </si>
  <si>
    <t>GRM1555C1H1R8BA01</t>
  </si>
  <si>
    <t>GRM1555C1H300GA01</t>
  </si>
  <si>
    <t>GRM033R71E103KE14</t>
  </si>
  <si>
    <t>HC-49S-22.1184-20-F-A</t>
  </si>
  <si>
    <t>NEL Frequency Controls</t>
  </si>
  <si>
    <t>NAUSB-W</t>
  </si>
  <si>
    <t>Neutrik</t>
  </si>
  <si>
    <t>92M-502(6P) gold</t>
  </si>
  <si>
    <t>New Tide</t>
  </si>
  <si>
    <t>74HC4017D</t>
  </si>
  <si>
    <t>BAT54A</t>
  </si>
  <si>
    <t>BC847BT</t>
  </si>
  <si>
    <t>BAV99-Q</t>
  </si>
  <si>
    <t>74HC10D</t>
  </si>
  <si>
    <t>74HC257D</t>
  </si>
  <si>
    <t>74HCT10D</t>
  </si>
  <si>
    <t>74HC04D</t>
  </si>
  <si>
    <t>BZV55-B5V1</t>
  </si>
  <si>
    <t>UWX1H2R2MCL2GB</t>
  </si>
  <si>
    <t>Nichicon</t>
  </si>
  <si>
    <t>UCD2A330MNL1GS</t>
  </si>
  <si>
    <t>UPM1V221MPD6</t>
  </si>
  <si>
    <t>222S60M12LH</t>
  </si>
  <si>
    <t>Nicomatic</t>
  </si>
  <si>
    <t>222S08M12LH</t>
  </si>
  <si>
    <t>222C08M46</t>
  </si>
  <si>
    <t>222S08M11</t>
  </si>
  <si>
    <t>ST-4ETA 20 Ohm (200)</t>
  </si>
  <si>
    <t>Nidec Copal Electronics</t>
  </si>
  <si>
    <t>BT2N-2M4-Z</t>
  </si>
  <si>
    <t>ST32ETA502</t>
  </si>
  <si>
    <t>SM-42TA104</t>
  </si>
  <si>
    <t>NX8045GE-3.579545MHz-STD-CJL-6</t>
  </si>
  <si>
    <t>Nihon Dempa Kogyo</t>
  </si>
  <si>
    <t>NX3215SA-32.768K-STD-MUA-8</t>
  </si>
  <si>
    <t>NX3225GA-20MHz-STD-CRG-2</t>
  </si>
  <si>
    <t>NMF-PC2S2C2-LCU-LCU-003</t>
  </si>
  <si>
    <t>Nikomax</t>
  </si>
  <si>
    <t>FQ14-7ZPK-8</t>
  </si>
  <si>
    <t>Ningbo Acit Electronic</t>
  </si>
  <si>
    <t>FQ14-9ZP-8S</t>
  </si>
  <si>
    <t>FQ18-5T-9</t>
  </si>
  <si>
    <t>FQ18-5ZP-10</t>
  </si>
  <si>
    <t>FQ18-5Z-S</t>
  </si>
  <si>
    <t>2PM18-7ZK2</t>
  </si>
  <si>
    <t>FBCTF1056 10A 250V</t>
  </si>
  <si>
    <t>Ningbo Best Group</t>
  </si>
  <si>
    <t>FBGTF1056 10A 250V</t>
  </si>
  <si>
    <t>FBGTF1056 1,25A 250V</t>
  </si>
  <si>
    <t>Ningbo FBELE Electronics</t>
  </si>
  <si>
    <t>FYLS-3528UYC</t>
  </si>
  <si>
    <t>Ningbo Foryard Optoelectronics</t>
  </si>
  <si>
    <t>MTS-103-A1</t>
  </si>
  <si>
    <t>Ningbo Jietong Electronic</t>
  </si>
  <si>
    <t>KLS12-RJ12-6P6C 01-E</t>
  </si>
  <si>
    <t>Ningbo KLS Electronic</t>
  </si>
  <si>
    <t>KLS1-DCP-02-2.1B</t>
  </si>
  <si>
    <t>KLS5-270-035</t>
  </si>
  <si>
    <t>KLS1-207-2-40-S</t>
  </si>
  <si>
    <t>L-KLS1-BIP-014-N-B</t>
  </si>
  <si>
    <t>KLS1-201Z-10-G-E</t>
  </si>
  <si>
    <t>Ningbo Kls Imp&amp;Exp</t>
  </si>
  <si>
    <t>EKXJ161ELL121MU20S</t>
  </si>
  <si>
    <t>Nippon Chemi-Con</t>
  </si>
  <si>
    <t>S421</t>
  </si>
  <si>
    <t>NKK Switches</t>
  </si>
  <si>
    <t>S421T</t>
  </si>
  <si>
    <t>S42</t>
  </si>
  <si>
    <t>680S3W3203L401</t>
  </si>
  <si>
    <t>NorComp</t>
  </si>
  <si>
    <t>680S3W3203L201</t>
  </si>
  <si>
    <t>680S3W3103L401</t>
  </si>
  <si>
    <t>970-025-030R121</t>
  </si>
  <si>
    <t>681M5W5203L001</t>
  </si>
  <si>
    <t>970-015-030R121</t>
  </si>
  <si>
    <t>680S3W3103L201</t>
  </si>
  <si>
    <t>681M13W3203L001</t>
  </si>
  <si>
    <t>680S13W3103L401</t>
  </si>
  <si>
    <t>160-067-010R033</t>
  </si>
  <si>
    <t>171-009-103L011</t>
  </si>
  <si>
    <t>SF6725</t>
  </si>
  <si>
    <t>171-009-103L021</t>
  </si>
  <si>
    <t>Jetson Nano</t>
  </si>
  <si>
    <t>NVIDIA</t>
  </si>
  <si>
    <t>BTA140-800</t>
  </si>
  <si>
    <t>BAV99</t>
  </si>
  <si>
    <t>BZX84J-B5V1.115</t>
  </si>
  <si>
    <t>BAS416</t>
  </si>
  <si>
    <t>BC857</t>
  </si>
  <si>
    <t>74HC573D</t>
  </si>
  <si>
    <t>BZV55-C4V7</t>
  </si>
  <si>
    <t>BCX53T</t>
  </si>
  <si>
    <t>BC847BPN</t>
  </si>
  <si>
    <t>KTY81/121</t>
  </si>
  <si>
    <t>BeagleBone Blue OSD3358</t>
  </si>
  <si>
    <t>Octavo Systems LLC</t>
  </si>
  <si>
    <t>K12YAR-PD8WJG0-0000</t>
  </si>
  <si>
    <t>ODU</t>
  </si>
  <si>
    <t>FCSL110R010FE</t>
  </si>
  <si>
    <t>Ohmite</t>
  </si>
  <si>
    <t>LVK20R050DE</t>
  </si>
  <si>
    <t>PCS1206DR0500E</t>
  </si>
  <si>
    <t>HCPL2630SD</t>
  </si>
  <si>
    <t>MC33275MN-5.0R2G</t>
  </si>
  <si>
    <t>NCV4276DSADJR4G</t>
  </si>
  <si>
    <t>MC33275MN-3.3R2G</t>
  </si>
  <si>
    <t>FSV2060L</t>
  </si>
  <si>
    <t>FAN3100TSX</t>
  </si>
  <si>
    <t>NCV4276DS50R4G</t>
  </si>
  <si>
    <t>NCV4276DS33R4G</t>
  </si>
  <si>
    <t>74ACT14SC</t>
  </si>
  <si>
    <t>MC74AC74DG</t>
  </si>
  <si>
    <t>MMBZ27VCLT1G</t>
  </si>
  <si>
    <t>SZMM5Z5V1T1G</t>
  </si>
  <si>
    <t>1N5339BRLG</t>
  </si>
  <si>
    <t>MC34152DG</t>
  </si>
  <si>
    <t>74VHC273M</t>
  </si>
  <si>
    <t>MAX803SQ463T1G</t>
  </si>
  <si>
    <t>LL4148</t>
  </si>
  <si>
    <t>MBR40250G</t>
  </si>
  <si>
    <t>BC857CLT1G</t>
  </si>
  <si>
    <t>FSUSB74MPX</t>
  </si>
  <si>
    <t>MMSZ5242BT1G</t>
  </si>
  <si>
    <t>MC7812ACTG</t>
  </si>
  <si>
    <t>CAT93C66VI-G</t>
  </si>
  <si>
    <t>MC79L12ABPG</t>
  </si>
  <si>
    <t>MC74HC595ADG</t>
  </si>
  <si>
    <t>1N5822</t>
  </si>
  <si>
    <t>1N4148</t>
  </si>
  <si>
    <t>NC7WZ07P6X</t>
  </si>
  <si>
    <t>RFL-300G3</t>
  </si>
  <si>
    <t>Oshino Lamps</t>
  </si>
  <si>
    <t>BPW 34</t>
  </si>
  <si>
    <t>Osram</t>
  </si>
  <si>
    <t>EEEFK1H101P</t>
  </si>
  <si>
    <t>ERJ8BWFR051</t>
  </si>
  <si>
    <t>EEUEE2V470</t>
  </si>
  <si>
    <t>EXCCET103U</t>
  </si>
  <si>
    <t>ERJ1TYJ102</t>
  </si>
  <si>
    <t>ELKEA333FA</t>
  </si>
  <si>
    <t>ERJ3EKF3012</t>
  </si>
  <si>
    <t>EEEFK1V221P</t>
  </si>
  <si>
    <t>EXC3BB221H</t>
  </si>
  <si>
    <t>EXB2HV220J</t>
  </si>
  <si>
    <t>EXB2HV560J</t>
  </si>
  <si>
    <t>ERJ2BQFR68</t>
  </si>
  <si>
    <t>ECKTBC472MF</t>
  </si>
  <si>
    <t>ERJB2CFR01</t>
  </si>
  <si>
    <t>ERA2AEB104</t>
  </si>
  <si>
    <t>ERJ8GEYJ101</t>
  </si>
  <si>
    <t>ERJ6DQF8R2</t>
  </si>
  <si>
    <t>ERJ3EKF2870</t>
  </si>
  <si>
    <t>ERJ3EKF4751</t>
  </si>
  <si>
    <t>ERJ8GEY0R00</t>
  </si>
  <si>
    <t>ERJ3EKF3162</t>
  </si>
  <si>
    <t>EEUED2W220S</t>
  </si>
  <si>
    <t>ERJ8BWFR012</t>
  </si>
  <si>
    <t>ERJ8ENF49R9</t>
  </si>
  <si>
    <t>ERJ3EKF9312</t>
  </si>
  <si>
    <t>EEUFR1E221</t>
  </si>
  <si>
    <t>ERJ2RKF5901</t>
  </si>
  <si>
    <t>ERJ2RKF1542</t>
  </si>
  <si>
    <t>ERJ2RKF1821</t>
  </si>
  <si>
    <t>ERJ3EKF24R9</t>
  </si>
  <si>
    <t>ERJ3EKF3570</t>
  </si>
  <si>
    <t>ECA1JM470</t>
  </si>
  <si>
    <t>ERJ2RKF1000</t>
  </si>
  <si>
    <t>ERJ3GEYJ330</t>
  </si>
  <si>
    <t>ERJ14RQJ8R2</t>
  </si>
  <si>
    <t>EEUFR1C101</t>
  </si>
  <si>
    <t>ERJ12ZYJ510</t>
  </si>
  <si>
    <t>ERJ3EKF4991</t>
  </si>
  <si>
    <t>ERJ2RKF1004</t>
  </si>
  <si>
    <t>ERJ2RKF1003</t>
  </si>
  <si>
    <t>ERJ3EKF1002</t>
  </si>
  <si>
    <t>ERJ3GEYJ121</t>
  </si>
  <si>
    <t>ERJ3EKF6490</t>
  </si>
  <si>
    <t>ERJ3EKF1001</t>
  </si>
  <si>
    <t>ERJ3EKF1210</t>
  </si>
  <si>
    <t>ERJ3EKF3010</t>
  </si>
  <si>
    <t>ERJ3EKF1650</t>
  </si>
  <si>
    <t>ERJ3EKF1690</t>
  </si>
  <si>
    <t>ERJ3GEYJ1R0</t>
  </si>
  <si>
    <t>ERJ3EKF51R0</t>
  </si>
  <si>
    <t>ERJ2RKF2000</t>
  </si>
  <si>
    <t>ERJ3EKF51R1</t>
  </si>
  <si>
    <t>ERJ2RKF3301</t>
  </si>
  <si>
    <t>SK32</t>
  </si>
  <si>
    <t>Panjit International</t>
  </si>
  <si>
    <t>L-C191JGC</t>
  </si>
  <si>
    <t>Para Light</t>
  </si>
  <si>
    <t>L-C191LBC</t>
  </si>
  <si>
    <t>L-C191YC</t>
  </si>
  <si>
    <t>L-C170KRCT</t>
  </si>
  <si>
    <t>P6LG-0505E</t>
  </si>
  <si>
    <t>Peak electronics</t>
  </si>
  <si>
    <t>FRONT-MSTB 2,5/10-STF - 1779725</t>
  </si>
  <si>
    <t>Phoenix Contact</t>
  </si>
  <si>
    <t>MC 1,5/4-STF-3,5-1847071</t>
  </si>
  <si>
    <t>MCVR 1,5/2-STF-3,5-1863301</t>
  </si>
  <si>
    <t>SACC-DSIV-FS-8CON-L180-10G SCO-1440669</t>
  </si>
  <si>
    <t>SACC-E-M12MS-8CON-M16/0,5 VA-1405221</t>
  </si>
  <si>
    <t>MC 1,5/2-STF-3,5-1847055</t>
  </si>
  <si>
    <t>MCV 1,5/4-GF-3,5-1843240</t>
  </si>
  <si>
    <t>MVSTBR 2,5/10-STF - 1835559</t>
  </si>
  <si>
    <t>MKDS 10 HV/2-ZB-10,16 1709681</t>
  </si>
  <si>
    <t>SACC-M12MS-5CON-PG 7-VA-1553187</t>
  </si>
  <si>
    <t>MSTB 2,5/ 2-STF - 1786831</t>
  </si>
  <si>
    <t>FMC 1,5/6-STF-3,81</t>
  </si>
  <si>
    <t>SACC-M12MRD-4Q-SH</t>
  </si>
  <si>
    <t>FMC 1,5/2-STF-3,81</t>
  </si>
  <si>
    <t>MKDS 5 HV/2-9,52 1902547</t>
  </si>
  <si>
    <t>SACC-M12MSD-4CON-PG 9-SH-1521261</t>
  </si>
  <si>
    <t>SACC-M12FR-5PL-1424690</t>
  </si>
  <si>
    <t>UM-PRO PCB C-LOCK L2 BK 2200165</t>
  </si>
  <si>
    <t>MKDS 1/5-3,81</t>
  </si>
  <si>
    <t>PSB 54/14</t>
  </si>
  <si>
    <t>Powersem</t>
  </si>
  <si>
    <t>90153-AS</t>
  </si>
  <si>
    <t>Preci-dip</t>
  </si>
  <si>
    <t>853-87-014-10-001101</t>
  </si>
  <si>
    <t>BNC 05-3301-4</t>
  </si>
  <si>
    <t>ProConnect</t>
  </si>
  <si>
    <t>AI-1223-TWT-5V-R</t>
  </si>
  <si>
    <t>Projects Unlimited</t>
  </si>
  <si>
    <t>HX5120NL</t>
  </si>
  <si>
    <t>CX2041</t>
  </si>
  <si>
    <t>H1164NL</t>
  </si>
  <si>
    <t>RFSW1012</t>
  </si>
  <si>
    <t>Qorvo</t>
  </si>
  <si>
    <t>RFSA2013</t>
  </si>
  <si>
    <t>L86-M33</t>
  </si>
  <si>
    <t>Quectel Wireless Solutions</t>
  </si>
  <si>
    <t>SMA R125 411 000</t>
  </si>
  <si>
    <t>Radiall</t>
  </si>
  <si>
    <t>N-BNC R191 419 000</t>
  </si>
  <si>
    <t>1300820850300GX (R163 068 L01/ SHF8/ R163 198 L01/ 300 mm)</t>
  </si>
  <si>
    <t>N R161 082 000</t>
  </si>
  <si>
    <t>SMP R222 561 001</t>
  </si>
  <si>
    <t>SMA R125 075 000</t>
  </si>
  <si>
    <t>R125 705 000</t>
  </si>
  <si>
    <t>SMA R125 460 000</t>
  </si>
  <si>
    <t>N-50 R161 022 000</t>
  </si>
  <si>
    <t>R280 751 000</t>
  </si>
  <si>
    <t>N-611T-2WQ</t>
  </si>
  <si>
    <t>Radiolab</t>
  </si>
  <si>
    <t>SMA S-111L</t>
  </si>
  <si>
    <t>TNC T-241F</t>
  </si>
  <si>
    <t>SMA S-231L</t>
  </si>
  <si>
    <t>SMA S-121L</t>
  </si>
  <si>
    <t>E2801LF (GR-253-CORE-20M)</t>
  </si>
  <si>
    <t>Rakon</t>
  </si>
  <si>
    <t>E7157LF</t>
  </si>
  <si>
    <t>RTL8211F1-CG</t>
  </si>
  <si>
    <t>Realtek Semiconductor</t>
  </si>
  <si>
    <t>RTL8201F-VB-CG</t>
  </si>
  <si>
    <t>PS2501L-1</t>
  </si>
  <si>
    <t>Renesas Electronics</t>
  </si>
  <si>
    <t>GX16K3S</t>
  </si>
  <si>
    <t>Renhotec</t>
  </si>
  <si>
    <t>05-3075</t>
  </si>
  <si>
    <t>Rexant</t>
  </si>
  <si>
    <t>05-1201</t>
  </si>
  <si>
    <t>RKP-GY-282-HMC5983</t>
  </si>
  <si>
    <t>Robot Kit Product</t>
  </si>
  <si>
    <t>EMX4T2R</t>
  </si>
  <si>
    <t>ROHM</t>
  </si>
  <si>
    <t>32S206-271L5</t>
  </si>
  <si>
    <t>Rosenberger</t>
  </si>
  <si>
    <t>SMA 32K601-272L5</t>
  </si>
  <si>
    <t>BNC 51S101-272B5</t>
  </si>
  <si>
    <t>SMA-SMA 32K601-K00L5</t>
  </si>
  <si>
    <t>SMP 19S181-5H0E4</t>
  </si>
  <si>
    <t>N 53K504-272N5</t>
  </si>
  <si>
    <t>N 53S205-315N5</t>
  </si>
  <si>
    <t>32S15R-1.0E3</t>
  </si>
  <si>
    <t>N-BNC 53S151-K00N5</t>
  </si>
  <si>
    <t>SMA 32K101-400L5</t>
  </si>
  <si>
    <t>SMP 19K101-271L5</t>
  </si>
  <si>
    <t>SMP-SMP 19K119-K38L5</t>
  </si>
  <si>
    <t>776-9135</t>
  </si>
  <si>
    <t>RS Components</t>
  </si>
  <si>
    <t>400BXW47MEFR12.5x30</t>
  </si>
  <si>
    <t>Rubycon</t>
  </si>
  <si>
    <t>450BXW27MEFR12.5X25</t>
  </si>
  <si>
    <t>16YXS10000MEFC18X35.5</t>
  </si>
  <si>
    <t>RC2012F102CS</t>
  </si>
  <si>
    <t>Samsung Electronics</t>
  </si>
  <si>
    <t>CL21B223KBANNN</t>
  </si>
  <si>
    <t>CL21B105KBFNNN</t>
  </si>
  <si>
    <t>TEMS-110-02-03.0-H-D</t>
  </si>
  <si>
    <t>Samtec</t>
  </si>
  <si>
    <t>HCMD-05-T-03.00-01-S</t>
  </si>
  <si>
    <t>HCSD-05-S-02.00-01</t>
  </si>
  <si>
    <t>ERF8-013-05.0-S-DV</t>
  </si>
  <si>
    <t>FTSH-105-01-F-D-K</t>
  </si>
  <si>
    <t>FTS-103-03-L-DV</t>
  </si>
  <si>
    <t>SOLC-120-02-F-Q-A</t>
  </si>
  <si>
    <t>ERF8-010-05.0-S-DV-K</t>
  </si>
  <si>
    <t>TEMS-130-02-07.0-H-D-A</t>
  </si>
  <si>
    <t>TW-10-07-T-D-192-SM-A</t>
  </si>
  <si>
    <t>SO-0318-04-02-02</t>
  </si>
  <si>
    <t>QSH-060-01-L-D-DP</t>
  </si>
  <si>
    <t>USB-A-D-S-B-TH</t>
  </si>
  <si>
    <t>ERF8-020-05.0-S-DV</t>
  </si>
  <si>
    <t>36-738-29</t>
  </si>
  <si>
    <t>Schneider Electric</t>
  </si>
  <si>
    <t>BLNRS441121</t>
  </si>
  <si>
    <t>6061-X-3330-B-140</t>
  </si>
  <si>
    <t>Schurter</t>
  </si>
  <si>
    <t>VG7050EAN-SM18T007-CJGLPF3</t>
  </si>
  <si>
    <t>Seiko Epson</t>
  </si>
  <si>
    <t>SG-8002JA 33.333MHz P C M</t>
  </si>
  <si>
    <t>X1G0044510004</t>
  </si>
  <si>
    <t>SG8002CA 24.000MHZ-SCM</t>
  </si>
  <si>
    <t>SG3225VAN156.250000MHzKEGA</t>
  </si>
  <si>
    <t>SKB 50/08 A3</t>
  </si>
  <si>
    <t>Semikron</t>
  </si>
  <si>
    <t>LL4007</t>
  </si>
  <si>
    <t>Semtech</t>
  </si>
  <si>
    <t>SHT20</t>
  </si>
  <si>
    <t>Sensirion</t>
  </si>
  <si>
    <t>BL0937</t>
  </si>
  <si>
    <t>Shanghai Belling</t>
  </si>
  <si>
    <t>BNC-C59P</t>
  </si>
  <si>
    <t>Shanghai Rui Chi S&amp;T</t>
  </si>
  <si>
    <t>PC817X4NSZ0F</t>
  </si>
  <si>
    <t>Sharp</t>
  </si>
  <si>
    <t>IRLML0040TRPbF</t>
  </si>
  <si>
    <t>Shenzhen Hottech Electronics</t>
  </si>
  <si>
    <t>RI2512LR010F</t>
  </si>
  <si>
    <t>RIS001-PH1C</t>
  </si>
  <si>
    <t>Shenzhen Renice Technology</t>
  </si>
  <si>
    <t>RGBYW0</t>
  </si>
  <si>
    <t>Shenzhen Ruichi Electronics</t>
  </si>
  <si>
    <t>mmCX-M/SMA-F RG-178U 15CM</t>
  </si>
  <si>
    <t>USB-C 24PM-024</t>
  </si>
  <si>
    <t>DB-25F</t>
  </si>
  <si>
    <t>Orange Pi 4 LTS 4GB/16GB eMMC</t>
  </si>
  <si>
    <t>Shenzhen Xunlong Software</t>
  </si>
  <si>
    <t>X321532768KGD2SI</t>
  </si>
  <si>
    <t>Shenzhen Yangxing Technology</t>
  </si>
  <si>
    <t>X503212MQB4SI</t>
  </si>
  <si>
    <t>NC11278C-618</t>
  </si>
  <si>
    <t>Shijiazhuang METDA Electronic Technology</t>
  </si>
  <si>
    <t>16000\SMD05032C4\S\10\30/-40 85C\SMD0503(4P)\1</t>
  </si>
  <si>
    <t>Shoulder Electronics</t>
  </si>
  <si>
    <t>SOC5-20.000-50-3.3-E-TRI</t>
  </si>
  <si>
    <t>166000.5</t>
  </si>
  <si>
    <t>SIBA</t>
  </si>
  <si>
    <t>C150-BLK</t>
  </si>
  <si>
    <t>Sifam Meters</t>
  </si>
  <si>
    <t>SI5341B-D-GM</t>
  </si>
  <si>
    <t>Silicon Laboratories</t>
  </si>
  <si>
    <t>SIM3C167-B-GQ</t>
  </si>
  <si>
    <t>550CE100M000DG</t>
  </si>
  <si>
    <t>SI53301-B-GM</t>
  </si>
  <si>
    <t>SI8540</t>
  </si>
  <si>
    <t>CP2200-GQ</t>
  </si>
  <si>
    <t>SPX5205M5-1.8</t>
  </si>
  <si>
    <t>Sipex Corporation</t>
  </si>
  <si>
    <t>SPX5205M5-3.3</t>
  </si>
  <si>
    <t>SiT8008BI-13-33E-17.734470</t>
  </si>
  <si>
    <t>SiTime</t>
  </si>
  <si>
    <t>930 308-100</t>
  </si>
  <si>
    <t>SKS Kontakttechnik</t>
  </si>
  <si>
    <t>APD0805-000</t>
  </si>
  <si>
    <t>Skyworks Solutions</t>
  </si>
  <si>
    <t>APD1510-000</t>
  </si>
  <si>
    <t>511BCA156M250AAG</t>
  </si>
  <si>
    <t>RK1233N1-B1K</t>
  </si>
  <si>
    <t>Song Huei Electric</t>
  </si>
  <si>
    <t>16T1-B10K, L-20 F</t>
  </si>
  <si>
    <t>SRD-05VDS-SL-C</t>
  </si>
  <si>
    <t>Songle Relay</t>
  </si>
  <si>
    <t>M85049/19 11N 03</t>
  </si>
  <si>
    <t>Souriau</t>
  </si>
  <si>
    <t>M85049/19 11W 03</t>
  </si>
  <si>
    <t>8D0-23W35SN</t>
  </si>
  <si>
    <t>8D5-19W35SN</t>
  </si>
  <si>
    <t>M85049/19 19W 07</t>
  </si>
  <si>
    <t>D38999/32W11N</t>
  </si>
  <si>
    <t>UTS6JC10E6S</t>
  </si>
  <si>
    <t>ARV-1700-LF-XGA1-LS</t>
  </si>
  <si>
    <t>Spectrah Dynamics</t>
  </si>
  <si>
    <t>OSD-470-LF-A1.2</t>
  </si>
  <si>
    <t>9S127M-25</t>
  </si>
  <si>
    <t>Standa</t>
  </si>
  <si>
    <t>64.9294-21</t>
  </si>
  <si>
    <t>Staubli Electrical Connectors</t>
  </si>
  <si>
    <t>64.9294-22</t>
  </si>
  <si>
    <t>STM32F427VIT6</t>
  </si>
  <si>
    <t>LD1086DT33</t>
  </si>
  <si>
    <t>STM32H745ZIT6</t>
  </si>
  <si>
    <t>STM32F446RCT6</t>
  </si>
  <si>
    <t>STM32L412KBU6</t>
  </si>
  <si>
    <t>ST-LINK/V2</t>
  </si>
  <si>
    <t>STM32F303RET6</t>
  </si>
  <si>
    <t>L79L05ABZ</t>
  </si>
  <si>
    <t>LD1086DT50</t>
  </si>
  <si>
    <t>SMAJ8.5CA</t>
  </si>
  <si>
    <t>STM32L151CCU6</t>
  </si>
  <si>
    <t>LD1117S12</t>
  </si>
  <si>
    <t>STM32F407VGT6</t>
  </si>
  <si>
    <t>BAS70J</t>
  </si>
  <si>
    <t>STM32F407G-DISC1</t>
  </si>
  <si>
    <t>STB28NM50N</t>
  </si>
  <si>
    <t>LDK320AM30R</t>
  </si>
  <si>
    <t>STPS3045DJFY</t>
  </si>
  <si>
    <t>STM32L433CCT6</t>
  </si>
  <si>
    <t>BTB41-800B</t>
  </si>
  <si>
    <t>1.5KE33CA</t>
  </si>
  <si>
    <t>STC3100IST</t>
  </si>
  <si>
    <t>STM32F205RET6</t>
  </si>
  <si>
    <t>1N5908</t>
  </si>
  <si>
    <t>L79L12ACU</t>
  </si>
  <si>
    <t>SMCJ70CA</t>
  </si>
  <si>
    <t>L7812ABD2T</t>
  </si>
  <si>
    <t>M95040-WMN6TP</t>
  </si>
  <si>
    <t>L7805ABD2T</t>
  </si>
  <si>
    <t>2STN2540</t>
  </si>
  <si>
    <t>STP16CP05T</t>
  </si>
  <si>
    <t>USBLC6-2SC6</t>
  </si>
  <si>
    <t>L78L12ABU</t>
  </si>
  <si>
    <t>L79L12ABZ</t>
  </si>
  <si>
    <t>LD1117AS33</t>
  </si>
  <si>
    <t>1.5KE110A</t>
  </si>
  <si>
    <t>BWB 5/8-18</t>
  </si>
  <si>
    <t>Subconn</t>
  </si>
  <si>
    <t>GRPB052MWCN-RC</t>
  </si>
  <si>
    <t>Sullins Connector Solutions</t>
  </si>
  <si>
    <t>CDRH127ВNP-820MC</t>
  </si>
  <si>
    <t>Sumida</t>
  </si>
  <si>
    <t>RCH114NP-122KB</t>
  </si>
  <si>
    <t>CDRH5D28NP-150NC</t>
  </si>
  <si>
    <t>CDRH74NP-101MC-B</t>
  </si>
  <si>
    <t>R04J-37PIJ</t>
  </si>
  <si>
    <t>Sunkye</t>
  </si>
  <si>
    <t>R04A-9PIFA3N02</t>
  </si>
  <si>
    <t>R04JS-37PIJ</t>
  </si>
  <si>
    <t>RL3720WT-R004-F</t>
  </si>
  <si>
    <t>Susumu</t>
  </si>
  <si>
    <t>PRL1220-R033-F</t>
  </si>
  <si>
    <t>XC63G2-24.000-F16JJHPG</t>
  </si>
  <si>
    <t>Suzhou Hangjing Elec&amp;Tech</t>
  </si>
  <si>
    <t>MPZ100-50803</t>
  </si>
  <si>
    <t>SwitchLab</t>
  </si>
  <si>
    <t>D16PLS1-000KG</t>
  </si>
  <si>
    <t>MB332-381M-03P</t>
  </si>
  <si>
    <t>FQ24-6pin ZK</t>
  </si>
  <si>
    <t>SZC-Connector</t>
  </si>
  <si>
    <t>FQ14-2pin ZK</t>
  </si>
  <si>
    <t>FQ14-2pin TJ-8</t>
  </si>
  <si>
    <t>FQ14-3pin ZPJ-8</t>
  </si>
  <si>
    <t>TA1149A</t>
  </si>
  <si>
    <t>Tai-Saw Technology</t>
  </si>
  <si>
    <t>HC-49SM 12.000 MHz</t>
  </si>
  <si>
    <t>TOS-5161AMG-N</t>
  </si>
  <si>
    <t>Taiwan Oasis Technology</t>
  </si>
  <si>
    <t>TO-1608BC-BF</t>
  </si>
  <si>
    <t>TO-1608BC-MYF</t>
  </si>
  <si>
    <t>HKQ0603S3N3C</t>
  </si>
  <si>
    <t>HKQ0603S2N0C</t>
  </si>
  <si>
    <t>NRS3015T 2R2MNGH</t>
  </si>
  <si>
    <t>LBM2016T120J</t>
  </si>
  <si>
    <t>NR3015T2R2M</t>
  </si>
  <si>
    <t>UMK107AB7105KA</t>
  </si>
  <si>
    <t>TSS M16B</t>
  </si>
  <si>
    <t>Tapper Sealing Technology</t>
  </si>
  <si>
    <t>B82496C3470G000</t>
  </si>
  <si>
    <t>B82496C3560G000</t>
  </si>
  <si>
    <t>B82496C3339J000</t>
  </si>
  <si>
    <t>B82496C3220G000</t>
  </si>
  <si>
    <t>B82496C3270G000</t>
  </si>
  <si>
    <t>B82464A2683K000</t>
  </si>
  <si>
    <t>B82422T1271J000</t>
  </si>
  <si>
    <t>B82422T1471J000</t>
  </si>
  <si>
    <t>B82464A2333K000</t>
  </si>
  <si>
    <t>B82496C3279Z000</t>
  </si>
  <si>
    <t>В82471А1103М000</t>
  </si>
  <si>
    <t>B40940A8127M000</t>
  </si>
  <si>
    <t>C5750X7R1H225K160KM</t>
  </si>
  <si>
    <t>B41456B8229M000</t>
  </si>
  <si>
    <t>B41456B9109M000</t>
  </si>
  <si>
    <t>B82422A3121K100</t>
  </si>
  <si>
    <t>B82422T1331J000</t>
  </si>
  <si>
    <t>B82422H1334J000</t>
  </si>
  <si>
    <t>B41895G6477M000</t>
  </si>
  <si>
    <t>B41505A4229M000</t>
  </si>
  <si>
    <t>B82498F3680G000</t>
  </si>
  <si>
    <t>B32778G1206K000</t>
  </si>
  <si>
    <t>B32522C0225K000</t>
  </si>
  <si>
    <t>B82422H1102K000</t>
  </si>
  <si>
    <t>B82496C3569Z000</t>
  </si>
  <si>
    <t>C4532X7R1H685K250KB</t>
  </si>
  <si>
    <t>B82464P4153M000</t>
  </si>
  <si>
    <t>B41858C9687M000</t>
  </si>
  <si>
    <t>B57863S0103F040</t>
  </si>
  <si>
    <t>B82442H1104K000</t>
  </si>
  <si>
    <t>B82422H1154J000</t>
  </si>
  <si>
    <t>B78476A8135A003</t>
  </si>
  <si>
    <t>B82472G4473M000</t>
  </si>
  <si>
    <t>CT1812K30</t>
  </si>
  <si>
    <t>B82422H1333K000</t>
  </si>
  <si>
    <t>B82720S2102N040</t>
  </si>
  <si>
    <t>B82464A2153K000</t>
  </si>
  <si>
    <t>B82496C3390J000</t>
  </si>
  <si>
    <t>B82422T1471K000</t>
  </si>
  <si>
    <t>B82464G4104M000</t>
  </si>
  <si>
    <t>B41858C6227M000</t>
  </si>
  <si>
    <t>B82422H1104J000</t>
  </si>
  <si>
    <t>B82464A4223K000</t>
  </si>
  <si>
    <t>B32774D4106K000</t>
  </si>
  <si>
    <t>B32529C0474J</t>
  </si>
  <si>
    <t>B82806D0060A050</t>
  </si>
  <si>
    <t>B64290L0058X830</t>
  </si>
  <si>
    <t>B82494A1333</t>
  </si>
  <si>
    <t>B82496C3150J000</t>
  </si>
  <si>
    <t>C0603C0G1E6R8D030BA</t>
  </si>
  <si>
    <t>B57234S0109M000</t>
  </si>
  <si>
    <t>B82498F3331J000</t>
  </si>
  <si>
    <t>B82422H1473K000</t>
  </si>
  <si>
    <t>B82442H1225K000</t>
  </si>
  <si>
    <t>B82442T1222K000</t>
  </si>
  <si>
    <t>B41121A6107M000</t>
  </si>
  <si>
    <t>C1608X5R1C475K080AC</t>
  </si>
  <si>
    <t>B82498F3150J000</t>
  </si>
  <si>
    <t>C5750X7R2A335K230KA</t>
  </si>
  <si>
    <t>CLF10040T-1R5N-D</t>
  </si>
  <si>
    <t>B32529E6104J</t>
  </si>
  <si>
    <t>B64290L0647X087</t>
  </si>
  <si>
    <t>B82496C3689Z000</t>
  </si>
  <si>
    <t>B41821A6477M000</t>
  </si>
  <si>
    <t>B32923C3105K000</t>
  </si>
  <si>
    <t>CT1210K40G</t>
  </si>
  <si>
    <t>C3216X5R1V226M160AC</t>
  </si>
  <si>
    <t>B82422H1684K000</t>
  </si>
  <si>
    <t>B82498F3561G000</t>
  </si>
  <si>
    <t>B82476A1104M000</t>
  </si>
  <si>
    <t>C2012X7R1A475K125AC</t>
  </si>
  <si>
    <t>SLF10145T-470M1R4-PF</t>
  </si>
  <si>
    <t>SLF10145T-220M1R9-PF</t>
  </si>
  <si>
    <t>B82498F3221J000</t>
  </si>
  <si>
    <t>HHM1711Q1</t>
  </si>
  <si>
    <t>C1005NP01H150J050BA</t>
  </si>
  <si>
    <t>B32522C0105J000</t>
  </si>
  <si>
    <t>B72207S0350K101</t>
  </si>
  <si>
    <t>MPZ1608S260ATDH5</t>
  </si>
  <si>
    <t>B32922C3474K000</t>
  </si>
  <si>
    <t>C3225X7R2A225K230AB</t>
  </si>
  <si>
    <t>C1005X7R1C103K050BA</t>
  </si>
  <si>
    <t>B32922H3104K000</t>
  </si>
  <si>
    <t>B82498F3151J000</t>
  </si>
  <si>
    <t>MLZ1608M100WT000</t>
  </si>
  <si>
    <t>C1005X5R1C105K050BC</t>
  </si>
  <si>
    <t>CGB3B1X5R1A475K055AC</t>
  </si>
  <si>
    <t>CGA3E2C0G1H330J080AA</t>
  </si>
  <si>
    <t>C1608X7R1H103K080AA</t>
  </si>
  <si>
    <t>CGA3E2C0G1H681J080AA</t>
  </si>
  <si>
    <t>CGA3E2X7R1H333K080AA</t>
  </si>
  <si>
    <t>CGA3E2C0G1H331J080AA</t>
  </si>
  <si>
    <t>CGA3E2C0G1H151J080AA</t>
  </si>
  <si>
    <t>C1005X7R1H104K</t>
  </si>
  <si>
    <t>226537-1</t>
  </si>
  <si>
    <t>RN73С2B10KB</t>
  </si>
  <si>
    <t>RN73C1J11K8B</t>
  </si>
  <si>
    <t>RN73C2A1K0B</t>
  </si>
  <si>
    <t>RN73C2A1K54B</t>
  </si>
  <si>
    <t>RN73C2A2K94B</t>
  </si>
  <si>
    <t>RN73C2A3K92B</t>
  </si>
  <si>
    <t>RN73C1J76K8B</t>
  </si>
  <si>
    <t>RN73C1J294RB</t>
  </si>
  <si>
    <t>AMP 1534238-1</t>
  </si>
  <si>
    <t>RN73C2A3K01B</t>
  </si>
  <si>
    <t>RN73C2A243RB</t>
  </si>
  <si>
    <t>RN73C2A931RB</t>
  </si>
  <si>
    <t>RN73C1J182KB</t>
  </si>
  <si>
    <t>RN73C1J56R2B</t>
  </si>
  <si>
    <t>RN73C1J2K74B</t>
  </si>
  <si>
    <t>RN73C2A3K24B</t>
  </si>
  <si>
    <t>RN73C2A4K75B</t>
  </si>
  <si>
    <t>RN73C2A3K32B</t>
  </si>
  <si>
    <t>RN73C1J11K3B</t>
  </si>
  <si>
    <t>RN73C2A2K21B</t>
  </si>
  <si>
    <t>RN73C1J221RB</t>
  </si>
  <si>
    <t>RN73C1J24K3B</t>
  </si>
  <si>
    <t>5-747905-2</t>
  </si>
  <si>
    <t>RN73C1J5K76B</t>
  </si>
  <si>
    <t>RN73C2A2K37B</t>
  </si>
  <si>
    <t>AMPMODU 280373-2</t>
  </si>
  <si>
    <t>RN73C2A169KB</t>
  </si>
  <si>
    <t>RN73C2A3K65B</t>
  </si>
  <si>
    <t>RN73C2A6K65B</t>
  </si>
  <si>
    <t>382A012-15-0</t>
  </si>
  <si>
    <t>1-111446-4</t>
  </si>
  <si>
    <t>RN73C1J4K02B</t>
  </si>
  <si>
    <t>RN73C2A19K6B</t>
  </si>
  <si>
    <t>RN73C1J7K87B</t>
  </si>
  <si>
    <t>CPF0603B240RE1</t>
  </si>
  <si>
    <t>646502-6</t>
  </si>
  <si>
    <t>2318043-2</t>
  </si>
  <si>
    <t>RN73C1J3K65B</t>
  </si>
  <si>
    <t>RN73C2A3K09B</t>
  </si>
  <si>
    <t>RN73C1J2K49B</t>
  </si>
  <si>
    <t>206966-7</t>
  </si>
  <si>
    <t>3213X501M</t>
  </si>
  <si>
    <t>RN73C2A68K1B</t>
  </si>
  <si>
    <t>3213X102M</t>
  </si>
  <si>
    <t>RN73A2A4K02B</t>
  </si>
  <si>
    <t>RN73C1J66K5B</t>
  </si>
  <si>
    <t>RN73C1J499KB</t>
  </si>
  <si>
    <t>RN73C1J15K4B</t>
  </si>
  <si>
    <t>AMP 929990-1</t>
  </si>
  <si>
    <t>1-1703818-1</t>
  </si>
  <si>
    <t>292304-1</t>
  </si>
  <si>
    <t>RN73C1J1K62B</t>
  </si>
  <si>
    <t>RN73C1J14K3B</t>
  </si>
  <si>
    <t>188835-1</t>
  </si>
  <si>
    <t>AMPMODU 280372-2</t>
  </si>
  <si>
    <t>RN73C2A1K47B</t>
  </si>
  <si>
    <t>RN73C1J196RB</t>
  </si>
  <si>
    <t>RN73C1J5K11B</t>
  </si>
  <si>
    <t>RN73C1J523RB</t>
  </si>
  <si>
    <t>RN73C1J3K32B</t>
  </si>
  <si>
    <t>T9GS1L14-24</t>
  </si>
  <si>
    <t>RN73C2A560RB</t>
  </si>
  <si>
    <t>AMP 172130-1</t>
  </si>
  <si>
    <t>KB700A1/4</t>
  </si>
  <si>
    <t>RN73C1J15K8B</t>
  </si>
  <si>
    <t>RN73C1J16KB</t>
  </si>
  <si>
    <t>RN73C1J5K49B</t>
  </si>
  <si>
    <t>3213X101M</t>
  </si>
  <si>
    <t>1-962916-1</t>
  </si>
  <si>
    <t>808-AG11D-ES</t>
  </si>
  <si>
    <t>RN73C2A5K11B</t>
  </si>
  <si>
    <t>RN73C1J13K3B</t>
  </si>
  <si>
    <t>929967-1</t>
  </si>
  <si>
    <t>188834-1</t>
  </si>
  <si>
    <t>RN73C2A100KB</t>
  </si>
  <si>
    <t>RN73C1J1K0B</t>
  </si>
  <si>
    <t>AMPMODU 280360-0</t>
  </si>
  <si>
    <t>292303-9</t>
  </si>
  <si>
    <t>RN73C1J1K21B</t>
  </si>
  <si>
    <t>RN73C2A1K24B</t>
  </si>
  <si>
    <t>SMD030F</t>
  </si>
  <si>
    <t>RN73C1J51K1B</t>
  </si>
  <si>
    <t>RN73C1J27R4B</t>
  </si>
  <si>
    <t>RN73C2A15KB</t>
  </si>
  <si>
    <t>RN73C1J12K1B</t>
  </si>
  <si>
    <t>RN73C2A45K3B</t>
  </si>
  <si>
    <t>RN73C2A2K0B</t>
  </si>
  <si>
    <t>RN73C2A11KB</t>
  </si>
  <si>
    <t>RN73C1J10RB</t>
  </si>
  <si>
    <t>RN73C1J3K92B</t>
  </si>
  <si>
    <t>350736-4</t>
  </si>
  <si>
    <t>AMPMODU 826656-7</t>
  </si>
  <si>
    <t>5-146131-4</t>
  </si>
  <si>
    <t>172159-1</t>
  </si>
  <si>
    <t>172167-1</t>
  </si>
  <si>
    <t>RN73C1J133RB</t>
  </si>
  <si>
    <t>RN73C1J33R2B</t>
  </si>
  <si>
    <t>1-968855-1</t>
  </si>
  <si>
    <t>965784-1</t>
  </si>
  <si>
    <t>RN73C1J210RB</t>
  </si>
  <si>
    <t>5-962885-1</t>
  </si>
  <si>
    <t>171826-4</t>
  </si>
  <si>
    <t>RN73C1J2K0B</t>
  </si>
  <si>
    <t>SMA J01151A0921</t>
  </si>
  <si>
    <t>BNC J01001A1318</t>
  </si>
  <si>
    <t>SMA J01150A0019</t>
  </si>
  <si>
    <t>SMA J01151A0931</t>
  </si>
  <si>
    <t>FE1.1s-BSOP28BCN</t>
  </si>
  <si>
    <t>Terminus Technology</t>
  </si>
  <si>
    <t>UCC27323D</t>
  </si>
  <si>
    <t>PCA9554ARG</t>
  </si>
  <si>
    <t>LMZ10501SIL</t>
  </si>
  <si>
    <t>TMS320C50PQ80</t>
  </si>
  <si>
    <t>TLC59116FIPW</t>
  </si>
  <si>
    <t>74AVCH16T245ZQL</t>
  </si>
  <si>
    <t>SN74ABT32245PZ</t>
  </si>
  <si>
    <t>ISO7231CDW</t>
  </si>
  <si>
    <t>TLV2548MPWREP</t>
  </si>
  <si>
    <t>TPS56121DQP</t>
  </si>
  <si>
    <t>BeagleBone Black Rev C</t>
  </si>
  <si>
    <t>DS92LV1212A</t>
  </si>
  <si>
    <t>OPA548FKTWTG3</t>
  </si>
  <si>
    <t>LP5910-1.8DRV</t>
  </si>
  <si>
    <t>ADS131M08IPBS</t>
  </si>
  <si>
    <t>ISO3086TDW</t>
  </si>
  <si>
    <t>SN74LVT245MTC</t>
  </si>
  <si>
    <t>CDCEL937PW</t>
  </si>
  <si>
    <t>LM3478MA/NOPB</t>
  </si>
  <si>
    <t>DRV8301DCA</t>
  </si>
  <si>
    <t>DS80PCI402SQ/NOPB</t>
  </si>
  <si>
    <t>LM337IMP</t>
  </si>
  <si>
    <t>SA555D</t>
  </si>
  <si>
    <t>THS4520RGT</t>
  </si>
  <si>
    <t>THS4031IDGN</t>
  </si>
  <si>
    <t>LM3150MH/NOPB</t>
  </si>
  <si>
    <t>UCC27525DSD</t>
  </si>
  <si>
    <t>SN74LVT244BDW</t>
  </si>
  <si>
    <t>DS91D176TMA</t>
  </si>
  <si>
    <t>SN74LV161AD</t>
  </si>
  <si>
    <t>LM1117IMPX-5.0</t>
  </si>
  <si>
    <t>TPS73201DCQ</t>
  </si>
  <si>
    <t>LM828M5/NOPB</t>
  </si>
  <si>
    <t>REF2030AIDDC</t>
  </si>
  <si>
    <t>SN74AUP1G79DBV</t>
  </si>
  <si>
    <t>LM1117IMPX-3.3</t>
  </si>
  <si>
    <t>TPS73130DBV</t>
  </si>
  <si>
    <t>SN74CBTLV3257PW</t>
  </si>
  <si>
    <t>SN74AHCT08QPWRQ1</t>
  </si>
  <si>
    <t>TPS61240TDRVRQ1</t>
  </si>
  <si>
    <t>SN74LVC04ADGV</t>
  </si>
  <si>
    <t>REF2025AIDDC</t>
  </si>
  <si>
    <t>SN74AUP1G240DCK</t>
  </si>
  <si>
    <t>SN74LVC244ADW</t>
  </si>
  <si>
    <t>LM358ADR</t>
  </si>
  <si>
    <t>SN65HVD35DR</t>
  </si>
  <si>
    <t>SN74LVC244APWR</t>
  </si>
  <si>
    <t>SN74LS33D</t>
  </si>
  <si>
    <t>SN74AHCT125D</t>
  </si>
  <si>
    <t>SN74LVCH245ADW</t>
  </si>
  <si>
    <t>TL494CD</t>
  </si>
  <si>
    <t>SN74LVC373APW</t>
  </si>
  <si>
    <t>LM311MX/NOPB</t>
  </si>
  <si>
    <t>SN74AHCT1G125DCK</t>
  </si>
  <si>
    <t>SN74ABT125D</t>
  </si>
  <si>
    <t>TPD2E001DRL</t>
  </si>
  <si>
    <t>SN74LVTH125D</t>
  </si>
  <si>
    <t>SN74LVC138APW</t>
  </si>
  <si>
    <t>TLV7111225DSE</t>
  </si>
  <si>
    <t>SN74LVC00APW</t>
  </si>
  <si>
    <t>SN74LVC138AD</t>
  </si>
  <si>
    <t>SN74AHCT1G125DBV</t>
  </si>
  <si>
    <t>AH100-6.8 Om-J</t>
  </si>
  <si>
    <t>Thunder Components</t>
  </si>
  <si>
    <t>2CL72</t>
  </si>
  <si>
    <t>Tianjin Zhonghuan Semiconductor</t>
  </si>
  <si>
    <t>Tonda Ztm-Electro</t>
  </si>
  <si>
    <t>TLP291(GB,E</t>
  </si>
  <si>
    <t>Toshiba</t>
  </si>
  <si>
    <t>TSRN1-2490SM</t>
  </si>
  <si>
    <t>Traco Electronic</t>
  </si>
  <si>
    <t>TSR 1-2450SM</t>
  </si>
  <si>
    <t>TEN 5-0522</t>
  </si>
  <si>
    <t>TEP 100-2415WIR</t>
  </si>
  <si>
    <t>TEN60-2411</t>
  </si>
  <si>
    <t>TMT 15215</t>
  </si>
  <si>
    <t>TMR 3-2422</t>
  </si>
  <si>
    <t>TEN20-2411</t>
  </si>
  <si>
    <t>TMR 2-2410</t>
  </si>
  <si>
    <t>TME 0505S</t>
  </si>
  <si>
    <t>TS128MCF220I</t>
  </si>
  <si>
    <t>Transcend Information</t>
  </si>
  <si>
    <t>UR022-006</t>
  </si>
  <si>
    <t>Tripp Lite</t>
  </si>
  <si>
    <t>6605752-1</t>
  </si>
  <si>
    <t>TRP Connector</t>
  </si>
  <si>
    <t>PCF0805R-3651B</t>
  </si>
  <si>
    <t>TT Electronics</t>
  </si>
  <si>
    <t>SQP10-0R82J</t>
  </si>
  <si>
    <t>SQP10-0R47J</t>
  </si>
  <si>
    <t>SQP10-0R15J</t>
  </si>
  <si>
    <t>Xinger 3A325</t>
  </si>
  <si>
    <t>CX-100.000MBE</t>
  </si>
  <si>
    <t>TXC</t>
  </si>
  <si>
    <t>9HT11-32.768KDZF</t>
  </si>
  <si>
    <t>NORA-B106-00B</t>
  </si>
  <si>
    <t>U-Blox</t>
  </si>
  <si>
    <t>NEO-M8N-0-10</t>
  </si>
  <si>
    <t>M2P-80DC960GBBEP</t>
  </si>
  <si>
    <t>UD Info</t>
  </si>
  <si>
    <t>UB482</t>
  </si>
  <si>
    <t>Unicore Communications</t>
  </si>
  <si>
    <t>0603WAD1002T5E</t>
  </si>
  <si>
    <t>Uniroyal Electronics Global</t>
  </si>
  <si>
    <t>United Chemi-Con</t>
  </si>
  <si>
    <t>EMVE350ARA221MJA0G</t>
  </si>
  <si>
    <t>IPV</t>
  </si>
  <si>
    <t>Vention Technology Limited</t>
  </si>
  <si>
    <t>V24C24M50BL3</t>
  </si>
  <si>
    <t>Vicor</t>
  </si>
  <si>
    <t>CR-03JL7--240R</t>
  </si>
  <si>
    <t>Viking Tech</t>
  </si>
  <si>
    <t>CR-03JL7--100R</t>
  </si>
  <si>
    <t>WEC6R0504QG-I</t>
  </si>
  <si>
    <t>VINATech</t>
  </si>
  <si>
    <t>MCT06030C1000FP500</t>
  </si>
  <si>
    <t>PTF56700R00TXEK</t>
  </si>
  <si>
    <t>TSM4YJ203K</t>
  </si>
  <si>
    <t>TSM4YJ202K</t>
  </si>
  <si>
    <t>293D335X9050D2TE3</t>
  </si>
  <si>
    <t>MMS22G-14SK</t>
  </si>
  <si>
    <t>593D106X9035D2TE3</t>
  </si>
  <si>
    <t>TSM4YL102K</t>
  </si>
  <si>
    <t>VJ1812Y105KXAA</t>
  </si>
  <si>
    <t>NTCLE203E3103SB0</t>
  </si>
  <si>
    <t>593D686X9010D2TE3</t>
  </si>
  <si>
    <t>293D156X0050E2TE3</t>
  </si>
  <si>
    <t>TCMT1107</t>
  </si>
  <si>
    <t>VOM1271</t>
  </si>
  <si>
    <t>IHLP1212BZER1R0M11</t>
  </si>
  <si>
    <t>TSM4YL101K</t>
  </si>
  <si>
    <t>TSM4YJ201K</t>
  </si>
  <si>
    <t>293D685X9050D2TE3</t>
  </si>
  <si>
    <t>VJ0805A820JXAAC</t>
  </si>
  <si>
    <t>WSLP3921L1000F</t>
  </si>
  <si>
    <t>534B1503JC</t>
  </si>
  <si>
    <t>593D337X96R3D2TE3</t>
  </si>
  <si>
    <t>293D476X9016D2TE3</t>
  </si>
  <si>
    <t>IHLP2525CZERR47M01</t>
  </si>
  <si>
    <t>ALSR012K000JE12</t>
  </si>
  <si>
    <t>593D227X96R3D2TE3</t>
  </si>
  <si>
    <t>WSL25121L000FEA</t>
  </si>
  <si>
    <t>CH0402-50RGFPT</t>
  </si>
  <si>
    <t>CRCW04022R20FK</t>
  </si>
  <si>
    <t>WSL20101L000FEA</t>
  </si>
  <si>
    <t>B340A-E3/61T</t>
  </si>
  <si>
    <t>593D226X9035E2TE3</t>
  </si>
  <si>
    <t>WSL12065L000FEA</t>
  </si>
  <si>
    <t>TMCMA0J107MTRF</t>
  </si>
  <si>
    <t>593D105X9020A2TE3</t>
  </si>
  <si>
    <t>IHLP3232DZER100M01</t>
  </si>
  <si>
    <t>IHLP1616BZERR47M01</t>
  </si>
  <si>
    <t>VJ1206A392JXAAT</t>
  </si>
  <si>
    <t>IRFP250PbF</t>
  </si>
  <si>
    <t>BAT54WS-E3</t>
  </si>
  <si>
    <t>CRCW0805470MJPTBHR</t>
  </si>
  <si>
    <t>293D337X9010E2TE3</t>
  </si>
  <si>
    <t>293D105X9025B2TE3</t>
  </si>
  <si>
    <t>293D106X9050D2TE3</t>
  </si>
  <si>
    <t>IRFR5305PBF</t>
  </si>
  <si>
    <t>293D106X9035C2TE3</t>
  </si>
  <si>
    <t>CRCW04022R20JNEDHP</t>
  </si>
  <si>
    <t>Si7121DN-T1-GE3</t>
  </si>
  <si>
    <t>IHLP3232DZER5R6M01</t>
  </si>
  <si>
    <t>CRCW08051R47FK</t>
  </si>
  <si>
    <t>MCT06030C1691FP500</t>
  </si>
  <si>
    <t>MCT06030C3091FP500</t>
  </si>
  <si>
    <t>MCT06030C5901FP500</t>
  </si>
  <si>
    <t>593D106X9035C2TE3</t>
  </si>
  <si>
    <t>CRCW0805200RFK</t>
  </si>
  <si>
    <t>VS-60EPU02PbF</t>
  </si>
  <si>
    <t>MCT06030C1242FP500</t>
  </si>
  <si>
    <t>MCS04020C2009FE000</t>
  </si>
  <si>
    <t>MCS04020C3019FE000</t>
  </si>
  <si>
    <t>MCS04020C6199FE000</t>
  </si>
  <si>
    <t>MCS04020C8259FE000</t>
  </si>
  <si>
    <t>VJ0805Y101KXXPW1BC</t>
  </si>
  <si>
    <t>593D225X0020A2TE3</t>
  </si>
  <si>
    <t>MCT06030C4531FP500</t>
  </si>
  <si>
    <t>MCT06030C4641FP500</t>
  </si>
  <si>
    <t>MCT06030C4532FP500</t>
  </si>
  <si>
    <t>SMBJ15A</t>
  </si>
  <si>
    <t>BPW96C</t>
  </si>
  <si>
    <t>CRCW04028K87FK</t>
  </si>
  <si>
    <t>293D227X9016E2TE3</t>
  </si>
  <si>
    <t>293D157X9016D2TE3</t>
  </si>
  <si>
    <t>MCS04020C1629FE000</t>
  </si>
  <si>
    <t>ES1D-E3</t>
  </si>
  <si>
    <t>593D226X9016C2TE3</t>
  </si>
  <si>
    <t>MCT06030C1300FP500</t>
  </si>
  <si>
    <t>MCT06030C1509FP500</t>
  </si>
  <si>
    <t>VJ0805Y332MXAAC</t>
  </si>
  <si>
    <t>MCS04020C3329FE000</t>
  </si>
  <si>
    <t>VJ0805Y332MXXAC</t>
  </si>
  <si>
    <t>WSL25122L000FEA</t>
  </si>
  <si>
    <t>TLMO1100-GS08</t>
  </si>
  <si>
    <t>515D227M010AA6AE3</t>
  </si>
  <si>
    <t>CRCW04021K10JN</t>
  </si>
  <si>
    <t>MCT06030C1005FP500</t>
  </si>
  <si>
    <t>MCS04020C4999FE000</t>
  </si>
  <si>
    <t>MSMP8.5A</t>
  </si>
  <si>
    <t>MCS04020C2499FE000</t>
  </si>
  <si>
    <t>MCS04020C3570FE000</t>
  </si>
  <si>
    <t>MCT06030C1402FP500</t>
  </si>
  <si>
    <t>MCS04020C1004FE000</t>
  </si>
  <si>
    <t>MCT06030C1212FP500</t>
  </si>
  <si>
    <t>593D475X9010A2TE3</t>
  </si>
  <si>
    <t>MCT06030C1210FP500</t>
  </si>
  <si>
    <t>BPV10</t>
  </si>
  <si>
    <t>MCT06030C3012FP500</t>
  </si>
  <si>
    <t>293D107X9010B2TE3</t>
  </si>
  <si>
    <t>CRCW0402511RFK</t>
  </si>
  <si>
    <t>MCT06030C2211FP500</t>
  </si>
  <si>
    <t>MCT06030C2001FP500</t>
  </si>
  <si>
    <t>MCT06030C4991FP500</t>
  </si>
  <si>
    <t>MCT06030C1629FP500</t>
  </si>
  <si>
    <t>MCT06030C3011FP500</t>
  </si>
  <si>
    <t>P4SMA16A</t>
  </si>
  <si>
    <t>MCT06030C2871FP500</t>
  </si>
  <si>
    <t>BAT54WS</t>
  </si>
  <si>
    <t>MCT06030Z0000ZP500</t>
  </si>
  <si>
    <t>MCT06030C4992FP500</t>
  </si>
  <si>
    <t>MCS04020C1000FE000</t>
  </si>
  <si>
    <t>SMBJ30CA-TR</t>
  </si>
  <si>
    <t>MCT06030C1500FP500</t>
  </si>
  <si>
    <t>MCS04020C1002FE000</t>
  </si>
  <si>
    <t>4N25</t>
  </si>
  <si>
    <t>293D226X96R3A2TE3</t>
  </si>
  <si>
    <t>MCT06030C2209FP500</t>
  </si>
  <si>
    <t>MCT06030C8259FP500</t>
  </si>
  <si>
    <t>CRCW04026K19FK</t>
  </si>
  <si>
    <t>RS485 Board (3.3V)</t>
  </si>
  <si>
    <t>Waveshare Electronics</t>
  </si>
  <si>
    <t>VG M16-K68 SKS</t>
  </si>
  <si>
    <t>Weidmuller</t>
  </si>
  <si>
    <t>SP2110/S4II-2</t>
  </si>
  <si>
    <t>Weipu Electrical Appliance</t>
  </si>
  <si>
    <t>SP2110CAP</t>
  </si>
  <si>
    <t>TJ4P4C</t>
  </si>
  <si>
    <t>Wenzhou Yihua Communicated Connector</t>
  </si>
  <si>
    <t>MKP1G042207E00KSSD</t>
  </si>
  <si>
    <t>Wima</t>
  </si>
  <si>
    <t>W25Q256FVE</t>
  </si>
  <si>
    <t>Winbond</t>
  </si>
  <si>
    <t>WH2004L-YGH-CT</t>
  </si>
  <si>
    <t>Winstar Display</t>
  </si>
  <si>
    <t>ESSKV 12 LT</t>
  </si>
  <si>
    <t>Wiska Hoppmann</t>
  </si>
  <si>
    <t>WizFi220</t>
  </si>
  <si>
    <t>WIZnet</t>
  </si>
  <si>
    <t>WEFHS-M5-20</t>
  </si>
  <si>
    <t>Wurth Electronics</t>
  </si>
  <si>
    <t>WEFH-M3-10</t>
  </si>
  <si>
    <t>614004135023</t>
  </si>
  <si>
    <t>61000621121</t>
  </si>
  <si>
    <t>744224</t>
  </si>
  <si>
    <t>885342009004</t>
  </si>
  <si>
    <t>Wuxi Xuyang Electronics</t>
  </si>
  <si>
    <t>XC2S50-5PQ208I</t>
  </si>
  <si>
    <t>Xilinx</t>
  </si>
  <si>
    <t>RC0402FR-07287RL</t>
  </si>
  <si>
    <t>RC0402FR-07866RL</t>
  </si>
  <si>
    <t>RL0603FR-070R15L</t>
  </si>
  <si>
    <t>RC0402FR-075R6L</t>
  </si>
  <si>
    <t>RT0805DRD07750RL</t>
  </si>
  <si>
    <t>CC0805CRNP09BN8R2</t>
  </si>
  <si>
    <t>CC0805KRX7R9BB225</t>
  </si>
  <si>
    <t>SQP10AJB-180R</t>
  </si>
  <si>
    <t>RC2010JK-0751RL</t>
  </si>
  <si>
    <t>CC0805JRNP00BN220</t>
  </si>
  <si>
    <t>CB050M0100RSF-0810</t>
  </si>
  <si>
    <t>CC1210KKX7R9BB225</t>
  </si>
  <si>
    <t>CC1210KKX7R8BB105</t>
  </si>
  <si>
    <t>RSF100JB-73-510R</t>
  </si>
  <si>
    <t>RC0603FR-07698RL</t>
  </si>
  <si>
    <t>MFR-12JT-52-120R</t>
  </si>
  <si>
    <t>RC1210FR-0727KL</t>
  </si>
  <si>
    <t>RL2512FK-070R1L</t>
  </si>
  <si>
    <t>RC0603FR-07180KL</t>
  </si>
  <si>
    <t>MFR-50JT-52-2K4</t>
  </si>
  <si>
    <t>MFR-25JT-52-51R</t>
  </si>
  <si>
    <t>CC0805KRX7R9BB224</t>
  </si>
  <si>
    <t>RSF200JB-73-22K</t>
  </si>
  <si>
    <t>AR0603FR-0733KL</t>
  </si>
  <si>
    <t>CC0603JRNP09BN560</t>
  </si>
  <si>
    <t>RC0603FR-0751R1L</t>
  </si>
  <si>
    <t>RC0603FR-0736KL</t>
  </si>
  <si>
    <t>RSF200JB-73-10R</t>
  </si>
  <si>
    <t>RC0805FR-074K22L</t>
  </si>
  <si>
    <t>CC1206KRX7R6BB226</t>
  </si>
  <si>
    <t>RC0805JR-071K8L</t>
  </si>
  <si>
    <t>RC0402FR-075K62L</t>
  </si>
  <si>
    <t>CC0603KRX5R6BB105</t>
  </si>
  <si>
    <t>PA2512FKF7W0R01E</t>
  </si>
  <si>
    <t>RC0805FR-073K9L</t>
  </si>
  <si>
    <t>RL1206FR-070R22L</t>
  </si>
  <si>
    <t>RC0805FR-071K87L</t>
  </si>
  <si>
    <t>CC0805JRX7R9BB105</t>
  </si>
  <si>
    <t>CC1206KRX7R8BB106</t>
  </si>
  <si>
    <t>CC1206KRX7R0BB103</t>
  </si>
  <si>
    <t>RL0603FR-070R1L</t>
  </si>
  <si>
    <t>RC2010FK-071K62L</t>
  </si>
  <si>
    <t>RC0603FR-073K09L</t>
  </si>
  <si>
    <t>CC1206JRNP09BN222</t>
  </si>
  <si>
    <t>RC0402FR-0733R2L</t>
  </si>
  <si>
    <t>CFR-25JT-52-120R</t>
  </si>
  <si>
    <t>RC0805FR-07332RL</t>
  </si>
  <si>
    <t>RC1206JR-075K6L</t>
  </si>
  <si>
    <t>CC1812KKX7RCBB223</t>
  </si>
  <si>
    <t>CC0402MRX5R6BB225</t>
  </si>
  <si>
    <t>RC0805JR-0747RL</t>
  </si>
  <si>
    <t>CC0805KRX7R9BB101</t>
  </si>
  <si>
    <t>RC2010JK-070RL</t>
  </si>
  <si>
    <t>RC0805FR-0742R2L</t>
  </si>
  <si>
    <t>RL2010FK-070R056L</t>
  </si>
  <si>
    <t>RC0603FR-0724KL</t>
  </si>
  <si>
    <t>CC0603FRNP09BN151</t>
  </si>
  <si>
    <t>CC0402DRNP09BN6R8</t>
  </si>
  <si>
    <t>CC0402JRNP09BN680</t>
  </si>
  <si>
    <t>CC0805KKX7R9BB105</t>
  </si>
  <si>
    <t>RC0402FR-07510KL</t>
  </si>
  <si>
    <t>RC0805FR-071K24L</t>
  </si>
  <si>
    <t>MF0207FTE52-330R</t>
  </si>
  <si>
    <t>CC0603KRX5R7BB106</t>
  </si>
  <si>
    <t>RC0603JR-07100KL</t>
  </si>
  <si>
    <t>RL1206FR-070R033L</t>
  </si>
  <si>
    <t>CC1206JRNP00BN222</t>
  </si>
  <si>
    <t>RC0805JR-071ML</t>
  </si>
  <si>
    <t>RC0402FR-073R9L</t>
  </si>
  <si>
    <t>RC0402FR-07357RL</t>
  </si>
  <si>
    <t>RC0402FR-0775KL</t>
  </si>
  <si>
    <t>RC0805FR-075R1L</t>
  </si>
  <si>
    <t>CC0805KRX7R5BB106</t>
  </si>
  <si>
    <t>CC1206KKX5R9BB106</t>
  </si>
  <si>
    <t>RL0603FR-070R33L</t>
  </si>
  <si>
    <t>CC1206JRNP09BN820</t>
  </si>
  <si>
    <t>RC0805FR-07100RL</t>
  </si>
  <si>
    <t>RC0402FR-07180RL</t>
  </si>
  <si>
    <t>CC0603JRX7R9BB153</t>
  </si>
  <si>
    <t>AC0603FR-07300RL</t>
  </si>
  <si>
    <t>RC1206FR-0727K4L</t>
  </si>
  <si>
    <t>CC0402JRNP09BN150</t>
  </si>
  <si>
    <t>RC0402FR-07931RL</t>
  </si>
  <si>
    <t>AR0603JR-07100RL</t>
  </si>
  <si>
    <t>RT0603BRD07604RL</t>
  </si>
  <si>
    <t>RT0603BRD07681RL</t>
  </si>
  <si>
    <t>CC0603KRX7R8BB223</t>
  </si>
  <si>
    <t>CC0805KRX7R6BB475</t>
  </si>
  <si>
    <t>CC0402JRNP09BN331</t>
  </si>
  <si>
    <t>CC0402JRNP09BN470</t>
  </si>
  <si>
    <t>RC0805JR-073KL</t>
  </si>
  <si>
    <t>RC0805JR-0751KL</t>
  </si>
  <si>
    <t>RC0805JR-0711KL</t>
  </si>
  <si>
    <t>CC0603JRNP09BN681</t>
  </si>
  <si>
    <t>RC0603JR-07360RL</t>
  </si>
  <si>
    <t>RC1206FR-07510KL</t>
  </si>
  <si>
    <t>CFR-25JB-52-360R</t>
  </si>
  <si>
    <t>CC0805KRX7R8BB104</t>
  </si>
  <si>
    <t>RC0402FR-07150KL</t>
  </si>
  <si>
    <t>RC0603JR-072M2L</t>
  </si>
  <si>
    <t>RC1206JR-0747RL</t>
  </si>
  <si>
    <t>RC0402FR-071K5L</t>
  </si>
  <si>
    <t>RC0402FR-074K53L</t>
  </si>
  <si>
    <t>CC1206KKX7R8BB334</t>
  </si>
  <si>
    <t>RC1210JR-07120RL</t>
  </si>
  <si>
    <t>RC0402FR-0743KL</t>
  </si>
  <si>
    <t>RC0805JR-0775RL</t>
  </si>
  <si>
    <t>CC0402KRX7R7BB102</t>
  </si>
  <si>
    <t>CC1206KRX7R8BB474</t>
  </si>
  <si>
    <t>CC0805KRX7R9BB153</t>
  </si>
  <si>
    <t>RC0603JR-0711KL</t>
  </si>
  <si>
    <t>RC0402FR-07470KL</t>
  </si>
  <si>
    <t>CC0603JRNP08BN102</t>
  </si>
  <si>
    <t>RC0402FR-0722RL</t>
  </si>
  <si>
    <t>RT0603BRD072KL</t>
  </si>
  <si>
    <t>RC0603FR-07160RL</t>
  </si>
  <si>
    <t>RC0402FR-0739KL</t>
  </si>
  <si>
    <t>RC0603JR-077K5L</t>
  </si>
  <si>
    <t>RC0603FR-073K6L</t>
  </si>
  <si>
    <t>RC0805FR-072M1L</t>
  </si>
  <si>
    <t>CC0402JRNP09BN120</t>
  </si>
  <si>
    <t>RC0603JR-0710ML</t>
  </si>
  <si>
    <t>RC0402JR-07620KL</t>
  </si>
  <si>
    <t>RC0402FR-0716K5L</t>
  </si>
  <si>
    <t>RC0603JR-0747KL</t>
  </si>
  <si>
    <t>RC0402FR-0711K8L</t>
  </si>
  <si>
    <t>RC0805JR-07390RL</t>
  </si>
  <si>
    <t>RC1206FR-07560RL</t>
  </si>
  <si>
    <t>CC1206KKX7R9BB105</t>
  </si>
  <si>
    <t>RC1206JR-072K2L</t>
  </si>
  <si>
    <t>CC1206KRX7R8BB104</t>
  </si>
  <si>
    <t>CC1206KRX7R9BB104</t>
  </si>
  <si>
    <t>CC0402KPX7R6BB224</t>
  </si>
  <si>
    <t>RC0805JR-07300RL</t>
  </si>
  <si>
    <t>RC0402FR-072K7L</t>
  </si>
  <si>
    <t>AR0603FR-07330RL</t>
  </si>
  <si>
    <t>RC1210FR-0733R2L</t>
  </si>
  <si>
    <t>RC0402FR-07100RL</t>
  </si>
  <si>
    <t>RC1206FR-0710RL</t>
  </si>
  <si>
    <t>CC0603KRX7R8BB332</t>
  </si>
  <si>
    <t>RT0603BRD0733KL</t>
  </si>
  <si>
    <t>CC1206JRNP09BN682</t>
  </si>
  <si>
    <t>RC2512FK-07510RL</t>
  </si>
  <si>
    <t>RC0402FR-07120KL</t>
  </si>
  <si>
    <t>RC0402FR-071M2L</t>
  </si>
  <si>
    <t>RC0402FR-071K1L</t>
  </si>
  <si>
    <t>RC0402FR-07110KL</t>
  </si>
  <si>
    <t>CC0603JPNP09BN470</t>
  </si>
  <si>
    <t>CC0603JRNP09BN821</t>
  </si>
  <si>
    <t>RC0402FR-0710K2L</t>
  </si>
  <si>
    <t>CC0402FRNP09BN270</t>
  </si>
  <si>
    <t>RC0603FR-07301KL</t>
  </si>
  <si>
    <t>CC0402KRX7R7BB103</t>
  </si>
  <si>
    <t>RC0402FR-0712K1L</t>
  </si>
  <si>
    <t>RC0805JR-07150RL</t>
  </si>
  <si>
    <t>CC0603KRX7R9BB471</t>
  </si>
  <si>
    <t>CC0402JRNP09BN270</t>
  </si>
  <si>
    <t>RC1206FR-0733KL</t>
  </si>
  <si>
    <t>CC0402CRNP09BN4R7</t>
  </si>
  <si>
    <t>CC0805KRNP09BN102</t>
  </si>
  <si>
    <t>CC1206KRX7RABB102</t>
  </si>
  <si>
    <t>RC0603FR-074K3L</t>
  </si>
  <si>
    <t>RC0402FR-07249RL</t>
  </si>
  <si>
    <t>CC0603JRNP00BN220</t>
  </si>
  <si>
    <t>CC0805KRX7R9BB223</t>
  </si>
  <si>
    <t>RC0402FR-07210KL</t>
  </si>
  <si>
    <t>RC0603FR-0773K2L</t>
  </si>
  <si>
    <t>RC0805JR-072KL</t>
  </si>
  <si>
    <t>RC0402FR-0736R5L</t>
  </si>
  <si>
    <t>RC0805FR-0747RL</t>
  </si>
  <si>
    <t>RC1206FR-071RL</t>
  </si>
  <si>
    <t>RC0402FR-07560RL</t>
  </si>
  <si>
    <t>RL1206JR-070R15L</t>
  </si>
  <si>
    <t>RC0402FR-0722R6L</t>
  </si>
  <si>
    <t>RC0402FR-0752K3L</t>
  </si>
  <si>
    <t>RC0402FR-072K1L</t>
  </si>
  <si>
    <t>RC0402FR-07121RL</t>
  </si>
  <si>
    <t>RC0603FR-0733RL</t>
  </si>
  <si>
    <t>RC0402JR-072K2L</t>
  </si>
  <si>
    <t>RC0402FR-07261RL</t>
  </si>
  <si>
    <t>RC0402FR-07300KL</t>
  </si>
  <si>
    <t>RC0603FR-0751K1L</t>
  </si>
  <si>
    <t>RC0402FR-073K01L</t>
  </si>
  <si>
    <t>RC1206FR-07100RL</t>
  </si>
  <si>
    <t>RC0603FR-07191KL</t>
  </si>
  <si>
    <t>RC0603FR-07174KL</t>
  </si>
  <si>
    <t>RC0402FR-0756KL</t>
  </si>
  <si>
    <t>RC0402FR-073K74L</t>
  </si>
  <si>
    <t>RC0603FR-071RL</t>
  </si>
  <si>
    <t>RC1206JR-072R4L</t>
  </si>
  <si>
    <t>RC0402FR-0766R5L</t>
  </si>
  <si>
    <t>CC1206JRX7RDBB102</t>
  </si>
  <si>
    <t>RC0402JR-071M2L</t>
  </si>
  <si>
    <t>CC0603JRNP09BN272</t>
  </si>
  <si>
    <t>RC0603FR-07121KL</t>
  </si>
  <si>
    <t>RC0603FR-0749K9L</t>
  </si>
  <si>
    <t>RC1206FR-074K7L</t>
  </si>
  <si>
    <t>RC0402FR-0736KL</t>
  </si>
  <si>
    <t>RC0805JR-0747KL</t>
  </si>
  <si>
    <t>RC0402FR-071K3L</t>
  </si>
  <si>
    <t>RC0402FR-0714RL</t>
  </si>
  <si>
    <t>RC0603FR-071K6L</t>
  </si>
  <si>
    <t>RC0603JR-073K6L</t>
  </si>
  <si>
    <t>RC0603FR-075K9L</t>
  </si>
  <si>
    <t>RC0805JR-07300KL</t>
  </si>
  <si>
    <t>CC0603KRX5R8BB105</t>
  </si>
  <si>
    <t>CC0603JRX7R9BB471</t>
  </si>
  <si>
    <t>CC0603KRX7R7BB106</t>
  </si>
  <si>
    <t>RC0603FR-071M5L</t>
  </si>
  <si>
    <t>RC0603FR-072K7L</t>
  </si>
  <si>
    <t>RC0603JR-0733RL</t>
  </si>
  <si>
    <t>RC0805FR-073K3L</t>
  </si>
  <si>
    <t>CC0603KRX5R8BB475</t>
  </si>
  <si>
    <t>RC0805FR-07140RL</t>
  </si>
  <si>
    <t>CC0805JRNP09BN102</t>
  </si>
  <si>
    <t>CC0805JRNP09BN240</t>
  </si>
  <si>
    <t>CC0603KPX7R9BB223</t>
  </si>
  <si>
    <t>RC0402FR-07750KL</t>
  </si>
  <si>
    <t>RC1206FR-0751RL</t>
  </si>
  <si>
    <t>RC0603JR-074K3L</t>
  </si>
  <si>
    <t>RC0603JR-073K9L</t>
  </si>
  <si>
    <t>RC0402FR-071RL</t>
  </si>
  <si>
    <t>RC0603FR-07499RL</t>
  </si>
  <si>
    <t>CC0603KRX7R8BB473</t>
  </si>
  <si>
    <t>CC0603KRX7R7BB225</t>
  </si>
  <si>
    <t>RC0603FR-07300RL</t>
  </si>
  <si>
    <t>RC0603FR-075R1L</t>
  </si>
  <si>
    <t>RC0805JR-07130RL</t>
  </si>
  <si>
    <t>RC0603FR-071ML</t>
  </si>
  <si>
    <t>CC0603JRNP09BN330</t>
  </si>
  <si>
    <t>RC0402FR-072K55L</t>
  </si>
  <si>
    <t>RC0603FR-075K6L</t>
  </si>
  <si>
    <t>RC0603FR-07110KL</t>
  </si>
  <si>
    <t>RC0402FR-07470RL</t>
  </si>
  <si>
    <t>RC0402FR-0736K5L</t>
  </si>
  <si>
    <t>RC0402JR-073K3L</t>
  </si>
  <si>
    <t>RC0402FR-07510RL</t>
  </si>
  <si>
    <t>CC0402JRX7R7BB472</t>
  </si>
  <si>
    <t>RC0402JR-07270RL</t>
  </si>
  <si>
    <t>RC0402FR-072K2L</t>
  </si>
  <si>
    <t>RC0402FR-076K49L</t>
  </si>
  <si>
    <t>RC0402FR-07240RL</t>
  </si>
  <si>
    <t>CC0805JRNP09BN360</t>
  </si>
  <si>
    <t>RC0402FR-0711KL</t>
  </si>
  <si>
    <t>RC0603JR-0722RL</t>
  </si>
  <si>
    <t>RC1206JR-07160RL</t>
  </si>
  <si>
    <t>RC1206JR-07820RL</t>
  </si>
  <si>
    <t>RC0805FR-071K6L</t>
  </si>
  <si>
    <t>RC0402FR-072K05L</t>
  </si>
  <si>
    <t>RC0805FR-071K8L</t>
  </si>
  <si>
    <t>RC0402JR-0782KL</t>
  </si>
  <si>
    <t>RC0603JR-076K8L</t>
  </si>
  <si>
    <t>RC0603JR-07390RL</t>
  </si>
  <si>
    <t>RC1206FR-077R5L</t>
  </si>
  <si>
    <t>RC0603FR-072RL</t>
  </si>
  <si>
    <t>RC0402FR-07360KL</t>
  </si>
  <si>
    <t>RC1206JR-072K4L</t>
  </si>
  <si>
    <t>CC0402BRNP09BN2R2</t>
  </si>
  <si>
    <t>RC0402FR-0762RL</t>
  </si>
  <si>
    <t>RC0603FR-072K1L</t>
  </si>
  <si>
    <t>CC0603JRNP09BN390</t>
  </si>
  <si>
    <t>RC0603FR-0743K2L</t>
  </si>
  <si>
    <t>CC0402CRNP09BN2R7</t>
  </si>
  <si>
    <t>CC0402KRX7R7BB223</t>
  </si>
  <si>
    <t>RC0402FR-0745K3L</t>
  </si>
  <si>
    <t>CC0603JRNP09BN470</t>
  </si>
  <si>
    <t>CFR-25JT-52-1M</t>
  </si>
  <si>
    <t>RC0603FR-073R6L</t>
  </si>
  <si>
    <t>CC0603KRX7R8BB103</t>
  </si>
  <si>
    <t>CC0603KRX5R6BB475</t>
  </si>
  <si>
    <t>CC0603JRNP09BN300</t>
  </si>
  <si>
    <t>RC0603FR-078K2L</t>
  </si>
  <si>
    <t>RC1206FR-074R7L</t>
  </si>
  <si>
    <t>RC0402FR-0739K2L</t>
  </si>
  <si>
    <t>RC0402FR-0714KL</t>
  </si>
  <si>
    <t>RC0603FR-07191RL</t>
  </si>
  <si>
    <t>CC0402JRNP09BN820</t>
  </si>
  <si>
    <t>RC0603FR-0756KL</t>
  </si>
  <si>
    <t>CC0603KRX7R5BB101</t>
  </si>
  <si>
    <t>RC1206FR-0710KL</t>
  </si>
  <si>
    <t>RC0402FR-07360RL</t>
  </si>
  <si>
    <t>RC0603JR-0716KL</t>
  </si>
  <si>
    <t>RC0402FR-073K16L</t>
  </si>
  <si>
    <t>RC0603JR-07200RL</t>
  </si>
  <si>
    <t>RC0603FR-076K04L</t>
  </si>
  <si>
    <t>RC0402FR-07270RL</t>
  </si>
  <si>
    <t>RC0402FR-072K4L</t>
  </si>
  <si>
    <t>RC0603JR-0727KL</t>
  </si>
  <si>
    <t>RC0603FR-07910KL</t>
  </si>
  <si>
    <t>RC0402JR-070RP</t>
  </si>
  <si>
    <t>RC0603FR-0740K2L</t>
  </si>
  <si>
    <t>RC0603FR-077K15L</t>
  </si>
  <si>
    <t>RC0603FR-07910RL</t>
  </si>
  <si>
    <t>RC0603FR-0716KL</t>
  </si>
  <si>
    <t>RC0603FR-072K21L</t>
  </si>
  <si>
    <t>RC0805FR-074K02L</t>
  </si>
  <si>
    <t>RC0603FR-0724K9L</t>
  </si>
  <si>
    <t>RC0603FR-0730K1L</t>
  </si>
  <si>
    <t>RC0805FR-0720RL</t>
  </si>
  <si>
    <t>RC0805FR-07750RL</t>
  </si>
  <si>
    <t>RC0805FR-0744K2L</t>
  </si>
  <si>
    <t>RC0805FR-0714K7L</t>
  </si>
  <si>
    <t>RC0603FR-07330KL</t>
  </si>
  <si>
    <t>RC0603FR-0730KL</t>
  </si>
  <si>
    <t>RC0402JR-071K1L</t>
  </si>
  <si>
    <t>RC0603JR-07240RL</t>
  </si>
  <si>
    <t>RC0603JR-0768KL</t>
  </si>
  <si>
    <t>RC0402JR-074R7L</t>
  </si>
  <si>
    <t>RC0603FR-073K74L</t>
  </si>
  <si>
    <t>RC0603JR-07200KL</t>
  </si>
  <si>
    <t>RC0603FR-07121RL</t>
  </si>
  <si>
    <t>RC0402FR-0716RL</t>
  </si>
  <si>
    <t>RC0805JR-0733RL</t>
  </si>
  <si>
    <t>RC0603FR-071K05L</t>
  </si>
  <si>
    <t>RC0603FR-0721KL</t>
  </si>
  <si>
    <t>RC0402FR-0730R1L</t>
  </si>
  <si>
    <t>RC0402FR-0733K2L</t>
  </si>
  <si>
    <t>RC0603JR-071K1L</t>
  </si>
  <si>
    <t>RC0603JR-0739KL</t>
  </si>
  <si>
    <t>RC0603JR-073KL</t>
  </si>
  <si>
    <t>RC0402FR-077K68L</t>
  </si>
  <si>
    <t>RC0402FR-072M2L</t>
  </si>
  <si>
    <t>RC0402FR-071ML</t>
  </si>
  <si>
    <t>AR0603FR-072K2L</t>
  </si>
  <si>
    <t>CC1206KKX7RCBB103</t>
  </si>
  <si>
    <t>CC0402KRX7R7BB101</t>
  </si>
  <si>
    <t>RC0402FR-0717K4L</t>
  </si>
  <si>
    <t>RC0402FR-075K1L</t>
  </si>
  <si>
    <t>RC0603FR-0712K1L</t>
  </si>
  <si>
    <t>RC0402JR-074K7L</t>
  </si>
  <si>
    <t>RC0402FR-073K6L</t>
  </si>
  <si>
    <t>RC0402FR-071K2L</t>
  </si>
  <si>
    <t>RC0603FR-072K4L</t>
  </si>
  <si>
    <t>RC0805JR-07510KL</t>
  </si>
  <si>
    <t>RC0402FR-071M5L</t>
  </si>
  <si>
    <t>RC0603FR-0719K6L</t>
  </si>
  <si>
    <t>RC0603FR-071M2L</t>
  </si>
  <si>
    <t>RC0402FR-0712K4L</t>
  </si>
  <si>
    <t>RC0603FR-0711K5L</t>
  </si>
  <si>
    <t>RC0603FR-07430KL</t>
  </si>
  <si>
    <t>RC0402FR-0749K9L</t>
  </si>
  <si>
    <t>RC0603FR-0760K4L</t>
  </si>
  <si>
    <t>RC0805JR-071K5L</t>
  </si>
  <si>
    <t>RC0402JR-07510RL</t>
  </si>
  <si>
    <t>RC0402FR-07430RL</t>
  </si>
  <si>
    <t>Yangzhou Yangjie Electronic Technology</t>
  </si>
  <si>
    <t>MLH-3</t>
  </si>
  <si>
    <t>Yueqing Daier Electron</t>
  </si>
  <si>
    <t>XD8-1-R-12V</t>
  </si>
  <si>
    <t>CTC038-30RA</t>
  </si>
  <si>
    <t>Yuetone Industrial</t>
  </si>
  <si>
    <t>SMV1087A-LF</t>
  </si>
  <si>
    <t>Z-Communications</t>
  </si>
  <si>
    <t>DJ613-2.3x0.6A</t>
  </si>
  <si>
    <t>Zhejiang Enpu Electrical</t>
  </si>
  <si>
    <t>ARDUINO MEGA 2560 R3</t>
  </si>
  <si>
    <t>б/н</t>
  </si>
  <si>
    <t>TCP/IP</t>
  </si>
  <si>
    <t>DB (1A023)</t>
  </si>
  <si>
    <t>PT-4A</t>
  </si>
  <si>
    <t>RJ-45</t>
  </si>
  <si>
    <t>РТ-2А</t>
  </si>
  <si>
    <t>PM907B 4.7 мкФ 500В</t>
  </si>
  <si>
    <t>IP68 №55-103-75</t>
  </si>
  <si>
    <t>2200 D-2X2P-S-G1-C</t>
  </si>
  <si>
    <t>Индикатор</t>
  </si>
  <si>
    <t>R404 517 000</t>
  </si>
  <si>
    <t>BLD-8</t>
  </si>
  <si>
    <t>Светодиод</t>
  </si>
  <si>
    <t>BANANA ВР206В</t>
  </si>
  <si>
    <t>MINIXLR-3</t>
  </si>
  <si>
    <t>2700-2P-M-0-G1-1</t>
  </si>
  <si>
    <t>IP68 №55-103-67</t>
  </si>
  <si>
    <t>DHS-15F</t>
  </si>
  <si>
    <t>CEE7 PLUG DIN49441 №327-169 (327-153)</t>
  </si>
  <si>
    <t>0402 1ПФ-50В NPO</t>
  </si>
  <si>
    <t>TC-0104</t>
  </si>
  <si>
    <t>Контакт  к разъемам BLS</t>
  </si>
  <si>
    <t>№176-4402</t>
  </si>
  <si>
    <t>DC 2.1/5.5</t>
  </si>
  <si>
    <t>№769-307</t>
  </si>
  <si>
    <t>BLS-8</t>
  </si>
  <si>
    <t>43-207-01</t>
  </si>
  <si>
    <t>PLD10</t>
  </si>
  <si>
    <t>MF100 1-1 Ом</t>
  </si>
  <si>
    <t>ETS1-1-13TR</t>
  </si>
  <si>
    <t>PG7</t>
  </si>
  <si>
    <t>DTCK25 MH</t>
  </si>
  <si>
    <t>MF-50 0,5-100 Ом</t>
  </si>
  <si>
    <t>BANAN G/PI</t>
  </si>
  <si>
    <t>0603 33ПФ-100В NPO</t>
  </si>
  <si>
    <t>DN-37С</t>
  </si>
  <si>
    <t>MF-25 0,25-5,1 Ом</t>
  </si>
  <si>
    <t>MJ-0-6</t>
  </si>
  <si>
    <t>DRB-37MA</t>
  </si>
  <si>
    <t>DHS-62F</t>
  </si>
  <si>
    <t>DHS-15M</t>
  </si>
  <si>
    <t>2N3904</t>
  </si>
  <si>
    <t>MF-50 0,5-8,2 Ом</t>
  </si>
  <si>
    <t>DPT-37C</t>
  </si>
  <si>
    <t>1A028</t>
  </si>
  <si>
    <t>MF-50 0,5-680 Ом</t>
  </si>
  <si>
    <t>BLS-4</t>
  </si>
  <si>
    <t>PLCC-20-SMD</t>
  </si>
  <si>
    <t>PW-6F</t>
  </si>
  <si>
    <t>Предохранитель MFR</t>
  </si>
  <si>
    <t>MF-50 0,5-16 Ом</t>
  </si>
  <si>
    <t>CHU-6</t>
  </si>
  <si>
    <t>DHS-62M</t>
  </si>
  <si>
    <t>DNT-15C</t>
  </si>
  <si>
    <t>PW-3F</t>
  </si>
  <si>
    <t>MF200 2-75 Ом</t>
  </si>
  <si>
    <t>DB-15F</t>
  </si>
  <si>
    <t>Стабилитрон</t>
  </si>
  <si>
    <t>DB-9C</t>
  </si>
  <si>
    <t>CF100 1-1 МОм</t>
  </si>
  <si>
    <t>BLS-3</t>
  </si>
  <si>
    <t>DN-37C</t>
  </si>
  <si>
    <t>BH10-R (=BHR10-G)</t>
  </si>
  <si>
    <t>5Х20 10А</t>
  </si>
  <si>
    <t>MHU-3</t>
  </si>
  <si>
    <t>DPT-25C</t>
  </si>
  <si>
    <t>PC104-T16</t>
  </si>
  <si>
    <r>
      <t xml:space="preserve">KR-SMAF-RA-PSB-02, SMA female r/a PSB (аналог J01151A0201, </t>
    </r>
    <r>
      <rPr>
        <b/>
        <sz val="11"/>
        <rFont val="Times New Roman"/>
        <family val="1"/>
        <charset val="204"/>
      </rPr>
      <t>корпус отличается от оригинала)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</si>
</sst>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7" formatCode="_-* #,##0.00_р_._-;\-* #,##0.00_р_._-;_-* &quot;-&quot;??_р_.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264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0" fontId="5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8" fillId="0" borderId="0"/>
    <xf numFmtId="0" fontId="9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8" fillId="0" borderId="0" applyFont="0" applyFill="0" applyBorder="0" applyAlignment="0" applyProtection="0"/>
    <xf numFmtId="0" fontId="5" fillId="2" borderId="0" applyNumberFormat="0" applyBorder="0" applyAlignment="0" applyProtection="0"/>
    <xf numFmtId="0" fontId="7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167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8" fillId="0" borderId="0"/>
    <xf numFmtId="167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6" borderId="0" applyNumberFormat="0" applyBorder="0" applyAlignment="0" applyProtection="0"/>
    <xf numFmtId="0" fontId="3" fillId="3" borderId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0" borderId="0"/>
    <xf numFmtId="0" fontId="2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1" fillId="0" borderId="0"/>
  </cellStyleXfs>
  <cellXfs count="37">
    <xf numFmtId="0" fontId="0" fillId="0" borderId="0" xfId="0"/>
    <xf numFmtId="0" fontId="12" fillId="0" borderId="0" xfId="1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49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11" fontId="12" fillId="0" borderId="0" xfId="0" applyNumberFormat="1" applyFont="1" applyFill="1" applyBorder="1" applyAlignment="1">
      <alignment vertical="center"/>
    </xf>
    <xf numFmtId="11" fontId="12" fillId="0" borderId="0" xfId="0" applyNumberFormat="1" applyFont="1" applyFill="1" applyBorder="1" applyAlignment="1">
      <alignment vertical="center" wrapText="1"/>
    </xf>
    <xf numFmtId="49" fontId="12" fillId="0" borderId="0" xfId="0" applyNumberFormat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17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1" fontId="12" fillId="0" borderId="0" xfId="0" applyNumberFormat="1" applyFont="1" applyFill="1" applyBorder="1" applyAlignment="1">
      <alignment horizontal="left" vertical="center"/>
    </xf>
    <xf numFmtId="1" fontId="12" fillId="0" borderId="0" xfId="0" applyNumberFormat="1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vertical="center"/>
    </xf>
    <xf numFmtId="0" fontId="12" fillId="0" borderId="0" xfId="3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/>
    </xf>
    <xf numFmtId="0" fontId="13" fillId="0" borderId="0" xfId="3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2" fillId="0" borderId="0" xfId="0" applyFont="1" applyFill="1" applyBorder="1"/>
    <xf numFmtId="0" fontId="12" fillId="0" borderId="0" xfId="263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left"/>
    </xf>
    <xf numFmtId="11" fontId="12" fillId="0" borderId="0" xfId="0" applyNumberFormat="1" applyFont="1" applyFill="1" applyBorder="1"/>
    <xf numFmtId="14" fontId="12" fillId="0" borderId="0" xfId="0" applyNumberFormat="1" applyFont="1" applyFill="1" applyBorder="1" applyAlignment="1">
      <alignment horizontal="left"/>
    </xf>
    <xf numFmtId="49" fontId="12" fillId="0" borderId="0" xfId="0" applyNumberFormat="1" applyFont="1" applyFill="1" applyBorder="1" applyAlignment="1">
      <alignment horizontal="left"/>
    </xf>
    <xf numFmtId="49" fontId="12" fillId="0" borderId="0" xfId="0" applyNumberFormat="1" applyFont="1" applyFill="1" applyBorder="1"/>
    <xf numFmtId="0" fontId="12" fillId="0" borderId="0" xfId="1" applyFont="1" applyFill="1" applyBorder="1" applyAlignment="1">
      <alignment vertical="center"/>
    </xf>
  </cellXfs>
  <cellStyles count="264">
    <cellStyle name="20% — акцент1 10" xfId="42" xr:uid="{00000000-0005-0000-0000-000001000000}"/>
    <cellStyle name="20% — акцент1 10 2" xfId="82" xr:uid="{00000000-0005-0000-0000-000002000000}"/>
    <cellStyle name="20% — акцент1 10 2 2" xfId="149" xr:uid="{00000000-0005-0000-0000-000003000000}"/>
    <cellStyle name="20% — акцент1 10 3" xfId="128" xr:uid="{00000000-0005-0000-0000-000004000000}"/>
    <cellStyle name="20% — акцент1 10 4" xfId="148" xr:uid="{00000000-0005-0000-0000-000005000000}"/>
    <cellStyle name="20% — акцент1 11" xfId="46" xr:uid="{00000000-0005-0000-0000-000006000000}"/>
    <cellStyle name="20% — акцент1 11 2" xfId="150" xr:uid="{00000000-0005-0000-0000-000007000000}"/>
    <cellStyle name="20% — акцент1 12" xfId="88" xr:uid="{00000000-0005-0000-0000-000008000000}"/>
    <cellStyle name="20% - Акцент1 2" xfId="37" xr:uid="{00000000-0005-0000-0000-000009000000}"/>
    <cellStyle name="20% — акцент1 2" xfId="4" xr:uid="{00000000-0005-0000-0000-00000A000000}"/>
    <cellStyle name="20% - Акцент1 2 10" xfId="255" xr:uid="{00000000-0005-0000-0000-00000B000000}"/>
    <cellStyle name="20% — акцент1 2 10" xfId="254" xr:uid="{00000000-0005-0000-0000-00000C000000}"/>
    <cellStyle name="20% - Акцент1 2 11" xfId="260" xr:uid="{00000000-0005-0000-0000-00000D000000}"/>
    <cellStyle name="20% — акцент1 2 11" xfId="259" xr:uid="{00000000-0005-0000-0000-00000E000000}"/>
    <cellStyle name="20% - Акцент1 2 12" xfId="262" xr:uid="{00000000-0005-0000-0000-00000F000000}"/>
    <cellStyle name="20% — акцент1 2 12" xfId="261" xr:uid="{00000000-0005-0000-0000-000010000000}"/>
    <cellStyle name="20% - Акцент1 2 2" xfId="78" xr:uid="{00000000-0005-0000-0000-000011000000}"/>
    <cellStyle name="20% — акцент1 2 2" xfId="48" xr:uid="{00000000-0005-0000-0000-000012000000}"/>
    <cellStyle name="20% - Акцент1 2 2 2" xfId="153" xr:uid="{00000000-0005-0000-0000-000013000000}"/>
    <cellStyle name="20% — акцент1 2 2 2" xfId="154" xr:uid="{00000000-0005-0000-0000-000014000000}"/>
    <cellStyle name="20% - Акцент1 2 2 3" xfId="173" xr:uid="{00000000-0005-0000-0000-000015000000}"/>
    <cellStyle name="20% — акцент1 2 2 3" xfId="233" xr:uid="{00000000-0005-0000-0000-000016000000}"/>
    <cellStyle name="20% - Акцент1 2 2 4" xfId="243" xr:uid="{00000000-0005-0000-0000-000017000000}"/>
    <cellStyle name="20% — акцент1 2 2 4" xfId="242" xr:uid="{00000000-0005-0000-0000-000018000000}"/>
    <cellStyle name="20% - Акцент1 2 2 5" xfId="186" xr:uid="{00000000-0005-0000-0000-000019000000}"/>
    <cellStyle name="20% — акцент1 2 2 5" xfId="179" xr:uid="{00000000-0005-0000-0000-00001A000000}"/>
    <cellStyle name="20% - Акцент1 2 2 6" xfId="248" xr:uid="{00000000-0005-0000-0000-00001B000000}"/>
    <cellStyle name="20% — акцент1 2 2 6" xfId="247" xr:uid="{00000000-0005-0000-0000-00001C000000}"/>
    <cellStyle name="20% - Акцент1 2 2 7" xfId="253" xr:uid="{00000000-0005-0000-0000-00001D000000}"/>
    <cellStyle name="20% — акцент1 2 2 7" xfId="252" xr:uid="{00000000-0005-0000-0000-00001E000000}"/>
    <cellStyle name="20% - Акцент1 2 2 8" xfId="258" xr:uid="{00000000-0005-0000-0000-00001F000000}"/>
    <cellStyle name="20% — акцент1 2 2 8" xfId="257" xr:uid="{00000000-0005-0000-0000-000020000000}"/>
    <cellStyle name="20% - Акцент1 2 3" xfId="86" xr:uid="{00000000-0005-0000-0000-000021000000}"/>
    <cellStyle name="20% — акцент1 2 3" xfId="51" xr:uid="{00000000-0005-0000-0000-000022000000}"/>
    <cellStyle name="20% - Акцент1 2 3 2" xfId="155" xr:uid="{00000000-0005-0000-0000-000023000000}"/>
    <cellStyle name="20% — акцент1 2 3 2" xfId="156" xr:uid="{00000000-0005-0000-0000-000024000000}"/>
    <cellStyle name="20% - Акцент1 2 3 3" xfId="234" xr:uid="{00000000-0005-0000-0000-000025000000}"/>
    <cellStyle name="20% — акцент1 2 3 3" xfId="235" xr:uid="{00000000-0005-0000-0000-000026000000}"/>
    <cellStyle name="20% - Акцент1 2 3 4" xfId="241" xr:uid="{00000000-0005-0000-0000-000027000000}"/>
    <cellStyle name="20% — акцент1 2 3 4" xfId="240" xr:uid="{00000000-0005-0000-0000-000028000000}"/>
    <cellStyle name="20% - Акцент1 2 3 5" xfId="178" xr:uid="{00000000-0005-0000-0000-000029000000}"/>
    <cellStyle name="20% — акцент1 2 3 5" xfId="236" xr:uid="{00000000-0005-0000-0000-00002A000000}"/>
    <cellStyle name="20% - Акцент1 2 3 6" xfId="246" xr:uid="{00000000-0005-0000-0000-00002B000000}"/>
    <cellStyle name="20% — акцент1 2 3 6" xfId="239" xr:uid="{00000000-0005-0000-0000-00002C000000}"/>
    <cellStyle name="20% - Акцент1 2 3 7" xfId="251" xr:uid="{00000000-0005-0000-0000-00002D000000}"/>
    <cellStyle name="20% — акцент1 2 3 7" xfId="237" xr:uid="{00000000-0005-0000-0000-00002E000000}"/>
    <cellStyle name="20% - Акцент1 2 3 8" xfId="256" xr:uid="{00000000-0005-0000-0000-00002F000000}"/>
    <cellStyle name="20% — акцент1 2 3 8" xfId="238" xr:uid="{00000000-0005-0000-0000-000030000000}"/>
    <cellStyle name="20% - Акцент1 2 4" xfId="116" xr:uid="{00000000-0005-0000-0000-000031000000}"/>
    <cellStyle name="20% — акцент1 2 4" xfId="121" xr:uid="{00000000-0005-0000-0000-000032000000}"/>
    <cellStyle name="20% - Акцент1 2 5" xfId="145" xr:uid="{00000000-0005-0000-0000-000033000000}"/>
    <cellStyle name="20% — акцент1 2 5" xfId="146" xr:uid="{00000000-0005-0000-0000-000034000000}"/>
    <cellStyle name="20% - Акцент1 2 6" xfId="151" xr:uid="{00000000-0005-0000-0000-000035000000}"/>
    <cellStyle name="20% — акцент1 2 6" xfId="152" xr:uid="{00000000-0005-0000-0000-000036000000}"/>
    <cellStyle name="20% - Акцент1 2 7" xfId="175" xr:uid="{00000000-0005-0000-0000-000037000000}"/>
    <cellStyle name="20% — акцент1 2 7" xfId="174" xr:uid="{00000000-0005-0000-0000-000038000000}"/>
    <cellStyle name="20% - Акцент1 2 8" xfId="245" xr:uid="{00000000-0005-0000-0000-000039000000}"/>
    <cellStyle name="20% — акцент1 2 8" xfId="244" xr:uid="{00000000-0005-0000-0000-00003A000000}"/>
    <cellStyle name="20% - Акцент1 2 9" xfId="250" xr:uid="{00000000-0005-0000-0000-00003B000000}"/>
    <cellStyle name="20% — акцент1 2 9" xfId="249" xr:uid="{00000000-0005-0000-0000-00003C000000}"/>
    <cellStyle name="20% — акцент1 3" xfId="6" xr:uid="{00000000-0005-0000-0000-00003D000000}"/>
    <cellStyle name="20% — акцент1 3 2" xfId="50" xr:uid="{00000000-0005-0000-0000-00003E000000}"/>
    <cellStyle name="20% — акцент1 3 2 2" xfId="158" xr:uid="{00000000-0005-0000-0000-00003F000000}"/>
    <cellStyle name="20% — акцент1 3 3" xfId="123" xr:uid="{00000000-0005-0000-0000-000040000000}"/>
    <cellStyle name="20% — акцент1 3 4" xfId="157" xr:uid="{00000000-0005-0000-0000-000041000000}"/>
    <cellStyle name="20% — акцент1 4" xfId="45" xr:uid="{00000000-0005-0000-0000-000042000000}"/>
    <cellStyle name="20% — акцент1 4 2" xfId="85" xr:uid="{00000000-0005-0000-0000-000043000000}"/>
    <cellStyle name="20% — акцент1 4 2 2" xfId="160" xr:uid="{00000000-0005-0000-0000-000044000000}"/>
    <cellStyle name="20% — акцент1 4 3" xfId="131" xr:uid="{00000000-0005-0000-0000-000045000000}"/>
    <cellStyle name="20% — акцент1 4 4" xfId="159" xr:uid="{00000000-0005-0000-0000-000046000000}"/>
    <cellStyle name="20% — акцент1 5" xfId="39" xr:uid="{00000000-0005-0000-0000-000047000000}"/>
    <cellStyle name="20% — акцент1 5 2" xfId="79" xr:uid="{00000000-0005-0000-0000-000048000000}"/>
    <cellStyle name="20% — акцент1 5 2 2" xfId="162" xr:uid="{00000000-0005-0000-0000-000049000000}"/>
    <cellStyle name="20% — акцент1 5 3" xfId="125" xr:uid="{00000000-0005-0000-0000-00004A000000}"/>
    <cellStyle name="20% — акцент1 5 4" xfId="161" xr:uid="{00000000-0005-0000-0000-00004B000000}"/>
    <cellStyle name="20% — акцент1 6" xfId="44" xr:uid="{00000000-0005-0000-0000-00004C000000}"/>
    <cellStyle name="20% — акцент1 6 2" xfId="84" xr:uid="{00000000-0005-0000-0000-00004D000000}"/>
    <cellStyle name="20% — акцент1 6 2 2" xfId="164" xr:uid="{00000000-0005-0000-0000-00004E000000}"/>
    <cellStyle name="20% — акцент1 6 3" xfId="130" xr:uid="{00000000-0005-0000-0000-00004F000000}"/>
    <cellStyle name="20% — акцент1 6 4" xfId="163" xr:uid="{00000000-0005-0000-0000-000050000000}"/>
    <cellStyle name="20% — акцент1 7" xfId="40" xr:uid="{00000000-0005-0000-0000-000051000000}"/>
    <cellStyle name="20% — акцент1 7 2" xfId="80" xr:uid="{00000000-0005-0000-0000-000052000000}"/>
    <cellStyle name="20% — акцент1 7 2 2" xfId="166" xr:uid="{00000000-0005-0000-0000-000053000000}"/>
    <cellStyle name="20% — акцент1 7 3" xfId="126" xr:uid="{00000000-0005-0000-0000-000054000000}"/>
    <cellStyle name="20% — акцент1 7 4" xfId="165" xr:uid="{00000000-0005-0000-0000-000055000000}"/>
    <cellStyle name="20% — акцент1 8" xfId="43" xr:uid="{00000000-0005-0000-0000-000056000000}"/>
    <cellStyle name="20% — акцент1 8 2" xfId="83" xr:uid="{00000000-0005-0000-0000-000057000000}"/>
    <cellStyle name="20% — акцент1 8 2 2" xfId="168" xr:uid="{00000000-0005-0000-0000-000058000000}"/>
    <cellStyle name="20% — акцент1 8 3" xfId="129" xr:uid="{00000000-0005-0000-0000-000059000000}"/>
    <cellStyle name="20% — акцент1 8 4" xfId="167" xr:uid="{00000000-0005-0000-0000-00005A000000}"/>
    <cellStyle name="20% — акцент1 9" xfId="41" xr:uid="{00000000-0005-0000-0000-00005B000000}"/>
    <cellStyle name="20% — акцент1 9 2" xfId="81" xr:uid="{00000000-0005-0000-0000-00005C000000}"/>
    <cellStyle name="20% — акцент1 9 2 2" xfId="170" xr:uid="{00000000-0005-0000-0000-00005D000000}"/>
    <cellStyle name="20% — акцент1 9 3" xfId="127" xr:uid="{00000000-0005-0000-0000-00005E000000}"/>
    <cellStyle name="20% — акцент1 9 4" xfId="169" xr:uid="{00000000-0005-0000-0000-00005F000000}"/>
    <cellStyle name="60% — акцент2 2" xfId="142" xr:uid="{00000000-0005-0000-0000-000060000000}"/>
    <cellStyle name="60% — акцент3 2" xfId="5" xr:uid="{00000000-0005-0000-0000-000061000000}"/>
    <cellStyle name="60% — акцент3 2 2" xfId="49" xr:uid="{00000000-0005-0000-0000-000062000000}"/>
    <cellStyle name="60% — акцент3 2 2 2" xfId="172" xr:uid="{00000000-0005-0000-0000-000063000000}"/>
    <cellStyle name="60% — акцент3 2 3" xfId="122" xr:uid="{00000000-0005-0000-0000-000064000000}"/>
    <cellStyle name="60% — акцент3 2 4" xfId="171" xr:uid="{00000000-0005-0000-0000-000065000000}"/>
    <cellStyle name="60% — акцент3 3" xfId="89" xr:uid="{00000000-0005-0000-0000-000066000000}"/>
    <cellStyle name="Акцент4 2" xfId="144" xr:uid="{00000000-0005-0000-0000-000067000000}"/>
    <cellStyle name="Гиперссылка" xfId="1" builtinId="8"/>
    <cellStyle name="Денежный 2" xfId="134" xr:uid="{00000000-0005-0000-0000-000069000000}"/>
    <cellStyle name="Денежный 2 2" xfId="135" xr:uid="{00000000-0005-0000-0000-00006A000000}"/>
    <cellStyle name="Денежный 2 2 2" xfId="137" xr:uid="{00000000-0005-0000-0000-00006B000000}"/>
    <cellStyle name="Денежный 2 2 2 2" xfId="141" xr:uid="{00000000-0005-0000-0000-00006C000000}"/>
    <cellStyle name="Денежный 2 2 3" xfId="139" xr:uid="{00000000-0005-0000-0000-00006D000000}"/>
    <cellStyle name="Денежный 2 3" xfId="136" xr:uid="{00000000-0005-0000-0000-00006E000000}"/>
    <cellStyle name="Денежный 2 3 2" xfId="140" xr:uid="{00000000-0005-0000-0000-00006F000000}"/>
    <cellStyle name="Денежный 2 4" xfId="138" xr:uid="{00000000-0005-0000-0000-000070000000}"/>
    <cellStyle name="Денежный 3" xfId="118" xr:uid="{00000000-0005-0000-0000-000071000000}"/>
    <cellStyle name="Обычный" xfId="0" builtinId="0"/>
    <cellStyle name="Обычный 10" xfId="9" xr:uid="{00000000-0005-0000-0000-000073000000}"/>
    <cellStyle name="Обычный 11" xfId="7" xr:uid="{00000000-0005-0000-0000-000074000000}"/>
    <cellStyle name="Обычный 12" xfId="8" xr:uid="{00000000-0005-0000-0000-000075000000}"/>
    <cellStyle name="Обычный 13" xfId="3" xr:uid="{00000000-0005-0000-0000-000076000000}"/>
    <cellStyle name="Обычный 13 2" xfId="47" xr:uid="{00000000-0005-0000-0000-000077000000}"/>
    <cellStyle name="Обычный 13 2 2" xfId="177" xr:uid="{00000000-0005-0000-0000-000078000000}"/>
    <cellStyle name="Обычный 13 3" xfId="120" xr:uid="{00000000-0005-0000-0000-000079000000}"/>
    <cellStyle name="Обычный 13 4" xfId="176" xr:uid="{00000000-0005-0000-0000-00007A000000}"/>
    <cellStyle name="Обычный 14" xfId="119" xr:uid="{00000000-0005-0000-0000-00007B000000}"/>
    <cellStyle name="Обычный 15" xfId="87" xr:uid="{00000000-0005-0000-0000-00007C000000}"/>
    <cellStyle name="Обычный 16" xfId="147" xr:uid="{00000000-0005-0000-0000-00007D000000}"/>
    <cellStyle name="Обычный 17" xfId="263" xr:uid="{3D358BA1-665F-4D0A-998B-6CF957885C4E}"/>
    <cellStyle name="Обычный 2" xfId="2" xr:uid="{00000000-0005-0000-0000-00007E000000}"/>
    <cellStyle name="Обычный 2 2" xfId="11" xr:uid="{00000000-0005-0000-0000-00007F000000}"/>
    <cellStyle name="Обычный 2 2 2" xfId="53" xr:uid="{00000000-0005-0000-0000-000080000000}"/>
    <cellStyle name="Обычный 2 2 2 2" xfId="181" xr:uid="{00000000-0005-0000-0000-000081000000}"/>
    <cellStyle name="Обычный 2 2 3" xfId="91" xr:uid="{00000000-0005-0000-0000-000082000000}"/>
    <cellStyle name="Обычный 2 2 4" xfId="180" xr:uid="{00000000-0005-0000-0000-000083000000}"/>
    <cellStyle name="Обычный 2 3" xfId="12" xr:uid="{00000000-0005-0000-0000-000084000000}"/>
    <cellStyle name="Обычный 2 3 2" xfId="54" xr:uid="{00000000-0005-0000-0000-000085000000}"/>
    <cellStyle name="Обычный 2 3 2 2" xfId="183" xr:uid="{00000000-0005-0000-0000-000086000000}"/>
    <cellStyle name="Обычный 2 3 3" xfId="92" xr:uid="{00000000-0005-0000-0000-000087000000}"/>
    <cellStyle name="Обычный 2 3 4" xfId="182" xr:uid="{00000000-0005-0000-0000-000088000000}"/>
    <cellStyle name="Обычный 2 4" xfId="13" xr:uid="{00000000-0005-0000-0000-000089000000}"/>
    <cellStyle name="Обычный 2 4 2" xfId="55" xr:uid="{00000000-0005-0000-0000-00008A000000}"/>
    <cellStyle name="Обычный 2 4 2 2" xfId="185" xr:uid="{00000000-0005-0000-0000-00008B000000}"/>
    <cellStyle name="Обычный 2 4 3" xfId="93" xr:uid="{00000000-0005-0000-0000-00008C000000}"/>
    <cellStyle name="Обычный 2 4 4" xfId="184" xr:uid="{00000000-0005-0000-0000-00008D000000}"/>
    <cellStyle name="Обычный 2 5" xfId="38" xr:uid="{00000000-0005-0000-0000-00008E000000}"/>
    <cellStyle name="Обычный 2 6" xfId="10" xr:uid="{00000000-0005-0000-0000-00008F000000}"/>
    <cellStyle name="Обычный 2 6 2" xfId="52" xr:uid="{00000000-0005-0000-0000-000090000000}"/>
    <cellStyle name="Обычный 2 6 2 2" xfId="188" xr:uid="{00000000-0005-0000-0000-000091000000}"/>
    <cellStyle name="Обычный 2 6 3" xfId="124" xr:uid="{00000000-0005-0000-0000-000092000000}"/>
    <cellStyle name="Обычный 2 6 4" xfId="187" xr:uid="{00000000-0005-0000-0000-000093000000}"/>
    <cellStyle name="Обычный 2 7" xfId="132" xr:uid="{00000000-0005-0000-0000-000094000000}"/>
    <cellStyle name="Обычный 2 8" xfId="90" xr:uid="{00000000-0005-0000-0000-000095000000}"/>
    <cellStyle name="Обычный 3" xfId="14" xr:uid="{00000000-0005-0000-0000-000096000000}"/>
    <cellStyle name="Обычный 3 2" xfId="15" xr:uid="{00000000-0005-0000-0000-000097000000}"/>
    <cellStyle name="Обычный 3 2 2" xfId="57" xr:uid="{00000000-0005-0000-0000-000098000000}"/>
    <cellStyle name="Обычный 3 2 2 2" xfId="191" xr:uid="{00000000-0005-0000-0000-000099000000}"/>
    <cellStyle name="Обычный 3 2 3" xfId="95" xr:uid="{00000000-0005-0000-0000-00009A000000}"/>
    <cellStyle name="Обычный 3 2 4" xfId="190" xr:uid="{00000000-0005-0000-0000-00009B000000}"/>
    <cellStyle name="Обычный 3 3" xfId="16" xr:uid="{00000000-0005-0000-0000-00009C000000}"/>
    <cellStyle name="Обычный 3 3 2" xfId="58" xr:uid="{00000000-0005-0000-0000-00009D000000}"/>
    <cellStyle name="Обычный 3 3 2 2" xfId="193" xr:uid="{00000000-0005-0000-0000-00009E000000}"/>
    <cellStyle name="Обычный 3 3 3" xfId="96" xr:uid="{00000000-0005-0000-0000-00009F000000}"/>
    <cellStyle name="Обычный 3 3 4" xfId="192" xr:uid="{00000000-0005-0000-0000-0000A0000000}"/>
    <cellStyle name="Обычный 3 4" xfId="17" xr:uid="{00000000-0005-0000-0000-0000A1000000}"/>
    <cellStyle name="Обычный 3 4 2" xfId="59" xr:uid="{00000000-0005-0000-0000-0000A2000000}"/>
    <cellStyle name="Обычный 3 4 2 2" xfId="195" xr:uid="{00000000-0005-0000-0000-0000A3000000}"/>
    <cellStyle name="Обычный 3 4 3" xfId="97" xr:uid="{00000000-0005-0000-0000-0000A4000000}"/>
    <cellStyle name="Обычный 3 4 4" xfId="194" xr:uid="{00000000-0005-0000-0000-0000A5000000}"/>
    <cellStyle name="Обычный 3 5" xfId="56" xr:uid="{00000000-0005-0000-0000-0000A6000000}"/>
    <cellStyle name="Обычный 3 5 2" xfId="196" xr:uid="{00000000-0005-0000-0000-0000A7000000}"/>
    <cellStyle name="Обычный 3 6" xfId="94" xr:uid="{00000000-0005-0000-0000-0000A8000000}"/>
    <cellStyle name="Обычный 3 7" xfId="189" xr:uid="{00000000-0005-0000-0000-0000A9000000}"/>
    <cellStyle name="Обычный 4" xfId="18" xr:uid="{00000000-0005-0000-0000-0000AA000000}"/>
    <cellStyle name="Обычный 4 2" xfId="19" xr:uid="{00000000-0005-0000-0000-0000AB000000}"/>
    <cellStyle name="Обычный 4 2 2" xfId="61" xr:uid="{00000000-0005-0000-0000-0000AC000000}"/>
    <cellStyle name="Обычный 4 2 2 2" xfId="199" xr:uid="{00000000-0005-0000-0000-0000AD000000}"/>
    <cellStyle name="Обычный 4 2 3" xfId="99" xr:uid="{00000000-0005-0000-0000-0000AE000000}"/>
    <cellStyle name="Обычный 4 2 4" xfId="198" xr:uid="{00000000-0005-0000-0000-0000AF000000}"/>
    <cellStyle name="Обычный 4 3" xfId="20" xr:uid="{00000000-0005-0000-0000-0000B0000000}"/>
    <cellStyle name="Обычный 4 3 2" xfId="62" xr:uid="{00000000-0005-0000-0000-0000B1000000}"/>
    <cellStyle name="Обычный 4 3 2 2" xfId="201" xr:uid="{00000000-0005-0000-0000-0000B2000000}"/>
    <cellStyle name="Обычный 4 3 3" xfId="100" xr:uid="{00000000-0005-0000-0000-0000B3000000}"/>
    <cellStyle name="Обычный 4 3 4" xfId="200" xr:uid="{00000000-0005-0000-0000-0000B4000000}"/>
    <cellStyle name="Обычный 4 4" xfId="21" xr:uid="{00000000-0005-0000-0000-0000B5000000}"/>
    <cellStyle name="Обычный 4 4 2" xfId="63" xr:uid="{00000000-0005-0000-0000-0000B6000000}"/>
    <cellStyle name="Обычный 4 4 2 2" xfId="203" xr:uid="{00000000-0005-0000-0000-0000B7000000}"/>
    <cellStyle name="Обычный 4 4 3" xfId="101" xr:uid="{00000000-0005-0000-0000-0000B8000000}"/>
    <cellStyle name="Обычный 4 4 4" xfId="202" xr:uid="{00000000-0005-0000-0000-0000B9000000}"/>
    <cellStyle name="Обычный 4 5" xfId="60" xr:uid="{00000000-0005-0000-0000-0000BA000000}"/>
    <cellStyle name="Обычный 4 5 2" xfId="204" xr:uid="{00000000-0005-0000-0000-0000BB000000}"/>
    <cellStyle name="Обычный 4 6" xfId="98" xr:uid="{00000000-0005-0000-0000-0000BC000000}"/>
    <cellStyle name="Обычный 4 7" xfId="197" xr:uid="{00000000-0005-0000-0000-0000BD000000}"/>
    <cellStyle name="Обычный 5" xfId="22" xr:uid="{00000000-0005-0000-0000-0000BE000000}"/>
    <cellStyle name="Обычный 5 2" xfId="23" xr:uid="{00000000-0005-0000-0000-0000BF000000}"/>
    <cellStyle name="Обычный 5 2 2" xfId="65" xr:uid="{00000000-0005-0000-0000-0000C0000000}"/>
    <cellStyle name="Обычный 5 2 2 2" xfId="207" xr:uid="{00000000-0005-0000-0000-0000C1000000}"/>
    <cellStyle name="Обычный 5 2 3" xfId="103" xr:uid="{00000000-0005-0000-0000-0000C2000000}"/>
    <cellStyle name="Обычный 5 2 4" xfId="206" xr:uid="{00000000-0005-0000-0000-0000C3000000}"/>
    <cellStyle name="Обычный 5 3" xfId="24" xr:uid="{00000000-0005-0000-0000-0000C4000000}"/>
    <cellStyle name="Обычный 5 3 2" xfId="66" xr:uid="{00000000-0005-0000-0000-0000C5000000}"/>
    <cellStyle name="Обычный 5 3 2 2" xfId="209" xr:uid="{00000000-0005-0000-0000-0000C6000000}"/>
    <cellStyle name="Обычный 5 3 3" xfId="104" xr:uid="{00000000-0005-0000-0000-0000C7000000}"/>
    <cellStyle name="Обычный 5 3 4" xfId="208" xr:uid="{00000000-0005-0000-0000-0000C8000000}"/>
    <cellStyle name="Обычный 5 4" xfId="25" xr:uid="{00000000-0005-0000-0000-0000C9000000}"/>
    <cellStyle name="Обычный 5 4 2" xfId="67" xr:uid="{00000000-0005-0000-0000-0000CA000000}"/>
    <cellStyle name="Обычный 5 4 2 2" xfId="211" xr:uid="{00000000-0005-0000-0000-0000CB000000}"/>
    <cellStyle name="Обычный 5 4 3" xfId="105" xr:uid="{00000000-0005-0000-0000-0000CC000000}"/>
    <cellStyle name="Обычный 5 4 4" xfId="210" xr:uid="{00000000-0005-0000-0000-0000CD000000}"/>
    <cellStyle name="Обычный 5 5" xfId="64" xr:uid="{00000000-0005-0000-0000-0000CE000000}"/>
    <cellStyle name="Обычный 5 5 2" xfId="212" xr:uid="{00000000-0005-0000-0000-0000CF000000}"/>
    <cellStyle name="Обычный 5 6" xfId="102" xr:uid="{00000000-0005-0000-0000-0000D0000000}"/>
    <cellStyle name="Обычный 5 7" xfId="205" xr:uid="{00000000-0005-0000-0000-0000D1000000}"/>
    <cellStyle name="Обычный 6" xfId="26" xr:uid="{00000000-0005-0000-0000-0000D2000000}"/>
    <cellStyle name="Обычный 6 2" xfId="27" xr:uid="{00000000-0005-0000-0000-0000D3000000}"/>
    <cellStyle name="Обычный 6 2 2" xfId="69" xr:uid="{00000000-0005-0000-0000-0000D4000000}"/>
    <cellStyle name="Обычный 6 2 2 2" xfId="215" xr:uid="{00000000-0005-0000-0000-0000D5000000}"/>
    <cellStyle name="Обычный 6 2 3" xfId="107" xr:uid="{00000000-0005-0000-0000-0000D6000000}"/>
    <cellStyle name="Обычный 6 2 4" xfId="214" xr:uid="{00000000-0005-0000-0000-0000D7000000}"/>
    <cellStyle name="Обычный 6 3" xfId="28" xr:uid="{00000000-0005-0000-0000-0000D8000000}"/>
    <cellStyle name="Обычный 6 3 2" xfId="70" xr:uid="{00000000-0005-0000-0000-0000D9000000}"/>
    <cellStyle name="Обычный 6 3 2 2" xfId="217" xr:uid="{00000000-0005-0000-0000-0000DA000000}"/>
    <cellStyle name="Обычный 6 3 3" xfId="108" xr:uid="{00000000-0005-0000-0000-0000DB000000}"/>
    <cellStyle name="Обычный 6 3 4" xfId="216" xr:uid="{00000000-0005-0000-0000-0000DC000000}"/>
    <cellStyle name="Обычный 6 4" xfId="29" xr:uid="{00000000-0005-0000-0000-0000DD000000}"/>
    <cellStyle name="Обычный 6 4 2" xfId="71" xr:uid="{00000000-0005-0000-0000-0000DE000000}"/>
    <cellStyle name="Обычный 6 4 2 2" xfId="219" xr:uid="{00000000-0005-0000-0000-0000DF000000}"/>
    <cellStyle name="Обычный 6 4 3" xfId="109" xr:uid="{00000000-0005-0000-0000-0000E0000000}"/>
    <cellStyle name="Обычный 6 4 4" xfId="218" xr:uid="{00000000-0005-0000-0000-0000E1000000}"/>
    <cellStyle name="Обычный 6 5" xfId="68" xr:uid="{00000000-0005-0000-0000-0000E2000000}"/>
    <cellStyle name="Обычный 6 5 2" xfId="220" xr:uid="{00000000-0005-0000-0000-0000E3000000}"/>
    <cellStyle name="Обычный 6 6" xfId="106" xr:uid="{00000000-0005-0000-0000-0000E4000000}"/>
    <cellStyle name="Обычный 6 7" xfId="213" xr:uid="{00000000-0005-0000-0000-0000E5000000}"/>
    <cellStyle name="Обычный 7" xfId="30" xr:uid="{00000000-0005-0000-0000-0000E6000000}"/>
    <cellStyle name="Обычный 7 2" xfId="31" xr:uid="{00000000-0005-0000-0000-0000E7000000}"/>
    <cellStyle name="Обычный 7 2 2" xfId="73" xr:uid="{00000000-0005-0000-0000-0000E8000000}"/>
    <cellStyle name="Обычный 7 2 2 2" xfId="223" xr:uid="{00000000-0005-0000-0000-0000E9000000}"/>
    <cellStyle name="Обычный 7 2 3" xfId="111" xr:uid="{00000000-0005-0000-0000-0000EA000000}"/>
    <cellStyle name="Обычный 7 2 4" xfId="222" xr:uid="{00000000-0005-0000-0000-0000EB000000}"/>
    <cellStyle name="Обычный 7 3" xfId="32" xr:uid="{00000000-0005-0000-0000-0000EC000000}"/>
    <cellStyle name="Обычный 7 3 2" xfId="74" xr:uid="{00000000-0005-0000-0000-0000ED000000}"/>
    <cellStyle name="Обычный 7 3 2 2" xfId="225" xr:uid="{00000000-0005-0000-0000-0000EE000000}"/>
    <cellStyle name="Обычный 7 3 3" xfId="112" xr:uid="{00000000-0005-0000-0000-0000EF000000}"/>
    <cellStyle name="Обычный 7 3 4" xfId="224" xr:uid="{00000000-0005-0000-0000-0000F0000000}"/>
    <cellStyle name="Обычный 7 4" xfId="33" xr:uid="{00000000-0005-0000-0000-0000F1000000}"/>
    <cellStyle name="Обычный 7 4 2" xfId="75" xr:uid="{00000000-0005-0000-0000-0000F2000000}"/>
    <cellStyle name="Обычный 7 4 2 2" xfId="227" xr:uid="{00000000-0005-0000-0000-0000F3000000}"/>
    <cellStyle name="Обычный 7 4 3" xfId="113" xr:uid="{00000000-0005-0000-0000-0000F4000000}"/>
    <cellStyle name="Обычный 7 4 4" xfId="226" xr:uid="{00000000-0005-0000-0000-0000F5000000}"/>
    <cellStyle name="Обычный 7 5" xfId="72" xr:uid="{00000000-0005-0000-0000-0000F6000000}"/>
    <cellStyle name="Обычный 7 5 2" xfId="228" xr:uid="{00000000-0005-0000-0000-0000F7000000}"/>
    <cellStyle name="Обычный 7 6" xfId="110" xr:uid="{00000000-0005-0000-0000-0000F8000000}"/>
    <cellStyle name="Обычный 7 7" xfId="221" xr:uid="{00000000-0005-0000-0000-0000F9000000}"/>
    <cellStyle name="Обычный 8" xfId="34" xr:uid="{00000000-0005-0000-0000-0000FA000000}"/>
    <cellStyle name="Обычный 8 2" xfId="76" xr:uid="{00000000-0005-0000-0000-0000FB000000}"/>
    <cellStyle name="Обычный 8 2 2" xfId="230" xr:uid="{00000000-0005-0000-0000-0000FC000000}"/>
    <cellStyle name="Обычный 8 3" xfId="114" xr:uid="{00000000-0005-0000-0000-0000FD000000}"/>
    <cellStyle name="Обычный 8 4" xfId="229" xr:uid="{00000000-0005-0000-0000-0000FE000000}"/>
    <cellStyle name="Обычный 9" xfId="35" xr:uid="{00000000-0005-0000-0000-0000FF000000}"/>
    <cellStyle name="Обычный 9 2" xfId="77" xr:uid="{00000000-0005-0000-0000-000000010000}"/>
    <cellStyle name="Обычный 9 2 2" xfId="232" xr:uid="{00000000-0005-0000-0000-000001010000}"/>
    <cellStyle name="Обычный 9 3" xfId="115" xr:uid="{00000000-0005-0000-0000-000002010000}"/>
    <cellStyle name="Обычный 9 4" xfId="231" xr:uid="{00000000-0005-0000-0000-000003010000}"/>
    <cellStyle name="Стиль 1" xfId="143" xr:uid="{00000000-0005-0000-0000-000004010000}"/>
    <cellStyle name="Финансовый 2" xfId="36" xr:uid="{00000000-0005-0000-0000-000005010000}"/>
    <cellStyle name="Финансовый 3" xfId="133" xr:uid="{00000000-0005-0000-0000-000006010000}"/>
    <cellStyle name="Финансовый 4" xfId="117" xr:uid="{00000000-0005-0000-0000-000007010000}"/>
  </cellStyles>
  <dxfs count="0"/>
  <tableStyles count="0" defaultTableStyle="TableStyleMedium2" defaultPivotStyle="PivotStyleMedium9"/>
  <colors>
    <mruColors>
      <color rgb="FFFFFFCC"/>
      <color rgb="FFCCFFFF"/>
      <color rgb="FFCCFF99"/>
      <color rgb="FFCCECFF"/>
      <color rgb="FFCCFFCC"/>
      <color rgb="FFFFCCCC"/>
      <color rgb="FF99CC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infineon.com/dgdl/bcv29_bcv49.pdf?folderId=db3a30431441fb5d011445c30f210183&amp;fileId=db3a30431441fb5d011445c8b0d30186" TargetMode="External"/><Relationship Id="rId170" Type="http://schemas.openxmlformats.org/officeDocument/2006/relationships/hyperlink" Target="http://www.yageo.com.tw/exep/pages/download/literatures/PYu-R_INT-thick_7.pdf" TargetMode="External"/><Relationship Id="rId268" Type="http://schemas.openxmlformats.org/officeDocument/2006/relationships/hyperlink" Target="http://www.yageo.com/documents/recent/UPY-GP_NP0_16V-to-50V_16.pdf" TargetMode="External"/><Relationship Id="rId475" Type="http://schemas.openxmlformats.org/officeDocument/2006/relationships/hyperlink" Target="https://search.murata.co.jp/Ceramy/image/img/A01X/G101/ENG/GRM033R71E102KA01-01.pdf" TargetMode="External"/><Relationship Id="rId682" Type="http://schemas.openxmlformats.org/officeDocument/2006/relationships/hyperlink" Target="http://www.yageo.com/documents/recent/UPY-GP_NP0_16V-to-50V_16.pdf" TargetMode="External"/><Relationship Id="rId128" Type="http://schemas.openxmlformats.org/officeDocument/2006/relationships/hyperlink" Target="https://www.coilcraft.com/pdfs/xal4000.pdf" TargetMode="External"/><Relationship Id="rId335" Type="http://schemas.openxmlformats.org/officeDocument/2006/relationships/hyperlink" Target="http://www.yageo.com/documents/recent/UPY-GP_NP0_16V-to-50V_16.pdf" TargetMode="External"/><Relationship Id="rId542" Type="http://schemas.openxmlformats.org/officeDocument/2006/relationships/hyperlink" Target="https://www.yageo.com/upload/media/product/productsearch/datasheet/mlcc/UPY-GP_NP0_16V-to-50V_18.pdf" TargetMode="External"/><Relationship Id="rId987" Type="http://schemas.openxmlformats.org/officeDocument/2006/relationships/hyperlink" Target="https://b2b.harting.com/files/download/PRD/PDF_TS/096700099YY_100798388DRW000E.pdf" TargetMode="External"/><Relationship Id="rId402" Type="http://schemas.openxmlformats.org/officeDocument/2006/relationships/hyperlink" Target="https://www.murata.com/en-us/products/en-us/products/productdata/8796738977822/ENFA0005.pdf" TargetMode="External"/><Relationship Id="rId847" Type="http://schemas.openxmlformats.org/officeDocument/2006/relationships/hyperlink" Target="https://www.yageo.com/upload/media/product/productsearch/datasheet/rchip/PYu-RT_1-to-0.01_RoHS_L_12.pdf" TargetMode="External"/><Relationship Id="rId1032" Type="http://schemas.openxmlformats.org/officeDocument/2006/relationships/hyperlink" Target="https://www.analog.com/media/en/technical-documentation/data-sheets/ADSP-TS101S.pdf" TargetMode="External"/><Relationship Id="rId707" Type="http://schemas.openxmlformats.org/officeDocument/2006/relationships/hyperlink" Target="http://www.yageo.com/documents/recent/UPY-GPHC_X7R_6.3V-to-50V_18.pdf" TargetMode="External"/><Relationship Id="rId914" Type="http://schemas.openxmlformats.org/officeDocument/2006/relationships/hyperlink" Target="https://optoelectronics.liteon.com/upload/download/DS22-2000-226/LTST-S270KGKT.pdf" TargetMode="External"/><Relationship Id="rId43" Type="http://schemas.openxmlformats.org/officeDocument/2006/relationships/hyperlink" Target="https://docs.broadcom.com/docs/AV02-0479EN" TargetMode="External"/><Relationship Id="rId192" Type="http://schemas.openxmlformats.org/officeDocument/2006/relationships/hyperlink" Target="http://www.vishay.com/docs/20035/dcrcwe3.pdf" TargetMode="External"/><Relationship Id="rId206" Type="http://schemas.openxmlformats.org/officeDocument/2006/relationships/hyperlink" Target="http://www.yageo.com/NewPortal/yageodocoutput?fileName=/pdf/R-Chip/PYu-RC_Group_51_RoHS_L_0.pdf" TargetMode="External"/><Relationship Id="rId413" Type="http://schemas.openxmlformats.org/officeDocument/2006/relationships/hyperlink" Target="https://www.st.com/content/ccc/resource/technical/document/datasheet/b3/b4/6e/ab/17/40/40/62/CD00000764.pdf/files/CD00000764.pdf/jcr:content/translations/en.CD00000764.pdf" TargetMode="External"/><Relationship Id="rId858" Type="http://schemas.openxmlformats.org/officeDocument/2006/relationships/hyperlink" Target="https://www.vishay.com/docs/20052/crcw0201e3.pdf" TargetMode="External"/><Relationship Id="rId1043" Type="http://schemas.openxmlformats.org/officeDocument/2006/relationships/hyperlink" Target="https://api.e-components.ru/api/item/ds-1029-04-2-10-p-8-bvb-29-b/doc/0" TargetMode="External"/><Relationship Id="rId497" Type="http://schemas.openxmlformats.org/officeDocument/2006/relationships/hyperlink" Target="https://search.murata.co.jp/Ceramy/image/img/A01X/G101/ENG/GRM32ER61A107ME20-01.pdf" TargetMode="External"/><Relationship Id="rId620" Type="http://schemas.openxmlformats.org/officeDocument/2006/relationships/hyperlink" Target="https://www.yageo.com/upload/media/product/productsearch/datasheet/rchip/PYu-RT_1-to-0.01_RoHS_L_13.pdf" TargetMode="External"/><Relationship Id="rId718" Type="http://schemas.openxmlformats.org/officeDocument/2006/relationships/hyperlink" Target="https://www.cde.com/resources/catalogs/715p.pdf" TargetMode="External"/><Relationship Id="rId925" Type="http://schemas.openxmlformats.org/officeDocument/2006/relationships/hyperlink" Target="https://www.e-t-a.com/fileadmin/user_upload/Ordnerstruktur/pdf-Data/Products/Schutzschalter_Sicherungsautomaten/Thermisch/2_eng/D_104_105_106_ENG.pdf" TargetMode="External"/><Relationship Id="rId357" Type="http://schemas.openxmlformats.org/officeDocument/2006/relationships/hyperlink" Target="https://www.murata.com/~/media/webrenewal/support/library/catalog/products/capacitor/mlcc/c02e.ashx?la=en-us" TargetMode="External"/><Relationship Id="rId54" Type="http://schemas.openxmlformats.org/officeDocument/2006/relationships/hyperlink" Target="https://www.promelec.ru/pdf/sprav-inf-resonator.pdf" TargetMode="External"/><Relationship Id="rId217" Type="http://schemas.openxmlformats.org/officeDocument/2006/relationships/hyperlink" Target="http://www.vishay.com/docs/20035/dcrcwe3.pdf" TargetMode="External"/><Relationship Id="rId564" Type="http://schemas.openxmlformats.org/officeDocument/2006/relationships/hyperlink" Target="https://www.yageo.com/upload/media/product/products/datasheet/mlcc/UPY-NP0X7R_MV_100-to-630V_21.pdf" TargetMode="External"/><Relationship Id="rId771" Type="http://schemas.openxmlformats.org/officeDocument/2006/relationships/hyperlink" Target="https://www.kingbright.ru/products/28-low-current-led/2454-l-7113lsrd" TargetMode="External"/><Relationship Id="rId869" Type="http://schemas.openxmlformats.org/officeDocument/2006/relationships/hyperlink" Target="https://www.vishay.com/docs/28758/tnpw_e3.pdf" TargetMode="External"/><Relationship Id="rId424" Type="http://schemas.openxmlformats.org/officeDocument/2006/relationships/hyperlink" Target="http://www.murata.com/~/media/webrenewal/support/library/catalog/products/capacitor/mlcc/c02e.ashx" TargetMode="External"/><Relationship Id="rId631" Type="http://schemas.openxmlformats.org/officeDocument/2006/relationships/hyperlink" Target="https://www.samsungsem.com/resources/file/global/support/product_catalog/MLCC.pdf" TargetMode="External"/><Relationship Id="rId729" Type="http://schemas.openxmlformats.org/officeDocument/2006/relationships/hyperlink" Target="https://www.klselectronic.com/kls1-3-96a-pitch-3-96mm-jst-vh-type-wire-to-board-connector" TargetMode="External"/><Relationship Id="rId1054" Type="http://schemas.openxmlformats.org/officeDocument/2006/relationships/vmlDrawing" Target="../drawings/vmlDrawing1.vml"/><Relationship Id="rId270" Type="http://schemas.openxmlformats.org/officeDocument/2006/relationships/hyperlink" Target="http://datasheets.avx.com/TAJ_LOW_PROFILE.pdf" TargetMode="External"/><Relationship Id="rId936" Type="http://schemas.openxmlformats.org/officeDocument/2006/relationships/hyperlink" Target="https://b2b.harting.com/files/download/PRD/PDF_DS/PDF_DS_09140009950_EN.pdf" TargetMode="External"/><Relationship Id="rId65" Type="http://schemas.openxmlformats.org/officeDocument/2006/relationships/hyperlink" Target="http://at-grupp.ru/upload/iblock/e06/VCC1.pdf" TargetMode="External"/><Relationship Id="rId130" Type="http://schemas.openxmlformats.org/officeDocument/2006/relationships/hyperlink" Target="http://www.ti.com/lit/ds/symlink/sn74lvt244b.pdf" TargetMode="External"/><Relationship Id="rId368" Type="http://schemas.openxmlformats.org/officeDocument/2006/relationships/hyperlink" Target="https://search.murata.co.jp/Ceramy/image/img/A01X/G101/ENG/GRM033R71E102KA01-01.pdf" TargetMode="External"/><Relationship Id="rId575" Type="http://schemas.openxmlformats.org/officeDocument/2006/relationships/hyperlink" Target="http://datasheets.avx.com/TAJ.pdf" TargetMode="External"/><Relationship Id="rId782" Type="http://schemas.openxmlformats.org/officeDocument/2006/relationships/hyperlink" Target="https://www.ti.com/general/docs/suppproductinfo.tsp?distId=26&amp;gotoUrl=https://www.ti.com/lit/gpn/opa340" TargetMode="External"/><Relationship Id="rId228" Type="http://schemas.openxmlformats.org/officeDocument/2006/relationships/hyperlink" Target="http://www.vishay.com/docs/20035/dcrcwe3.pdf" TargetMode="External"/><Relationship Id="rId435" Type="http://schemas.openxmlformats.org/officeDocument/2006/relationships/hyperlink" Target="https://www.coilcraft.com/getmedia/f76a3c9b-4fff-4397-8028-ef8e043eb200/xfl3012.pdf" TargetMode="External"/><Relationship Id="rId642" Type="http://schemas.openxmlformats.org/officeDocument/2006/relationships/hyperlink" Target="https://eu.mouser.com/datasheet/2/40/800A-2577011.pdf" TargetMode="External"/><Relationship Id="rId281" Type="http://schemas.openxmlformats.org/officeDocument/2006/relationships/hyperlink" Target="http://www.samsungsem.com/kr/support/product-search/mlcc/__icsFiles/afieldfile/2018/06/20/CL10A106MQ8NNNC.pdf" TargetMode="External"/><Relationship Id="rId502" Type="http://schemas.openxmlformats.org/officeDocument/2006/relationships/hyperlink" Target="http://www.yageo.com/documents/recent/UPY-GP_NP0_16V-to-50V_16.pdf" TargetMode="External"/><Relationship Id="rId947" Type="http://schemas.openxmlformats.org/officeDocument/2006/relationships/hyperlink" Target="https://www.vishay.com/docs/51009/tsm4.pdf" TargetMode="External"/><Relationship Id="rId76" Type="http://schemas.openxmlformats.org/officeDocument/2006/relationships/hyperlink" Target="https://www.fairchildsemi.com/datasheets/MB/MBRS320.pdf" TargetMode="External"/><Relationship Id="rId141" Type="http://schemas.openxmlformats.org/officeDocument/2006/relationships/hyperlink" Target="https://www.ti.com/general/docs/suppproductinfo.tsp?distId=10&amp;gotoUrl=http%3A%2F%2Fwww.ti.com%2Flit%2Fgpn%2Fcd74hc138" TargetMode="External"/><Relationship Id="rId379" Type="http://schemas.openxmlformats.org/officeDocument/2006/relationships/hyperlink" Target="https://media.digikey.com/pdf/Data%20Sheets/Vishay%20Vitramon/VJSeries_Quad_HIFREQ.pdf" TargetMode="External"/><Relationship Id="rId586" Type="http://schemas.openxmlformats.org/officeDocument/2006/relationships/hyperlink" Target="https://www.yageo.com/upload/media/product/productsearch/datasheet/rchip/PYu-RT_1-to-0.01_RoHS_L_12.pdf" TargetMode="External"/><Relationship Id="rId793" Type="http://schemas.openxmlformats.org/officeDocument/2006/relationships/hyperlink" Target="https://rocelec.widen.net/view/pdf/m6hdfwxhum/INFNS19426-1.pdf?t.download=true&amp;u=5oefqw" TargetMode="External"/><Relationship Id="rId807" Type="http://schemas.openxmlformats.org/officeDocument/2006/relationships/hyperlink" Target="https://cdn.macom.com/datasheets/MABA-007569-ETK42T.pdf" TargetMode="External"/><Relationship Id="rId7" Type="http://schemas.openxmlformats.org/officeDocument/2006/relationships/hyperlink" Target="http://www.mouser.com/ds/2/149/74ac573-288275.pdf" TargetMode="External"/><Relationship Id="rId239" Type="http://schemas.openxmlformats.org/officeDocument/2006/relationships/hyperlink" Target="http://www.murata.com/~/media/webrenewal/support/library/catalog/products/capacitor/mlcc/c02e.ashx" TargetMode="External"/><Relationship Id="rId446" Type="http://schemas.openxmlformats.org/officeDocument/2006/relationships/hyperlink" Target="https://www.nidec-copal-electronics.com/e/catalog/trimmer/st-4.pdf" TargetMode="External"/><Relationship Id="rId653" Type="http://schemas.openxmlformats.org/officeDocument/2006/relationships/hyperlink" Target="https://www.amd.com/system/files/TechDocs/33234H_LX_databook.pdf" TargetMode="External"/><Relationship Id="rId292" Type="http://schemas.openxmlformats.org/officeDocument/2006/relationships/hyperlink" Target="http://www.murata.com/~/media/webrenewal/support/library/catalog/products/capacitor/mlcc/c02e.ashx" TargetMode="External"/><Relationship Id="rId306" Type="http://schemas.openxmlformats.org/officeDocument/2006/relationships/hyperlink" Target="https://www.tdk-electronics.tdk.com/inf/20/20/db/fc_2009/X2_B32921_928.pdf" TargetMode="External"/><Relationship Id="rId860" Type="http://schemas.openxmlformats.org/officeDocument/2006/relationships/hyperlink" Target="https://www.yageo.com/upload/media/product/productsearch/datasheet/rchip/PYu-RT_1-to-0.01_RoHS_L_12.pdf" TargetMode="External"/><Relationship Id="rId958" Type="http://schemas.openxmlformats.org/officeDocument/2006/relationships/hyperlink" Target="https://www.analog.com/media/en/technical-documentation/data-sheets/AD8079.pdf" TargetMode="External"/><Relationship Id="rId87" Type="http://schemas.openxmlformats.org/officeDocument/2006/relationships/hyperlink" Target="https://ru.mouser.com/datasheet/2/612/cyiv-51001-1299459.pdf" TargetMode="External"/><Relationship Id="rId513" Type="http://schemas.openxmlformats.org/officeDocument/2006/relationships/hyperlink" Target="https://www.yageo.com/upload/media/product/productsearch/datasheet/mlcc/UPY-GPHC_X5R_4V-to-50V_26.pdf" TargetMode="External"/><Relationship Id="rId597" Type="http://schemas.openxmlformats.org/officeDocument/2006/relationships/hyperlink" Target="https://www.tme.eu/Document/85ca9ed3e7bce6256718468bde181b70/ACP_CA9-CE9.pdf" TargetMode="External"/><Relationship Id="rId720" Type="http://schemas.openxmlformats.org/officeDocument/2006/relationships/hyperlink" Target="https://www.onsemi.com/pdf/datasheet/mbr0540t1-d.pdf" TargetMode="External"/><Relationship Id="rId818" Type="http://schemas.openxmlformats.org/officeDocument/2006/relationships/hyperlink" Target="https://product.tdk.com/en/system/files?file=dam/doc/product/capacitor/ceramic/mlcc/catalog/mlcc_commercial_megacap_en.pdf" TargetMode="External"/><Relationship Id="rId152" Type="http://schemas.openxmlformats.org/officeDocument/2006/relationships/hyperlink" Target="https://4donline.ihs.com/images/VipMasterIC/IC/KNGB/KNGBS00036/KNGBS00036-1.pdf?hkey=52A5661711E402568146F3353EA87419" TargetMode="External"/><Relationship Id="rId457" Type="http://schemas.openxmlformats.org/officeDocument/2006/relationships/hyperlink" Target="https://www.yageo.com/upload/media/product/productsearch/datasheet/rchip/PYu-RT_1-to-0.01_RoHS_L_12.pdf" TargetMode="External"/><Relationship Id="rId1003" Type="http://schemas.openxmlformats.org/officeDocument/2006/relationships/hyperlink" Target="https://www.tme.eu/Document/58871157ae0a09146c79dab4399bd814/amass8.pdf" TargetMode="External"/><Relationship Id="rId664" Type="http://schemas.openxmlformats.org/officeDocument/2006/relationships/hyperlink" Target="https://api.e-components.ru/api/item/ds-1065-03-2-40-s-8-bv/doc/0" TargetMode="External"/><Relationship Id="rId871" Type="http://schemas.openxmlformats.org/officeDocument/2006/relationships/hyperlink" Target="https://www.analog.com/media/en/technical-documentation/data-sheets/ADM7171.pdf" TargetMode="External"/><Relationship Id="rId969" Type="http://schemas.openxmlformats.org/officeDocument/2006/relationships/hyperlink" Target="https://ww1.microchip.com/downloads/en/DeviceDoc/Atmel-8151S-8-bit-AVR-ATmega128A_Datasheet%20Summary.pdf" TargetMode="External"/><Relationship Id="rId14" Type="http://schemas.openxmlformats.org/officeDocument/2006/relationships/hyperlink" Target="http://www.vishay.com/docs/29118/ntcle203.pdf" TargetMode="External"/><Relationship Id="rId317" Type="http://schemas.openxmlformats.org/officeDocument/2006/relationships/hyperlink" Target="https://industrial.panasonic.com/cdbs/www-data/pdf/RDN0000/AOA0000C313.pdf" TargetMode="External"/><Relationship Id="rId524" Type="http://schemas.openxmlformats.org/officeDocument/2006/relationships/hyperlink" Target="https://www.yageo.com/upload/media/product/productsearch/datasheet/rchip/PYu-RT_1-to-0.01_RoHS_L_12.pdf" TargetMode="External"/><Relationship Id="rId731" Type="http://schemas.openxmlformats.org/officeDocument/2006/relationships/hyperlink" Target="https://connect.kemet.com:7667/gateway/IntelliData-ComponentDocumentation/1.0/download/datasheet/C340C225K5R5TA" TargetMode="External"/><Relationship Id="rId98" Type="http://schemas.openxmlformats.org/officeDocument/2006/relationships/hyperlink" Target="https://4donline.ihs.com/images/VipMasterIC/IC/KNGB/KNGBS09279/KNGBS09279-1.pdf?hkey=52A5661711E402568146F3353EA87419" TargetMode="External"/><Relationship Id="rId163" Type="http://schemas.openxmlformats.org/officeDocument/2006/relationships/hyperlink" Target="https://www.st.com/en/mems-and-sensors/lsm6dsl.html" TargetMode="External"/><Relationship Id="rId370" Type="http://schemas.openxmlformats.org/officeDocument/2006/relationships/hyperlink" Target="https://www.vishay.com/docs/28758/tnpw_e3.pdf" TargetMode="External"/><Relationship Id="rId829" Type="http://schemas.openxmlformats.org/officeDocument/2006/relationships/hyperlink" Target="https://www.analog.com/media/en/technical-documentation/data-sheets/AD9218.pdf" TargetMode="External"/><Relationship Id="rId1014" Type="http://schemas.openxmlformats.org/officeDocument/2006/relationships/hyperlink" Target="https://www.yageo.com/en/Chart/Download/pdf/CC0402JRX7R9BB104" TargetMode="External"/><Relationship Id="rId230" Type="http://schemas.openxmlformats.org/officeDocument/2006/relationships/hyperlink" Target="https://product.tdk.com/info/en/catalog/datasheets/mlcc_commercial_general_en.pdf" TargetMode="External"/><Relationship Id="rId468" Type="http://schemas.openxmlformats.org/officeDocument/2006/relationships/hyperlink" Target="https://www.infineon.com/dgdl/Infineon-S29GL064N_S29GL032N_64_Mbit_32_Mbit_3_V_Page_Mode_MirrorBit_Flash-DataSheet-v03_00-EN.pdf?fileId=8ac78c8c7d0d8da4017d0ed556fd548b" TargetMode="External"/><Relationship Id="rId675" Type="http://schemas.openxmlformats.org/officeDocument/2006/relationships/hyperlink" Target="https://static.chipdip.ru/lib/004/DOC001004253.pdf" TargetMode="External"/><Relationship Id="rId882" Type="http://schemas.openxmlformats.org/officeDocument/2006/relationships/hyperlink" Target="https://www.yageo.com/upload/media/product/productsearch/datasheet/rchip/PYu-RT_1-to-0.01_RoHS_L_12.pdf" TargetMode="External"/><Relationship Id="rId25" Type="http://schemas.openxmlformats.org/officeDocument/2006/relationships/hyperlink" Target="http://www.nxp.com/documents/data_sheet/BC817_BC817W_BC337.pdf" TargetMode="External"/><Relationship Id="rId328" Type="http://schemas.openxmlformats.org/officeDocument/2006/relationships/hyperlink" Target="http://www.yageo.com/documents/recent/PYu-RC_Group_51_RoHS_L_6.pdf" TargetMode="External"/><Relationship Id="rId535" Type="http://schemas.openxmlformats.org/officeDocument/2006/relationships/hyperlink" Target="http://www.yageo.com.tw/exep/pages/download/literatures/PYu-R_INT-thick_7.pdf" TargetMode="External"/><Relationship Id="rId742" Type="http://schemas.openxmlformats.org/officeDocument/2006/relationships/hyperlink" Target="https://connect.kemet.com:7667/gateway/IntelliData-ComponentDocumentation/1.0/download/datasheet/C1812C681JDGAC7800" TargetMode="External"/><Relationship Id="rId174" Type="http://schemas.openxmlformats.org/officeDocument/2006/relationships/hyperlink" Target="http://www.murata.com/~/media/webrenewal/support/library/catalog/products/capacitor/mlcc/c02e.ashx" TargetMode="External"/><Relationship Id="rId381" Type="http://schemas.openxmlformats.org/officeDocument/2006/relationships/hyperlink" Target="http://datasheets.avx.com/TAJ.pdf" TargetMode="External"/><Relationship Id="rId602" Type="http://schemas.openxmlformats.org/officeDocument/2006/relationships/hyperlink" Target="https://media.digikey.com/pdf/Data%20Sheets/Samsung%20PDFs/CL10C102JB8NNNC_Spec.pdf" TargetMode="External"/><Relationship Id="rId1025" Type="http://schemas.openxmlformats.org/officeDocument/2006/relationships/hyperlink" Target="https://b2b.harting.com/files/download/PRD/PDF_TS/09692100033_BL01_R32119_100079334DRW002A.pdf" TargetMode="External"/><Relationship Id="rId241" Type="http://schemas.openxmlformats.org/officeDocument/2006/relationships/hyperlink" Target="http://www.yageo.com.tw/exep/pages/download/literatures/PYu-R_INT-thick_7.pdf" TargetMode="External"/><Relationship Id="rId479" Type="http://schemas.openxmlformats.org/officeDocument/2006/relationships/hyperlink" Target="https://www.yageo.com/upload/media/product/productsearch/datasheet/mlcc/UPY-GPHC_X7R_6.3V-to-50V_20.pdf" TargetMode="External"/><Relationship Id="rId686" Type="http://schemas.openxmlformats.org/officeDocument/2006/relationships/hyperlink" Target="https://www.nidec-copal-electronics.com/e/catalog/trimmer/st-4.pdf" TargetMode="External"/><Relationship Id="rId893" Type="http://schemas.openxmlformats.org/officeDocument/2006/relationships/hyperlink" Target="https://www.analog.com/media/en/technical-documentation/data-sheets/AD8138.pdf" TargetMode="External"/><Relationship Id="rId907" Type="http://schemas.openxmlformats.org/officeDocument/2006/relationships/hyperlink" Target="https://search.murata.co.jp/Ceramy/image/img/P02/JELF243A-0042.pdf" TargetMode="External"/><Relationship Id="rId36" Type="http://schemas.openxmlformats.org/officeDocument/2006/relationships/hyperlink" Target="http://www.vishay.com/docs/20035/dcrcwe3.pdf" TargetMode="External"/><Relationship Id="rId339" Type="http://schemas.openxmlformats.org/officeDocument/2006/relationships/hyperlink" Target="http://www.yageo.com/NewPortal/yageodocoutput?fileName=/pdf/R-Chip/PYu-RC_Group_51_RoHS_L_0.pdf" TargetMode="External"/><Relationship Id="rId546" Type="http://schemas.openxmlformats.org/officeDocument/2006/relationships/hyperlink" Target="http://www.yageo.com/documents/recent/UPY-GP_NP0_16V-to-50V_16.pdf" TargetMode="External"/><Relationship Id="rId753" Type="http://schemas.openxmlformats.org/officeDocument/2006/relationships/hyperlink" Target="http://www.yageo.com/documents/recent/UPY-GP_NP0_16V-to-50V_16.pdf" TargetMode="External"/><Relationship Id="rId101" Type="http://schemas.openxmlformats.org/officeDocument/2006/relationships/hyperlink" Target="https://www.murata.com/~/media/webrenewal/support/library/catalog/products/capacitor/mlcc/c02e.ashx?la=en-us" TargetMode="External"/><Relationship Id="rId185" Type="http://schemas.openxmlformats.org/officeDocument/2006/relationships/hyperlink" Target="http://www.vishay.com/docs/20035/dcrcwe3.pdf" TargetMode="External"/><Relationship Id="rId406" Type="http://schemas.openxmlformats.org/officeDocument/2006/relationships/hyperlink" Target="https://www.bourns.com/docs/Product-Datasheets/4600x.pdf" TargetMode="External"/><Relationship Id="rId960" Type="http://schemas.openxmlformats.org/officeDocument/2006/relationships/hyperlink" Target="https://www.analog.com/media/en/technical-documentation/data-sheets/AD8018.pdf" TargetMode="External"/><Relationship Id="rId1036" Type="http://schemas.openxmlformats.org/officeDocument/2006/relationships/hyperlink" Target="https://www.yageo.com/upload/media/product/productsearch/datasheet/rchip/PYu-RT_1-to-0.01_RoHS_L_15.pdf" TargetMode="External"/><Relationship Id="rId392" Type="http://schemas.openxmlformats.org/officeDocument/2006/relationships/hyperlink" Target="http://www.yageo.com.tw/exep/pages/download/literatures/PYu-R_INT-thick_7.pdf" TargetMode="External"/><Relationship Id="rId613" Type="http://schemas.openxmlformats.org/officeDocument/2006/relationships/hyperlink" Target="https://datasheets.maximintegrated.com/en/ds/MAX1623.pdf" TargetMode="External"/><Relationship Id="rId697" Type="http://schemas.openxmlformats.org/officeDocument/2006/relationships/hyperlink" Target="https://industrial.panasonic.com/cdbs/www-data/pdf/AAA8000/AAA8000C36.pdf" TargetMode="External"/><Relationship Id="rId820" Type="http://schemas.openxmlformats.org/officeDocument/2006/relationships/hyperlink" Target="https://static.chipdip.ru/lib/459/DOC001459550.pdf" TargetMode="External"/><Relationship Id="rId918" Type="http://schemas.openxmlformats.org/officeDocument/2006/relationships/hyperlink" Target="https://static.chipdip.ru/lib/063/DOC000063871.pdf" TargetMode="External"/><Relationship Id="rId252" Type="http://schemas.openxmlformats.org/officeDocument/2006/relationships/hyperlink" Target="http://www.murata.com/~/media/webrenewal/support/library/catalog/products/capacitor/mlcc/c02e.ashx" TargetMode="External"/><Relationship Id="rId47" Type="http://schemas.openxmlformats.org/officeDocument/2006/relationships/hyperlink" Target="http://www.te.com/commerce/DocumentDelivery/DDEController?Action=srchrtrv&amp;DocNm=RT1&amp;DocType=DS&amp;DocLang=English" TargetMode="External"/><Relationship Id="rId112" Type="http://schemas.openxmlformats.org/officeDocument/2006/relationships/hyperlink" Target="https://www.mill-max.com/catalog/download/2019-05%3A023.pdf" TargetMode="External"/><Relationship Id="rId557" Type="http://schemas.openxmlformats.org/officeDocument/2006/relationships/hyperlink" Target="http://www.yageo.com/documents/recent/UPY-GP_NP0_16V-to-50V_16.pdf" TargetMode="External"/><Relationship Id="rId764" Type="http://schemas.openxmlformats.org/officeDocument/2006/relationships/hyperlink" Target="https://ww1.microchip.com/downloads/en/DeviceDoc/ATmega640-1280-1281-2560-2561-Datasheet-DS40002211A.pdf" TargetMode="External"/><Relationship Id="rId971" Type="http://schemas.openxmlformats.org/officeDocument/2006/relationships/hyperlink" Target="https://www.ti.com/lit/ds/symlink/tpd1e10b06.pdf?ts=1730098713645&amp;ref_url=https%253A%252F%252Fwww.ti.com%252Fproduct%252FTPD1E10B06%253FkeyMatch%253DTPD1E10B06%2526tisearch%253Duniversal_search%2526usecase%253DGPN" TargetMode="External"/><Relationship Id="rId196" Type="http://schemas.openxmlformats.org/officeDocument/2006/relationships/hyperlink" Target="http://www.vishay.com/docs/20035/dcrcwe3.pdf" TargetMode="External"/><Relationship Id="rId417" Type="http://schemas.openxmlformats.org/officeDocument/2006/relationships/hyperlink" Target="https://connect.kemet.com:7667/gateway/IntelliData-ComponentDocumentation/1.0/download/specsheet/C0603C104K4RACAUTO" TargetMode="External"/><Relationship Id="rId624" Type="http://schemas.openxmlformats.org/officeDocument/2006/relationships/hyperlink" Target="https://product.tdk.com/en/system/files?file=dam/doc/product/emc/emc/beads/catalog/beads_automotive_power_mpz1005_en.pdf" TargetMode="External"/><Relationship Id="rId831" Type="http://schemas.openxmlformats.org/officeDocument/2006/relationships/hyperlink" Target="https://www.cypress.com/file/39121/download" TargetMode="External"/><Relationship Id="rId1047" Type="http://schemas.openxmlformats.org/officeDocument/2006/relationships/hyperlink" Target="https://rocelec.widen.net/view/pdf/u7tcmrehyd/EXARS01345-1.pdf?t.download=true&amp;u=5oefqw" TargetMode="External"/><Relationship Id="rId263" Type="http://schemas.openxmlformats.org/officeDocument/2006/relationships/hyperlink" Target="http://www.murata.com/~/media/webrenewal/support/library/catalog/products/capacitor/mlcc/c02e.ashx" TargetMode="External"/><Relationship Id="rId470" Type="http://schemas.openxmlformats.org/officeDocument/2006/relationships/hyperlink" Target="https://eu.mouser.com/datasheet/2/16/RM84-RM85-RM87-612793.pdf" TargetMode="External"/><Relationship Id="rId929" Type="http://schemas.openxmlformats.org/officeDocument/2006/relationships/hyperlink" Target="http://www.yageo.com/NewPortal/yageodocoutput?fileName=/pdf/R-Chip/PYu-RC_Group_51_RoHS_L_0.pdf" TargetMode="External"/><Relationship Id="rId58" Type="http://schemas.openxmlformats.org/officeDocument/2006/relationships/hyperlink" Target="https://www.ecsxtal.com/store/pdf/ECS-MPI4040.pdf" TargetMode="External"/><Relationship Id="rId123" Type="http://schemas.openxmlformats.org/officeDocument/2006/relationships/hyperlink" Target="https://www.te.com/commerce/DocumentDelivery/DDEController?Action=srchrtrv&amp;DocNm=1473005&amp;DocType=Customer+Drawing&amp;DocLang=English" TargetMode="External"/><Relationship Id="rId330" Type="http://schemas.openxmlformats.org/officeDocument/2006/relationships/hyperlink" Target="http://www.yageo.com/documents/recent/PYu-RC_Group_51_RoHS_L_6.pdf" TargetMode="External"/><Relationship Id="rId568" Type="http://schemas.openxmlformats.org/officeDocument/2006/relationships/hyperlink" Target="http://www.yageo.com/documents/recent/UPY-GP_NP0_16V-to-50V_16.pdf" TargetMode="External"/><Relationship Id="rId775" Type="http://schemas.openxmlformats.org/officeDocument/2006/relationships/hyperlink" Target="https://www.coilcraft.com/getmedia/022eb894-7253-40d0-b07c-650d362fc80e/0603cs.pdf" TargetMode="External"/><Relationship Id="rId982" Type="http://schemas.openxmlformats.org/officeDocument/2006/relationships/hyperlink" Target="https://tools.molex.com/pdm_docs/ps/PS-43045.pdf" TargetMode="External"/><Relationship Id="rId428" Type="http://schemas.openxmlformats.org/officeDocument/2006/relationships/hyperlink" Target="http://www.yageo.com.tw/exep/pages/download/literatures/PYu-R_INT-thick_7.pdf" TargetMode="External"/><Relationship Id="rId635" Type="http://schemas.openxmlformats.org/officeDocument/2006/relationships/hyperlink" Target="http://www.bauelemente.at/Switronic/LICO_Switronic_Schalter_B54_en.pdf" TargetMode="External"/><Relationship Id="rId842" Type="http://schemas.openxmlformats.org/officeDocument/2006/relationships/hyperlink" Target="https://eu.mouser.com/datasheet/2/597/xal60xx-270658.pdf" TargetMode="External"/><Relationship Id="rId274" Type="http://schemas.openxmlformats.org/officeDocument/2006/relationships/hyperlink" Target="http://www.yageo.com/NewPortal/yageodocoutput?fileName=/pdf/R-Chip/PYu-RC_Group_51_RoHS_L_0.pdf" TargetMode="External"/><Relationship Id="rId481" Type="http://schemas.openxmlformats.org/officeDocument/2006/relationships/hyperlink" Target="https://www.murata.com/~/media/webrenewal/support/library/catalog/products/capacitor/mlcc/c02e.ashx?la=en-us" TargetMode="External"/><Relationship Id="rId702" Type="http://schemas.openxmlformats.org/officeDocument/2006/relationships/hyperlink" Target="https://eu.mouser.com/datasheet/2/18/1/amphs06683_1-2259709.pdf" TargetMode="External"/><Relationship Id="rId69" Type="http://schemas.openxmlformats.org/officeDocument/2006/relationships/hyperlink" Target="https://api.e-components.ru/api/item/ds-1069-3-fcw/doc/0" TargetMode="External"/><Relationship Id="rId134" Type="http://schemas.openxmlformats.org/officeDocument/2006/relationships/hyperlink" Target="https://www.compel.ru/item-pdf/9f62648829de4673dfb26ddee3dd101c/pn/para~l-h311g.pdf" TargetMode="External"/><Relationship Id="rId579" Type="http://schemas.openxmlformats.org/officeDocument/2006/relationships/hyperlink" Target="https://industrial.panasonic.com/cdbs/www-data/pdf/RDM0000/AOA0000C307.pdf" TargetMode="External"/><Relationship Id="rId786" Type="http://schemas.openxmlformats.org/officeDocument/2006/relationships/hyperlink" Target="http://www.yageo.com/documents/recent/UPY-GP_NP0_16V-to-50V_16.pdf" TargetMode="External"/><Relationship Id="rId993" Type="http://schemas.openxmlformats.org/officeDocument/2006/relationships/hyperlink" Target="https://www.tdk-electronics.tdk.com/inf/30/db/ind_2008/b82496c.pdf" TargetMode="External"/><Relationship Id="rId341" Type="http://schemas.openxmlformats.org/officeDocument/2006/relationships/hyperlink" Target="http://www.yageo.com.tw/exep/pages/download/literatures/PYu-R_INT-thick_7.pdf" TargetMode="External"/><Relationship Id="rId439" Type="http://schemas.openxmlformats.org/officeDocument/2006/relationships/hyperlink" Target="https://media.digikey.com/pdf/Data%20Sheets/Fairchild%20PDFs/BZX55C2V4%20-%20BZX55C56.pdf" TargetMode="External"/><Relationship Id="rId646" Type="http://schemas.openxmlformats.org/officeDocument/2006/relationships/hyperlink" Target="https://www.minicircuits.com/WebStore/dashboard.html?model=T1-1T-X65%2B" TargetMode="External"/><Relationship Id="rId201" Type="http://schemas.openxmlformats.org/officeDocument/2006/relationships/hyperlink" Target="http://www.yageo.com.tw/exep/pages/download/literatures/PYu-R_INT-thick_7.pdf" TargetMode="External"/><Relationship Id="rId285" Type="http://schemas.openxmlformats.org/officeDocument/2006/relationships/hyperlink" Target="http://www.yageo.com.tw/exep/pages/download/literatures/PYu-R_INT-thick_7.pdf" TargetMode="External"/><Relationship Id="rId506" Type="http://schemas.openxmlformats.org/officeDocument/2006/relationships/hyperlink" Target="https://www.yageo.com/upload/media/product/productsearch/datasheet/mlcc/UPY-GP_NP0_16V-to-50V_18.pdf" TargetMode="External"/><Relationship Id="rId853" Type="http://schemas.openxmlformats.org/officeDocument/2006/relationships/hyperlink" Target="https://www.infineon.com/dgdl/Infineon-BAR90-02EL-DS-v01_00-EN.pdf?fileId=5546d46265f064ff01663895cd694e6e" TargetMode="External"/><Relationship Id="rId492" Type="http://schemas.openxmlformats.org/officeDocument/2006/relationships/hyperlink" Target="https://www.molex.com/pdm_docs/ps/PS-5556-001.pdf" TargetMode="External"/><Relationship Id="rId713" Type="http://schemas.openxmlformats.org/officeDocument/2006/relationships/hyperlink" Target="https://www.vishay.com/docs/40006/594d.pdf" TargetMode="External"/><Relationship Id="rId797" Type="http://schemas.openxmlformats.org/officeDocument/2006/relationships/hyperlink" Target="https://www.yageo.com/upload/media/product/productsearch/datasheet/lr/YAGEO%20SQP_NSP_datasheet_2023v2.pdf" TargetMode="External"/><Relationship Id="rId920" Type="http://schemas.openxmlformats.org/officeDocument/2006/relationships/hyperlink" Target="https://assets.nexperia.com/documents/data-sheet/BAV99-Q.pdf" TargetMode="External"/><Relationship Id="rId145" Type="http://schemas.openxmlformats.org/officeDocument/2006/relationships/hyperlink" Target="http://files.rct.ru/pdf/connectors/kls1-233.pdf" TargetMode="External"/><Relationship Id="rId352" Type="http://schemas.openxmlformats.org/officeDocument/2006/relationships/hyperlink" Target="http://www.samsungsem.com/kr/support/product-search/mlcc/__icsFiles/afieldfile/2018/06/05/CL05C180JB5NNNC.pdf" TargetMode="External"/><Relationship Id="rId212" Type="http://schemas.openxmlformats.org/officeDocument/2006/relationships/hyperlink" Target="http://www.yageo.com.tw/exep/pages/download/literatures/PYu-R_INT-thick_7.pdf" TargetMode="External"/><Relationship Id="rId657" Type="http://schemas.openxmlformats.org/officeDocument/2006/relationships/hyperlink" Target="https://www.te.com/commerce/DocumentDelivery/DDEController?Action=srchrtrv&amp;DocNm=RT2&amp;DocType=DS&amp;DocLang=English" TargetMode="External"/><Relationship Id="rId864" Type="http://schemas.openxmlformats.org/officeDocument/2006/relationships/hyperlink" Target="https://www.compel.ru/item-pdf/1064c1808c17925af94de0bfd4dcd8f3/ps/utc~tda2003.pdf" TargetMode="External"/><Relationship Id="rId296" Type="http://schemas.openxmlformats.org/officeDocument/2006/relationships/hyperlink" Target="http://www.atceramics.com/UserFiles/600s.pdf" TargetMode="External"/><Relationship Id="rId517" Type="http://schemas.openxmlformats.org/officeDocument/2006/relationships/hyperlink" Target="https://www.murata.com/~/media/webrenewal/support/library/catalog/products/capacitor/mlcc/c02e.ashx?la=en-us" TargetMode="External"/><Relationship Id="rId724" Type="http://schemas.openxmlformats.org/officeDocument/2006/relationships/hyperlink" Target="https://media.digikey.com/pdf/Data%20Sheets/Rohm%20PDFs/MNR18_Series.pdf" TargetMode="External"/><Relationship Id="rId931" Type="http://schemas.openxmlformats.org/officeDocument/2006/relationships/hyperlink" Target="http://www.yageo.com/documents/recent/UPY-GP_NP0_16V-to-50V_16.pdf" TargetMode="External"/><Relationship Id="rId60" Type="http://schemas.openxmlformats.org/officeDocument/2006/relationships/hyperlink" Target="https://belfuse.com/resources/Johnson/drawings/dr-1353711801.pdf" TargetMode="External"/><Relationship Id="rId156" Type="http://schemas.openxmlformats.org/officeDocument/2006/relationships/hyperlink" Target="https://www.1-cable.ru/models/20102-0302.html" TargetMode="External"/><Relationship Id="rId363" Type="http://schemas.openxmlformats.org/officeDocument/2006/relationships/hyperlink" Target="https://www.kingbright.ru/products/24-flat-top-led/2362-l-1034gdt" TargetMode="External"/><Relationship Id="rId570" Type="http://schemas.openxmlformats.org/officeDocument/2006/relationships/hyperlink" Target="https://www.bellnix.com/pdf/PHV5W.pdf" TargetMode="External"/><Relationship Id="rId1007" Type="http://schemas.openxmlformats.org/officeDocument/2006/relationships/hyperlink" Target="https://search.murata.co.jp/Ceramy/image/img/P02/JELF243A-0050.pdf" TargetMode="External"/><Relationship Id="rId223" Type="http://schemas.openxmlformats.org/officeDocument/2006/relationships/hyperlink" Target="http://www.yageo.com/NewPortal/yageodocoutput?fileName=/pdf/R-Chip/PYu-RC_Group_51_RoHS_L_0.pdf" TargetMode="External"/><Relationship Id="rId430" Type="http://schemas.openxmlformats.org/officeDocument/2006/relationships/hyperlink" Target="https://industrial.panasonic.com/cdbs/www-data/pdf/RDE0000/ABA0000C1181.pdf" TargetMode="External"/><Relationship Id="rId668" Type="http://schemas.openxmlformats.org/officeDocument/2006/relationships/hyperlink" Target="https://www.analog.com/media/en/technical-documentation/data-sheets/AD8009.pdf" TargetMode="External"/><Relationship Id="rId875" Type="http://schemas.openxmlformats.org/officeDocument/2006/relationships/hyperlink" Target="https://www.micros.com.pl/mediaserver/Z_SH8.0-M-B_AMASS_0001.pdf" TargetMode="External"/><Relationship Id="rId18" Type="http://schemas.openxmlformats.org/officeDocument/2006/relationships/hyperlink" Target="http://www.analog.com/media/en/technical-documentation/data-sheets/ADSP-2185M.pdf" TargetMode="External"/><Relationship Id="rId528" Type="http://schemas.openxmlformats.org/officeDocument/2006/relationships/hyperlink" Target="https://www.yageo.com/upload/media/product/productsearch/datasheet/rchip/PYu-RT_1-to-0.01_RoHS_L_12.pdf" TargetMode="External"/><Relationship Id="rId735" Type="http://schemas.openxmlformats.org/officeDocument/2006/relationships/hyperlink" Target="https://docs.broadcom.com/doc/HCMS-29xx-Series-High-Performance-CMOS-5-x-7-Alphanumeric-Displays" TargetMode="External"/><Relationship Id="rId942" Type="http://schemas.openxmlformats.org/officeDocument/2006/relationships/hyperlink" Target="https://mm.digikey.com/Volume0/opasdata/d220001/medias/docus/2515/MT49H16M36_32M18_64M9_RevM_Sep2015.pdf" TargetMode="External"/><Relationship Id="rId167" Type="http://schemas.openxmlformats.org/officeDocument/2006/relationships/hyperlink" Target="https://e-components.ru/item/ds-1029-04-2-40-p-8-bvb10" TargetMode="External"/><Relationship Id="rId374" Type="http://schemas.openxmlformats.org/officeDocument/2006/relationships/hyperlink" Target="https://www.yageo.com/upload/media/product/productsearch/datasheet/mlcc/UPY-NP0X7R_HV_1KV-to-3KV_13.pdf" TargetMode="External"/><Relationship Id="rId581" Type="http://schemas.openxmlformats.org/officeDocument/2006/relationships/hyperlink" Target="https://search.murata.co.jp/Ceramy/image/img/A01X/G101/ENG/GRM21BR71H683KA01-01.pdf" TargetMode="External"/><Relationship Id="rId1018" Type="http://schemas.openxmlformats.org/officeDocument/2006/relationships/hyperlink" Target="https://assets.nexperia.com/documents/data-sheet/BZX384_SER.pdf" TargetMode="External"/><Relationship Id="rId71" Type="http://schemas.openxmlformats.org/officeDocument/2006/relationships/hyperlink" Target="https://www.intersil.com/content/dam/Intersil/documents/icm7/icm7218.pdf" TargetMode="External"/><Relationship Id="rId234" Type="http://schemas.openxmlformats.org/officeDocument/2006/relationships/hyperlink" Target="http://www.yageo.com/NewPortal/yageodocoutput?fileName=/pdf/R-Chip/PYu-RC_Group_51_RoHS_L_0.pdf" TargetMode="External"/><Relationship Id="rId679" Type="http://schemas.openxmlformats.org/officeDocument/2006/relationships/hyperlink" Target="https://eu.mouser.com/datasheet/2/418/5/tycoelectronics_deutsch983series_0613_983__jan_201-1210751.pdf" TargetMode="External"/><Relationship Id="rId802" Type="http://schemas.openxmlformats.org/officeDocument/2006/relationships/hyperlink" Target="https://www.tme.eu/Document/4118dd35efb36c9cb4c8686f960c490e/XT150%20SPEC.pdf" TargetMode="External"/><Relationship Id="rId886" Type="http://schemas.openxmlformats.org/officeDocument/2006/relationships/hyperlink" Target="https://www.yageo.com/upload/media/product/app/datasheet/rchip/pyu-rt_1-to-0.01_rohs_l.pdf" TargetMode="External"/><Relationship Id="rId2" Type="http://schemas.openxmlformats.org/officeDocument/2006/relationships/hyperlink" Target="http://www.st.com/web/en/resource/technical/document/datasheet/CD00000663.pdf" TargetMode="External"/><Relationship Id="rId29" Type="http://schemas.openxmlformats.org/officeDocument/2006/relationships/hyperlink" Target="http://www.nxp.com/documents/data_sheet/2PC4617.pdf" TargetMode="External"/><Relationship Id="rId441" Type="http://schemas.openxmlformats.org/officeDocument/2006/relationships/hyperlink" Target="http://www.yageo.com/documents/recent/UPY-GPHC_X7R_6.3V-to-50V_18.pdf" TargetMode="External"/><Relationship Id="rId539" Type="http://schemas.openxmlformats.org/officeDocument/2006/relationships/hyperlink" Target="https://product.tdk.com/system/files/dam/doc/product/inductor/inductor/smd/catalog/inductor_automotive_power_clf12577ni-d_en.pdf" TargetMode="External"/><Relationship Id="rId746" Type="http://schemas.openxmlformats.org/officeDocument/2006/relationships/hyperlink" Target="https://www.tdk-electronics.tdk.com/inf/30/db/ind_2008/b82464a4.pdf" TargetMode="External"/><Relationship Id="rId178" Type="http://schemas.openxmlformats.org/officeDocument/2006/relationships/hyperlink" Target="http://www.hitano.com.tw/download/ECR_2014.pdf" TargetMode="External"/><Relationship Id="rId301" Type="http://schemas.openxmlformats.org/officeDocument/2006/relationships/hyperlink" Target="https://industrial.panasonic.com/ww/products/capacitors/film-capacitors/film-cap-electroequip/ecwfl/ECWF4105JL" TargetMode="External"/><Relationship Id="rId953" Type="http://schemas.openxmlformats.org/officeDocument/2006/relationships/hyperlink" Target="https://s3-us-west-2.amazonaws.com/catsy.582/C901-144-8RFX.pdf" TargetMode="External"/><Relationship Id="rId1029" Type="http://schemas.openxmlformats.org/officeDocument/2006/relationships/hyperlink" Target="https://static6.arrow.com/aropdfconversion/5d40f11c84b543361e3785d552d201549d05460d/nes_j250.pdf" TargetMode="External"/><Relationship Id="rId82" Type="http://schemas.openxmlformats.org/officeDocument/2006/relationships/hyperlink" Target="http://www.proton-orel.ru/files/products/svetoizluchaiushchie-diody-i-moduli/al307.pdf" TargetMode="External"/><Relationship Id="rId385" Type="http://schemas.openxmlformats.org/officeDocument/2006/relationships/hyperlink" Target="https://www.bourns.com/docs/Product-Datasheets/cw160808.pdf" TargetMode="External"/><Relationship Id="rId592" Type="http://schemas.openxmlformats.org/officeDocument/2006/relationships/hyperlink" Target="https://search.murata.co.jp/Ceramy/image/img/A01X/G101/ENG/GRM21BR71H683KA01-01.pdf" TargetMode="External"/><Relationship Id="rId606" Type="http://schemas.openxmlformats.org/officeDocument/2006/relationships/hyperlink" Target="https://www.promelec.ru/fs/sources/41/4c/61/9d/2641ee6a6700a8b2ab77b661.pdf" TargetMode="External"/><Relationship Id="rId813" Type="http://schemas.openxmlformats.org/officeDocument/2006/relationships/hyperlink" Target="https://search.murata.co.jp/Ceramy/image/img/A01X/G101/ENG/GQM22M5C2H3R9CB01-01.pdf" TargetMode="External"/><Relationship Id="rId245" Type="http://schemas.openxmlformats.org/officeDocument/2006/relationships/hyperlink" Target="http://www.yageo.com/documents/recent/PYu-RC_Group_51_RoHS_L_6.pdf" TargetMode="External"/><Relationship Id="rId452" Type="http://schemas.openxmlformats.org/officeDocument/2006/relationships/hyperlink" Target="https://www.yageo.com/upload/media/product/productsearch/datasheet/rchip/PYu-RC_Group_51_RoHS_L_11.pdf" TargetMode="External"/><Relationship Id="rId897" Type="http://schemas.openxmlformats.org/officeDocument/2006/relationships/hyperlink" Target="https://www.hongfa.com/product/signal-relay/HFD3" TargetMode="External"/><Relationship Id="rId105" Type="http://schemas.openxmlformats.org/officeDocument/2006/relationships/hyperlink" Target="https://www.te.com/commerce/DocumentDelivery/DDEController?Action=srchrtrv&amp;DocNm=5352069&amp;DocType=Customer+Drawing&amp;DocLang=English" TargetMode="External"/><Relationship Id="rId312" Type="http://schemas.openxmlformats.org/officeDocument/2006/relationships/hyperlink" Target="https://www.yageo.com/upload/media/product/products/datasheet/lr/Yageo_LR_MF0_1.pdf" TargetMode="External"/><Relationship Id="rId757" Type="http://schemas.openxmlformats.org/officeDocument/2006/relationships/hyperlink" Target="https://www.we-online.com/components/products/datasheet/150040BS73240.pdf" TargetMode="External"/><Relationship Id="rId964" Type="http://schemas.openxmlformats.org/officeDocument/2006/relationships/hyperlink" Target="https://mm.digikey.com/Volume0/opasdata/d220001/medias/docus/1/M74HC00.pdf" TargetMode="External"/><Relationship Id="rId93" Type="http://schemas.openxmlformats.org/officeDocument/2006/relationships/hyperlink" Target="http://www.platan.ru/pdf/datasheets/kls/KLS1-SMA001.pdf" TargetMode="External"/><Relationship Id="rId189" Type="http://schemas.openxmlformats.org/officeDocument/2006/relationships/hyperlink" Target="http://www.vishay.com/docs/20035/dcrcwe3.pdf" TargetMode="External"/><Relationship Id="rId396" Type="http://schemas.openxmlformats.org/officeDocument/2006/relationships/hyperlink" Target="https://www.molex.com/webdocs/datasheets/pdf/en-us/0500798000_CRIMP_TERMINALS.pdf" TargetMode="External"/><Relationship Id="rId617" Type="http://schemas.openxmlformats.org/officeDocument/2006/relationships/hyperlink" Target="http://static.vcclite.com/pdf/lpc-4mm-round.pdf" TargetMode="External"/><Relationship Id="rId824" Type="http://schemas.openxmlformats.org/officeDocument/2006/relationships/hyperlink" Target="https://eu.mouser.com/datasheet/2/612/acex-1299421.pdf" TargetMode="External"/><Relationship Id="rId256" Type="http://schemas.openxmlformats.org/officeDocument/2006/relationships/hyperlink" Target="http://www.yageo.com.tw/exep/pages/download/literatures/PYu-R_INT-thick_7.pdf" TargetMode="External"/><Relationship Id="rId463" Type="http://schemas.openxmlformats.org/officeDocument/2006/relationships/hyperlink" Target="http://www.mouser.com/ds/2/281/c02e-2905.pdf" TargetMode="External"/><Relationship Id="rId670" Type="http://schemas.openxmlformats.org/officeDocument/2006/relationships/hyperlink" Target="https://www.yageo.com/upload/media/product/productsearch/datasheet/mlcc/UPY-GPHC_X5R_4V-to-50V_26.pdf" TargetMode="External"/><Relationship Id="rId116" Type="http://schemas.openxmlformats.org/officeDocument/2006/relationships/hyperlink" Target="https://assets.nexperia.com/documents/data-sheet/BZV55_SER.pdf" TargetMode="External"/><Relationship Id="rId323" Type="http://schemas.openxmlformats.org/officeDocument/2006/relationships/hyperlink" Target="http://product.samsungsem.com/mlcc/CL21B106KOQNNN.do" TargetMode="External"/><Relationship Id="rId530" Type="http://schemas.openxmlformats.org/officeDocument/2006/relationships/hyperlink" Target="https://office.promelec.ru/upload/items/2020/11/24/ES1A-ES1M_Hottech_.pdf" TargetMode="External"/><Relationship Id="rId768" Type="http://schemas.openxmlformats.org/officeDocument/2006/relationships/hyperlink" Target="https://mm.digikey.com/Volume0/opasdata/d220001/medias/docus/5011/AMS1117.pdf" TargetMode="External"/><Relationship Id="rId975" Type="http://schemas.openxmlformats.org/officeDocument/2006/relationships/hyperlink" Target="https://media.digikey.com/pdf/Data%20Sheets/Intel%20PDFs/Arria10_DeviceOverview.pdf" TargetMode="External"/><Relationship Id="rId20" Type="http://schemas.openxmlformats.org/officeDocument/2006/relationships/hyperlink" Target="http://datasheets.maximintegrated.com/en/ds/MAX326-MAX327.pdf" TargetMode="External"/><Relationship Id="rId628" Type="http://schemas.openxmlformats.org/officeDocument/2006/relationships/hyperlink" Target="http://www.yageo.com.tw/exep/pages/download/literatures/PYu-R_INT-thick_7.pdf" TargetMode="External"/><Relationship Id="rId835" Type="http://schemas.openxmlformats.org/officeDocument/2006/relationships/hyperlink" Target="https://www.te.com/commerce/DocumentDelivery/DDEController?Action=srchrtrv&amp;DocNm=1773270&amp;DocType=DS&amp;DocLang=English" TargetMode="External"/><Relationship Id="rId267" Type="http://schemas.openxmlformats.org/officeDocument/2006/relationships/hyperlink" Target="https://www.murata.com/~/media/webrenewal/support/library/catalog/products/capacitor/mlcc/c02e.ashx" TargetMode="External"/><Relationship Id="rId474" Type="http://schemas.openxmlformats.org/officeDocument/2006/relationships/hyperlink" Target="https://files.rct.ru/pdf/connectors/plhd_plh_01.pdf" TargetMode="External"/><Relationship Id="rId1020" Type="http://schemas.openxmlformats.org/officeDocument/2006/relationships/hyperlink" Target="https://datasheets.kyocera-avx.com/TAJ.pdf" TargetMode="External"/><Relationship Id="rId127" Type="http://schemas.openxmlformats.org/officeDocument/2006/relationships/hyperlink" Target="https://b2b.harting.com/files/download/PRD/PDF_TS/096700099XX_BL06_R29760_100196598DRW002A.pdf" TargetMode="External"/><Relationship Id="rId681" Type="http://schemas.openxmlformats.org/officeDocument/2006/relationships/hyperlink" Target="https://www.infineon.com/dgdl/irfl4310pbf.pdf?fileId=5546d462533600a40153562804ba1fbc" TargetMode="External"/><Relationship Id="rId779" Type="http://schemas.openxmlformats.org/officeDocument/2006/relationships/hyperlink" Target="https://eu.mouser.com/datasheet/2/597/0603cs-270694.pdf" TargetMode="External"/><Relationship Id="rId902" Type="http://schemas.openxmlformats.org/officeDocument/2006/relationships/hyperlink" Target="https://www.littelfuse.com/~/media/electronics/datasheets/tvs_diodes/littelfuse_tvs_diode_p6ke_datasheet.pdf.pdf" TargetMode="External"/><Relationship Id="rId986" Type="http://schemas.openxmlformats.org/officeDocument/2006/relationships/hyperlink" Target="https://cdn.macom.com/datasheets/ETC1-1-13.pdf" TargetMode="External"/><Relationship Id="rId31" Type="http://schemas.openxmlformats.org/officeDocument/2006/relationships/hyperlink" Target="http://www.nxp.com/documents/data_sheet/BAV70_SER.pdf" TargetMode="External"/><Relationship Id="rId334" Type="http://schemas.openxmlformats.org/officeDocument/2006/relationships/hyperlink" Target="http://www.murata.com/~/media/webrenewal/support/library/catalog/products/capacitor/mlcc/c02e.ashx" TargetMode="External"/><Relationship Id="rId541" Type="http://schemas.openxmlformats.org/officeDocument/2006/relationships/hyperlink" Target="https://www.yageo.com/upload/media/product/productsearch/datasheet/mlcc/UPY-GP_NP0_16V-to-50V_18.pdf" TargetMode="External"/><Relationship Id="rId639" Type="http://schemas.openxmlformats.org/officeDocument/2006/relationships/hyperlink" Target="https://www.bourns.com/docs/Product-Datasheets/3214.pdf" TargetMode="External"/><Relationship Id="rId180" Type="http://schemas.openxmlformats.org/officeDocument/2006/relationships/hyperlink" Target="http://global.kyocera.com/prdct/electro/pdf/capacitors/cm-ce.pdf" TargetMode="External"/><Relationship Id="rId278" Type="http://schemas.openxmlformats.org/officeDocument/2006/relationships/hyperlink" Target="http://www.yageo.com.tw/exep/pages/download/literatures/PYu-R_INT-thick_7.pdf" TargetMode="External"/><Relationship Id="rId401" Type="http://schemas.openxmlformats.org/officeDocument/2006/relationships/hyperlink" Target="https://www.se.com/ww/en/product/XB4BW3561/illuminated-push-button-harmony-xb4-orange-flush-complete-illum-pushbutton-%C3%B822-mm-2-4-w/" TargetMode="External"/><Relationship Id="rId846" Type="http://schemas.openxmlformats.org/officeDocument/2006/relationships/hyperlink" Target="https://www.yageo.com/upload/media/product/productsearch/datasheet/rchip/PYu-RT_1-to-0.01_RoHS_L_12.pdf" TargetMode="External"/><Relationship Id="rId1031" Type="http://schemas.openxmlformats.org/officeDocument/2006/relationships/hyperlink" Target="https://ru.mouser.com/datasheet/2/612/cyiv-51001-1299459.pdf" TargetMode="External"/><Relationship Id="rId485" Type="http://schemas.openxmlformats.org/officeDocument/2006/relationships/hyperlink" Target="https://www.minicircuits.com/WebStore/dashboard.html?model=LAT-5%2B" TargetMode="External"/><Relationship Id="rId692" Type="http://schemas.openxmlformats.org/officeDocument/2006/relationships/hyperlink" Target="https://storage.yandexcloud.net/stor.galant-e.ru/iblock/f0f/f0f47d9a7c364d6076ddcb6bd329f9c2.pdf" TargetMode="External"/><Relationship Id="rId706" Type="http://schemas.openxmlformats.org/officeDocument/2006/relationships/hyperlink" Target="https://ww1.microchip.com/downloads/en/DeviceDoc/AT25080B-AT25160B-Data-Sheet-20006244A.pdf" TargetMode="External"/><Relationship Id="rId913" Type="http://schemas.openxmlformats.org/officeDocument/2006/relationships/hyperlink" Target="https://mm.digikey.com/Volume0/opasdata/d220001/medias/docus/5727/CL21A475KBQNNNE.pdf" TargetMode="External"/><Relationship Id="rId42" Type="http://schemas.openxmlformats.org/officeDocument/2006/relationships/hyperlink" Target="http://www.betlux.com/product/LED_seven_segment_display/two_digit_seven_segment_display/BL-D30E-21.pdf" TargetMode="External"/><Relationship Id="rId138" Type="http://schemas.openxmlformats.org/officeDocument/2006/relationships/hyperlink" Target="https://api.e-components.ru/api/item/ds-1021-2-40-sf11/doc/0" TargetMode="External"/><Relationship Id="rId345" Type="http://schemas.openxmlformats.org/officeDocument/2006/relationships/hyperlink" Target="http://www.yageo.com.tw/exep/pages/download/literatures/PYu-R_INT-thick_7.pdf" TargetMode="External"/><Relationship Id="rId552" Type="http://schemas.openxmlformats.org/officeDocument/2006/relationships/hyperlink" Target="https://www.samsungsem.com/resources/file/global/support/product_catalog/MLCC.pdf" TargetMode="External"/><Relationship Id="rId997" Type="http://schemas.openxmlformats.org/officeDocument/2006/relationships/hyperlink" Target="https://www.hioki.com/global/products/current-probes/high-precision/id_5966" TargetMode="External"/><Relationship Id="rId191" Type="http://schemas.openxmlformats.org/officeDocument/2006/relationships/hyperlink" Target="http://www.vishay.com/docs/20035/dcrcwe3.pdf" TargetMode="External"/><Relationship Id="rId205" Type="http://schemas.openxmlformats.org/officeDocument/2006/relationships/hyperlink" Target="http://www.yageo.com.tw/exep/pages/download/literatures/PYu-R_INT-thick_7.pdf" TargetMode="External"/><Relationship Id="rId412" Type="http://schemas.openxmlformats.org/officeDocument/2006/relationships/hyperlink" Target="https://www.yageo.com/upload/media/product/productsearch/datasheet/lr/YAGEO%20SQP_NSP_datasheet_2021v0.pdf" TargetMode="External"/><Relationship Id="rId857" Type="http://schemas.openxmlformats.org/officeDocument/2006/relationships/hyperlink" Target="https://www.vishay.com/docs/20052/crcw0201e3.pdf" TargetMode="External"/><Relationship Id="rId1042" Type="http://schemas.openxmlformats.org/officeDocument/2006/relationships/hyperlink" Target="https://www.analog.com/media/en/technical-documentation/data-sheets/ad9233.pdf" TargetMode="External"/><Relationship Id="rId289" Type="http://schemas.openxmlformats.org/officeDocument/2006/relationships/hyperlink" Target="http://www.yageo.com.tw/exep/pages/download/literatures/PYu-R_INT-thick_7.pdf" TargetMode="External"/><Relationship Id="rId496" Type="http://schemas.openxmlformats.org/officeDocument/2006/relationships/hyperlink" Target="https://eu.mouser.com/datasheet/2/585/MLCC-1837944.pdf" TargetMode="External"/><Relationship Id="rId717" Type="http://schemas.openxmlformats.org/officeDocument/2006/relationships/hyperlink" Target="https://www.yageo.com/upload/media/product/productsearch/datasheet/rchip/PYu-RT_1-to-0.01_RoHS_L_13.pdf" TargetMode="External"/><Relationship Id="rId924" Type="http://schemas.openxmlformats.org/officeDocument/2006/relationships/hyperlink" Target="https://www.analog.com/media/en/technical-documentation/data-sheets/AD8079.pdf" TargetMode="External"/><Relationship Id="rId53" Type="http://schemas.openxmlformats.org/officeDocument/2006/relationships/hyperlink" Target="https://www.diodes.com/assets/Datasheets/ds18002.pdf" TargetMode="External"/><Relationship Id="rId149" Type="http://schemas.openxmlformats.org/officeDocument/2006/relationships/hyperlink" Target="http://files.rct.ru/pdf/connectors/h_2_12.pdf" TargetMode="External"/><Relationship Id="rId356" Type="http://schemas.openxmlformats.org/officeDocument/2006/relationships/hyperlink" Target="http://datasheets.avx.com/TPS.pdf" TargetMode="External"/><Relationship Id="rId563" Type="http://schemas.openxmlformats.org/officeDocument/2006/relationships/hyperlink" Target="https://www.yageo.com/upload/media/product/products/datasheet/mlcc/UPY-NP0X7R_MV_100-to-630V_21.pdf" TargetMode="External"/><Relationship Id="rId770" Type="http://schemas.openxmlformats.org/officeDocument/2006/relationships/hyperlink" Target="https://connect.kemet.com:7667/gateway/IntelliData-ComponentDocumentation/1.0/download/datasheet/T491D686K006AT7280" TargetMode="External"/><Relationship Id="rId216" Type="http://schemas.openxmlformats.org/officeDocument/2006/relationships/hyperlink" Target="http://www.yageo.com/NewPortal/yageodocoutput?fileName=/pdf/R-Chip/PYu-RC_Group_51_RoHS_L_0.pdf" TargetMode="External"/><Relationship Id="rId423" Type="http://schemas.openxmlformats.org/officeDocument/2006/relationships/hyperlink" Target="http://product.samsungsem.com/mlcc/CL21B106KOQNNN.do" TargetMode="External"/><Relationship Id="rId868" Type="http://schemas.openxmlformats.org/officeDocument/2006/relationships/hyperlink" Target="https://www.yageo.com/upload/media/product/productsearch/datasheet/rchip/PYu-RT_1-to-0.01_RoHS_L_12.pdf" TargetMode="External"/><Relationship Id="rId1053" Type="http://schemas.openxmlformats.org/officeDocument/2006/relationships/printerSettings" Target="../printerSettings/printerSettings1.bin"/><Relationship Id="rId630" Type="http://schemas.openxmlformats.org/officeDocument/2006/relationships/hyperlink" Target="http://www.yageo.com/documents/recent/UPY-GP_NP0_16V-to-50V_16.pdf" TargetMode="External"/><Relationship Id="rId728" Type="http://schemas.openxmlformats.org/officeDocument/2006/relationships/hyperlink" Target="https://www.klselectronic.com/kls1-3-96a-pitch-3-96mm-jst-vh-type-wire-to-board-connector" TargetMode="External"/><Relationship Id="rId935" Type="http://schemas.openxmlformats.org/officeDocument/2006/relationships/hyperlink" Target="https://source.z2data.com/2021/9/6/12/27/55/261306/PdfFile_193106.pdf" TargetMode="External"/><Relationship Id="rId64" Type="http://schemas.openxmlformats.org/officeDocument/2006/relationships/hyperlink" Target="http://www.ti.com/lit/ds/symlink/tps73601-ep.pdf" TargetMode="External"/><Relationship Id="rId367" Type="http://schemas.openxmlformats.org/officeDocument/2006/relationships/hyperlink" Target="http://search.murata.co.jp/Ceramy/image/img/A01X/G101/ENG/GRM155R71H332KA01-01.pdf" TargetMode="External"/><Relationship Id="rId574" Type="http://schemas.openxmlformats.org/officeDocument/2006/relationships/hyperlink" Target="https://datasheets.kyocera-avx.com/TAJ.pdf" TargetMode="External"/><Relationship Id="rId227" Type="http://schemas.openxmlformats.org/officeDocument/2006/relationships/hyperlink" Target="http://www.murata.com/~/media/webrenewal/support/library/catalog/products/capacitor/mlcc/c02e.ashx" TargetMode="External"/><Relationship Id="rId781" Type="http://schemas.openxmlformats.org/officeDocument/2006/relationships/hyperlink" Target="https://products.nichicon.co.jp/en/pdf/XJA043/e-uwt.pdf" TargetMode="External"/><Relationship Id="rId879" Type="http://schemas.openxmlformats.org/officeDocument/2006/relationships/hyperlink" Target="https://www.samsungsem.com/resources/file/global/support/product_catalog/MLCC.pdf" TargetMode="External"/><Relationship Id="rId434" Type="http://schemas.openxmlformats.org/officeDocument/2006/relationships/hyperlink" Target="https://static.chipdip.ru/lib/631/DOC012631321.pdf" TargetMode="External"/><Relationship Id="rId641" Type="http://schemas.openxmlformats.org/officeDocument/2006/relationships/hyperlink" Target="https://eu.mouser.com/datasheet/2/40/slc_catalog-1902066.pdf" TargetMode="External"/><Relationship Id="rId739" Type="http://schemas.openxmlformats.org/officeDocument/2006/relationships/hyperlink" Target="https://eu.mouser.com/datasheet/2/16/TestMeasurement46-1627954.pdf" TargetMode="External"/><Relationship Id="rId280" Type="http://schemas.openxmlformats.org/officeDocument/2006/relationships/hyperlink" Target="http://www.yageo.com/NewPortal/yageodocoutput?fileName=/pdf/throughhole/Yageo_LR_SQP_NSP_2013.pdf" TargetMode="External"/><Relationship Id="rId501" Type="http://schemas.openxmlformats.org/officeDocument/2006/relationships/hyperlink" Target="http://www.yageo.com/documents/recent/UPY-GP_NP0_16V-to-50V_16.pdf" TargetMode="External"/><Relationship Id="rId946" Type="http://schemas.openxmlformats.org/officeDocument/2006/relationships/hyperlink" Target="https://www.analog.com/media/en/technical-documentation/data-sheets/ADG1419.pdf" TargetMode="External"/><Relationship Id="rId75" Type="http://schemas.openxmlformats.org/officeDocument/2006/relationships/hyperlink" Target="http://suddendocs.samtec.com/prints/tfml-1xx-xx-xxx-d-xxx-mkt.pdf" TargetMode="External"/><Relationship Id="rId140" Type="http://schemas.openxmlformats.org/officeDocument/2006/relationships/hyperlink" Target="https://e-components.ru/item/ds-1025-06-2-10-p-8-br1" TargetMode="External"/><Relationship Id="rId378" Type="http://schemas.openxmlformats.org/officeDocument/2006/relationships/hyperlink" Target="https://media.digikey.com/pdf/Data%20Sheets/AVX%20PDFs/SQCA_SQCB_Ultra_Low_DS.pdf" TargetMode="External"/><Relationship Id="rId585" Type="http://schemas.openxmlformats.org/officeDocument/2006/relationships/hyperlink" Target="https://eu.mouser.com/datasheet/2/447/PYu_RT_1_to_0_01_RoHS_L_12-3003070.pdf" TargetMode="External"/><Relationship Id="rId792" Type="http://schemas.openxmlformats.org/officeDocument/2006/relationships/hyperlink" Target="https://www.ckswitches.com/media/1467/pts525.pdf" TargetMode="External"/><Relationship Id="rId806" Type="http://schemas.openxmlformats.org/officeDocument/2006/relationships/hyperlink" Target="https://www.intel.com/content/dam/www/programmable/us/en/pdfs/literature/ds/archives/dsf10ke.pdf" TargetMode="External"/><Relationship Id="rId6" Type="http://schemas.openxmlformats.org/officeDocument/2006/relationships/hyperlink" Target="http://194.75.38.69/pdfs/TC16-161T+.pdf" TargetMode="External"/><Relationship Id="rId238" Type="http://schemas.openxmlformats.org/officeDocument/2006/relationships/hyperlink" Target="http://www.yageo.com.tw/exep/pages/download/literatures/PYu-R_INT-thick_7.pdf" TargetMode="External"/><Relationship Id="rId445" Type="http://schemas.openxmlformats.org/officeDocument/2006/relationships/hyperlink" Target="https://www.ti.com/lit/ds/symlink/lm2937.pdf" TargetMode="External"/><Relationship Id="rId652" Type="http://schemas.openxmlformats.org/officeDocument/2006/relationships/hyperlink" Target="https://media.digikey.com/pdf/Data%20Sheets/Vishay%20Vitramon/VJSeries_Quad_HIFREQ.pdf" TargetMode="External"/><Relationship Id="rId291" Type="http://schemas.openxmlformats.org/officeDocument/2006/relationships/hyperlink" Target="http://www.yageo.com/documents/recent/UPY-GP_NP0_16V-to-50V_16.pdf" TargetMode="External"/><Relationship Id="rId305" Type="http://schemas.openxmlformats.org/officeDocument/2006/relationships/hyperlink" Target="https://www.murata.com/~/media/webrenewal/support/library/catalog/products/capacitor/mlcc/c02e.ashx?la=en-us" TargetMode="External"/><Relationship Id="rId512" Type="http://schemas.openxmlformats.org/officeDocument/2006/relationships/hyperlink" Target="https://www.yageo.com/upload/media/product/productsearch/datasheet/mlcc/UPY-GPHC_X5R_4V-to-50V_26.pdf" TargetMode="External"/><Relationship Id="rId957" Type="http://schemas.openxmlformats.org/officeDocument/2006/relationships/hyperlink" Target="https://search.murata.co.jp/Ceramy/image/img/A01X/G101/ENG/GRM43DR73A473KW01-01.pdf" TargetMode="External"/><Relationship Id="rId86" Type="http://schemas.openxmlformats.org/officeDocument/2006/relationships/hyperlink" Target="https://api.e-components.ru/api/item/ds-1021-2-40-sf11/doc/0" TargetMode="External"/><Relationship Id="rId151" Type="http://schemas.openxmlformats.org/officeDocument/2006/relationships/hyperlink" Target="https://www.digikey.com/htmldatasheets/production/1004688/0/0/1/mt49h64-32-16mx-x-.html" TargetMode="External"/><Relationship Id="rId389" Type="http://schemas.openxmlformats.org/officeDocument/2006/relationships/hyperlink" Target="https://www.onsemi.com/pdf/datasheet/lm324-d.pdf" TargetMode="External"/><Relationship Id="rId596" Type="http://schemas.openxmlformats.org/officeDocument/2006/relationships/hyperlink" Target="https://www.minicircuits.com/WebStore/dashboard.html?model=T1-1T-X65%2B" TargetMode="External"/><Relationship Id="rId817" Type="http://schemas.openxmlformats.org/officeDocument/2006/relationships/hyperlink" Target="https://rocelec.widen.net/view/pdf/m6hdfwxhum/INFNS19426-1.pdf?t.download=true&amp;u=5oefqw" TargetMode="External"/><Relationship Id="rId1002" Type="http://schemas.openxmlformats.org/officeDocument/2006/relationships/hyperlink" Target="https://mm.digikey.com/Volume0/opasdata/d220001/medias/docus/649/Universe_IIDB_User_Manual.pdf" TargetMode="External"/><Relationship Id="rId249" Type="http://schemas.openxmlformats.org/officeDocument/2006/relationships/hyperlink" Target="http://www.yageo.com.tw/exep/pages/download/literatures/PYu-R_INT-thick_7.pdf" TargetMode="External"/><Relationship Id="rId456" Type="http://schemas.openxmlformats.org/officeDocument/2006/relationships/hyperlink" Target="https://www.yageo.com/upload/media/product/productsearch/datasheet/rchip/PYu-RT_1-to-0.01_RoHS_L_12.pdf" TargetMode="External"/><Relationship Id="rId663" Type="http://schemas.openxmlformats.org/officeDocument/2006/relationships/hyperlink" Target="https://www.q-crystal.com/Public/Uploads/Admin/2022-04-19/625e8e18c8ffe.pdf" TargetMode="External"/><Relationship Id="rId870" Type="http://schemas.openxmlformats.org/officeDocument/2006/relationships/hyperlink" Target="https://www.onsemi.com/pdf/datasheet/mmbta42lt1-d.pdf" TargetMode="External"/><Relationship Id="rId13" Type="http://schemas.openxmlformats.org/officeDocument/2006/relationships/hyperlink" Target="http://www.bourns.com/data/global/pdfs/mfr.pdf" TargetMode="External"/><Relationship Id="rId109" Type="http://schemas.openxmlformats.org/officeDocument/2006/relationships/hyperlink" Target="http://www.ti.com/lit/ds/symlink/tps82085.pdf" TargetMode="External"/><Relationship Id="rId316" Type="http://schemas.openxmlformats.org/officeDocument/2006/relationships/hyperlink" Target="http://www.yageo.com.tw/exep/pages/download/literatures/PYu-R_INT-thick_7.pdf" TargetMode="External"/><Relationship Id="rId523" Type="http://schemas.openxmlformats.org/officeDocument/2006/relationships/hyperlink" Target="https://industrial.panasonic.com/sa/products/pt/high-precision-chip-resistors/models/ERA3AEB4751V" TargetMode="External"/><Relationship Id="rId968" Type="http://schemas.openxmlformats.org/officeDocument/2006/relationships/hyperlink" Target="https://www.amphenolrf.com/media/downloads/7034/132360.pdf" TargetMode="External"/><Relationship Id="rId97" Type="http://schemas.openxmlformats.org/officeDocument/2006/relationships/hyperlink" Target="https://www.bourns.com/docs/Product-Datasheets/SMAJ.pdf" TargetMode="External"/><Relationship Id="rId730" Type="http://schemas.openxmlformats.org/officeDocument/2006/relationships/hyperlink" Target="https://static.chipdip.ru/lib/492/DOC001492237.pdf" TargetMode="External"/><Relationship Id="rId828" Type="http://schemas.openxmlformats.org/officeDocument/2006/relationships/hyperlink" Target="https://rocelec.widen.net/view/pdf/vg5irfcitj/ONSM-S-A0003590433-1.pdf?t.download=true&amp;u=5oefqw" TargetMode="External"/><Relationship Id="rId1013" Type="http://schemas.openxmlformats.org/officeDocument/2006/relationships/hyperlink" Target="https://www.vishay.com/docs/88369/p6ke.pdf" TargetMode="External"/><Relationship Id="rId162" Type="http://schemas.openxmlformats.org/officeDocument/2006/relationships/hyperlink" Target="https://e-components.ru/item/ds-1025-06-2-10-p-8-br1" TargetMode="External"/><Relationship Id="rId467" Type="http://schemas.openxmlformats.org/officeDocument/2006/relationships/hyperlink" Target="https://www.infineon.com/dgdl/irlml2502pbf-1.pdf?fileId=5546d462533600a4015356680e672608" TargetMode="External"/><Relationship Id="rId674" Type="http://schemas.openxmlformats.org/officeDocument/2006/relationships/hyperlink" Target="https://www.yageo.com/upload/media/product/productsearch/datasheet/mlcc/UPY-NP0X7R_MV_100-to-630V_24.pdf" TargetMode="External"/><Relationship Id="rId881" Type="http://schemas.openxmlformats.org/officeDocument/2006/relationships/hyperlink" Target="https://www.yageo.com/upload/media/product/productsearch/datasheet/rchip/PYu-RT_1-to-0.01_RoHS_L_15.pdf" TargetMode="External"/><Relationship Id="rId979" Type="http://schemas.openxmlformats.org/officeDocument/2006/relationships/hyperlink" Target="http://www.yageo.com.tw/exep/pages/download/literatures/PYu-R_INT-thick_7.pdf" TargetMode="External"/><Relationship Id="rId24" Type="http://schemas.openxmlformats.org/officeDocument/2006/relationships/hyperlink" Target="http://www.nxp.com/documents/data_sheet/BC807_BC807W_BC327.pdf" TargetMode="External"/><Relationship Id="rId327" Type="http://schemas.openxmlformats.org/officeDocument/2006/relationships/hyperlink" Target="http://www.murata.com/~/media/webrenewal/support/library/catalog/products/capacitor/mlcc/c02e.ashx" TargetMode="External"/><Relationship Id="rId534" Type="http://schemas.openxmlformats.org/officeDocument/2006/relationships/hyperlink" Target="https://www.compel.ru/item-pdf/2ca05892a5bb3eb7a0e3e30c732d9f5e/ps/kls~kls1-207.pdf" TargetMode="External"/><Relationship Id="rId741" Type="http://schemas.openxmlformats.org/officeDocument/2006/relationships/hyperlink" Target="https://eu.mouser.com/datasheet/2/16/TestMeasurement46-1627954.pdf" TargetMode="External"/><Relationship Id="rId839" Type="http://schemas.openxmlformats.org/officeDocument/2006/relationships/hyperlink" Target="https://b2b.harting.com/files/download/PRD/PDF_DS/PDF_DS_09561004704_EN.pdf" TargetMode="External"/><Relationship Id="rId173" Type="http://schemas.openxmlformats.org/officeDocument/2006/relationships/hyperlink" Target="http://www.murata.com/~/media/webrenewal/support/library/catalog/products/capacitor/mlcc/c02e.ashx" TargetMode="External"/><Relationship Id="rId380" Type="http://schemas.openxmlformats.org/officeDocument/2006/relationships/hyperlink" Target="http://www.samsungsem.com/kr/support/product-search/mlcc/__icsFiles/afieldfile/2018/06/20/CL10A106MQ8NNNC.pdf" TargetMode="External"/><Relationship Id="rId601" Type="http://schemas.openxmlformats.org/officeDocument/2006/relationships/hyperlink" Target="https://datasheets.maximintegrated.com/en/ds/MAX3051.pdf" TargetMode="External"/><Relationship Id="rId1024" Type="http://schemas.openxmlformats.org/officeDocument/2006/relationships/hyperlink" Target="https://www.eaton.com/content/dam/eaton/products/electrical-circuit-protection/fuses/data-sheets/bus-ele-ds-1011-ktk.pdf" TargetMode="External"/><Relationship Id="rId240" Type="http://schemas.openxmlformats.org/officeDocument/2006/relationships/hyperlink" Target="http://www.yageo.com.tw/exep/pages/download/literatures/PYu-R_INT-thick_7.pdf" TargetMode="External"/><Relationship Id="rId478" Type="http://schemas.openxmlformats.org/officeDocument/2006/relationships/hyperlink" Target="https://www.yageo.com/upload/media/product/productsearch/datasheet/mlcc/UPY-GPHC_X7R_6.3V-to-50V_20.pdf" TargetMode="External"/><Relationship Id="rId685" Type="http://schemas.openxmlformats.org/officeDocument/2006/relationships/hyperlink" Target="https://www.yageo.com/upload/media/product/productsearch/datasheet/mlcc/UPY-GPHC_X7R_6.3V-to-250V_22.pdf" TargetMode="External"/><Relationship Id="rId892" Type="http://schemas.openxmlformats.org/officeDocument/2006/relationships/hyperlink" Target="https://eu.mouser.com/datasheet/2/612/cfg_cf52004-1299428.pdf" TargetMode="External"/><Relationship Id="rId906" Type="http://schemas.openxmlformats.org/officeDocument/2006/relationships/hyperlink" Target="https://www.murata.com/en-us/products/productdata/8801427816478/SPEC-CSTNE8M00G52A000R0.pdf" TargetMode="External"/><Relationship Id="rId35" Type="http://schemas.openxmlformats.org/officeDocument/2006/relationships/hyperlink" Target="http://media.digikey.com/pdf/Data%20Sheets/Toko%20PDFs/7MCS-8128Z.pdf" TargetMode="External"/><Relationship Id="rId100" Type="http://schemas.openxmlformats.org/officeDocument/2006/relationships/hyperlink" Target="https://api.eltech.spb.ru/api/item/ds-1035-44-mwnsiss/doc/0" TargetMode="External"/><Relationship Id="rId338" Type="http://schemas.openxmlformats.org/officeDocument/2006/relationships/hyperlink" Target="http://product.samsungsem.com/mlcc/CL21B106KOQNNN.do" TargetMode="External"/><Relationship Id="rId545" Type="http://schemas.openxmlformats.org/officeDocument/2006/relationships/hyperlink" Target="http://www.yageo.com/documents/recent/UPY-GP_NP0_16V-to-50V_16.pdf" TargetMode="External"/><Relationship Id="rId752" Type="http://schemas.openxmlformats.org/officeDocument/2006/relationships/hyperlink" Target="https://www.1-cable.ru/upload/models/pdf/20130-05.pdf" TargetMode="External"/><Relationship Id="rId184" Type="http://schemas.openxmlformats.org/officeDocument/2006/relationships/hyperlink" Target="http://www.vishay.com/docs/20035/dcrcwe3.pdf" TargetMode="External"/><Relationship Id="rId391" Type="http://schemas.openxmlformats.org/officeDocument/2006/relationships/hyperlink" Target="http://www.yageo.com.tw/exep/pages/download/literatures/PYu-R_INT-thick_7.pdf" TargetMode="External"/><Relationship Id="rId405" Type="http://schemas.openxmlformats.org/officeDocument/2006/relationships/hyperlink" Target="http://weblib.samsungsem.com/mlcc/mlcc-ec-data-sheet.do?partNumber=CL32A107MQVNNN" TargetMode="External"/><Relationship Id="rId612" Type="http://schemas.openxmlformats.org/officeDocument/2006/relationships/hyperlink" Target="https://eu.mouser.com/datasheet/2/212/1/KEM_T2005_T491-1093550.pdf" TargetMode="External"/><Relationship Id="rId1035" Type="http://schemas.openxmlformats.org/officeDocument/2006/relationships/hyperlink" Target="https://www.yageo.com/upload/media/product/productsearch/datasheet/rchip/PYu-RT_1-to-0.01_RoHS_L_13.pdf" TargetMode="External"/><Relationship Id="rId251" Type="http://schemas.openxmlformats.org/officeDocument/2006/relationships/hyperlink" Target="http://www.yageo.com.tw/exep/pages/download/literatures/PYu-R_INT-thick_7.pdf" TargetMode="External"/><Relationship Id="rId489" Type="http://schemas.openxmlformats.org/officeDocument/2006/relationships/hyperlink" Target="http://www.yageo.com.tw/exep/pages/download/literatures/PYu-R_INT-thick_7.pdf" TargetMode="External"/><Relationship Id="rId696" Type="http://schemas.openxmlformats.org/officeDocument/2006/relationships/hyperlink" Target="https://www.yageo.com/upload/media/product/productsearch/datasheet/lr/YAGEO%20CFR_datasheet_2021v0.pdf" TargetMode="External"/><Relationship Id="rId917" Type="http://schemas.openxmlformats.org/officeDocument/2006/relationships/hyperlink" Target="https://www.analog.com/media/en/technical-documentation/data-sheets/ADG701_702.pdf" TargetMode="External"/><Relationship Id="rId46" Type="http://schemas.openxmlformats.org/officeDocument/2006/relationships/hyperlink" Target="http://www.analog.com/media/en/technical-documentation/obsolete-data-sheets/ADP1148.pdf" TargetMode="External"/><Relationship Id="rId349" Type="http://schemas.openxmlformats.org/officeDocument/2006/relationships/hyperlink" Target="https://asenergi.ru/catalog/kondensatory-puskovye/cbb60.html" TargetMode="External"/><Relationship Id="rId556" Type="http://schemas.openxmlformats.org/officeDocument/2006/relationships/hyperlink" Target="http://www.yageo.com/documents/recent/UPY-GP_NP0_16V-to-50V_16.pdf" TargetMode="External"/><Relationship Id="rId763" Type="http://schemas.openxmlformats.org/officeDocument/2006/relationships/hyperlink" Target="https://www.analog.com/media/en/technical-documentation/data-sheets/ADM2582E_2587E.pdf" TargetMode="External"/><Relationship Id="rId111" Type="http://schemas.openxmlformats.org/officeDocument/2006/relationships/hyperlink" Target="https://www.tdk-electronics.tdk.com/inf/30/db/ind_2008/b82496c.pdf" TargetMode="External"/><Relationship Id="rId195" Type="http://schemas.openxmlformats.org/officeDocument/2006/relationships/hyperlink" Target="http://www.vishay.com/docs/20035/dcrcwe3.pdf" TargetMode="External"/><Relationship Id="rId209" Type="http://schemas.openxmlformats.org/officeDocument/2006/relationships/hyperlink" Target="http://www.yageo.com.tw/exep/pages/download/literatures/PYu-R_INT-thick_7.pdf" TargetMode="External"/><Relationship Id="rId416" Type="http://schemas.openxmlformats.org/officeDocument/2006/relationships/hyperlink" Target="https://connect.kemet.com:7667/gateway/IntelliData-ComponentDocumentation/1.0/download/datasheet/C0603C101K5GACTU" TargetMode="External"/><Relationship Id="rId970" Type="http://schemas.openxmlformats.org/officeDocument/2006/relationships/hyperlink" Target="https://www.assmann-wsw.com/uploads/datasheets/ASS_8371_CO.pdf" TargetMode="External"/><Relationship Id="rId1046" Type="http://schemas.openxmlformats.org/officeDocument/2006/relationships/hyperlink" Target="https://assets.nexperia.com/documents/data-sheet/BZX384_SER.pdf" TargetMode="External"/><Relationship Id="rId623" Type="http://schemas.openxmlformats.org/officeDocument/2006/relationships/hyperlink" Target="https://www.minicircuits.com/pdfs/SYBP-1950+.pdf" TargetMode="External"/><Relationship Id="rId830" Type="http://schemas.openxmlformats.org/officeDocument/2006/relationships/hyperlink" Target="https://www.te.com/commerce/DocumentDelivery/DDEController?Action=srchrtrv&amp;DocNm=RT2pb&amp;DocType=DS&amp;DocLang=English" TargetMode="External"/><Relationship Id="rId928" Type="http://schemas.openxmlformats.org/officeDocument/2006/relationships/hyperlink" Target="https://mm.digikey.com/Volume0/opasdata/d220001/medias/docus/4271/B39162B3913U410_DS.pdf" TargetMode="External"/><Relationship Id="rId57" Type="http://schemas.openxmlformats.org/officeDocument/2006/relationships/hyperlink" Target="https://eu.mouser.com/ds/2/597/0805cs-270614.pdf" TargetMode="External"/><Relationship Id="rId262" Type="http://schemas.openxmlformats.org/officeDocument/2006/relationships/hyperlink" Target="http://www.atceramics.com/UserFiles/600s.pdf" TargetMode="External"/><Relationship Id="rId567" Type="http://schemas.openxmlformats.org/officeDocument/2006/relationships/hyperlink" Target="https://assets.nexperia.com/documents/data-sheet/BC847X_SER.pdf" TargetMode="External"/><Relationship Id="rId122" Type="http://schemas.openxmlformats.org/officeDocument/2006/relationships/hyperlink" Target="https://www.we-online.de/katalog/datasheet/74279226101.pdf" TargetMode="External"/><Relationship Id="rId774" Type="http://schemas.openxmlformats.org/officeDocument/2006/relationships/hyperlink" Target="http://www.yageo.com/exep/pages/download/literatures/ProductSelectionGuide%202014_Final_2.pdf" TargetMode="External"/><Relationship Id="rId981" Type="http://schemas.openxmlformats.org/officeDocument/2006/relationships/hyperlink" Target="http://www.yageo.com/documents/recent/UPY-GP_NP0_16V-to-50V_16.pdf" TargetMode="External"/><Relationship Id="rId427" Type="http://schemas.openxmlformats.org/officeDocument/2006/relationships/hyperlink" Target="https://www.richardsonrfpd.com/docs/rfpd/resistive_products(1).pdf" TargetMode="External"/><Relationship Id="rId634" Type="http://schemas.openxmlformats.org/officeDocument/2006/relationships/hyperlink" Target="https://www.vishay.com/docs/20065/rcse3.pdf" TargetMode="External"/><Relationship Id="rId841" Type="http://schemas.openxmlformats.org/officeDocument/2006/relationships/hyperlink" Target="https://eu.mouser.com/datasheet/2/597/0402cs-253326.pdf" TargetMode="External"/><Relationship Id="rId273" Type="http://schemas.openxmlformats.org/officeDocument/2006/relationships/hyperlink" Target="https://search.murata.co.jp/Ceramy/image/img/A01X/G101/ENG/GRM32ER61A107ME20-01.pdf" TargetMode="External"/><Relationship Id="rId480" Type="http://schemas.openxmlformats.org/officeDocument/2006/relationships/hyperlink" Target="https://files.rct.ru/pdf/terminal-block/2edgvm-5.0.pdf" TargetMode="External"/><Relationship Id="rId701" Type="http://schemas.openxmlformats.org/officeDocument/2006/relationships/hyperlink" Target="https://eu.mouser.com/datasheet/2/1030/YAT_3A_2b-1842856.pdf" TargetMode="External"/><Relationship Id="rId939" Type="http://schemas.openxmlformats.org/officeDocument/2006/relationships/hyperlink" Target="https://www.analog.com/media/en/technical-documentation/data-sheets/AD8079.pdf" TargetMode="External"/><Relationship Id="rId68" Type="http://schemas.openxmlformats.org/officeDocument/2006/relationships/hyperlink" Target="https://api.e-components.ru/api/item/ds-1069-2-fcw/doc/0" TargetMode="External"/><Relationship Id="rId133" Type="http://schemas.openxmlformats.org/officeDocument/2006/relationships/hyperlink" Target="https://www.altera.com/content/dam/altera-www/global/en_US/pdfs/literature/hb/cyclone-iv/cyiv-53001.pdf" TargetMode="External"/><Relationship Id="rId340" Type="http://schemas.openxmlformats.org/officeDocument/2006/relationships/hyperlink" Target="http://www.yageo.com/documents/recent/UPY-GP_NP0_16V-to-50V_16.pdf" TargetMode="External"/><Relationship Id="rId578" Type="http://schemas.openxmlformats.org/officeDocument/2006/relationships/hyperlink" Target="https://www.te.com/commerce/DocumentDelivery/DDEController?Action=srchrtrv&amp;DocNm=1773270&amp;DocType=DS&amp;DocLang=English" TargetMode="External"/><Relationship Id="rId785" Type="http://schemas.openxmlformats.org/officeDocument/2006/relationships/hyperlink" Target="https://www.yageo.com/upload/media/product/productsearch/datasheet/mlcc/UPY-GPHC_X7R_6.3V-to-250V_23.pdf" TargetMode="External"/><Relationship Id="rId992" Type="http://schemas.openxmlformats.org/officeDocument/2006/relationships/hyperlink" Target="https://www.tdk-electronics.tdk.com/inf/30/db/ind_2008/b82496c.pdf" TargetMode="External"/><Relationship Id="rId200" Type="http://schemas.openxmlformats.org/officeDocument/2006/relationships/hyperlink" Target="http://www.yageo.com.tw/exep/pages/download/literatures/PYu-R_INT-thick_7.pdf" TargetMode="External"/><Relationship Id="rId438" Type="http://schemas.openxmlformats.org/officeDocument/2006/relationships/hyperlink" Target="https://www.kingbrightusa.com/images/catalog/SPEC/SA04-11SRWA.pdf" TargetMode="External"/><Relationship Id="rId645" Type="http://schemas.openxmlformats.org/officeDocument/2006/relationships/hyperlink" Target="https://www.minicircuits.com/pdfs/CBP-1880E+.pdf" TargetMode="External"/><Relationship Id="rId852" Type="http://schemas.openxmlformats.org/officeDocument/2006/relationships/hyperlink" Target="https://www.yageo.com/upload/media/product/productsearch/datasheet/rchip/PYu-RT_1-to-0.01_RoHS_L_12.pdf" TargetMode="External"/><Relationship Id="rId284" Type="http://schemas.openxmlformats.org/officeDocument/2006/relationships/hyperlink" Target="http://www.yageo.com.tw/exep/pages/download/literatures/PYu-R_INT-thick_7.pdf" TargetMode="External"/><Relationship Id="rId491" Type="http://schemas.openxmlformats.org/officeDocument/2006/relationships/hyperlink" Target="https://industrial.panasonic.com/cdbs/www-data/pdf/RDM0000/AOA0000C307.pdf" TargetMode="External"/><Relationship Id="rId505" Type="http://schemas.openxmlformats.org/officeDocument/2006/relationships/hyperlink" Target="https://www.yageo.com/upload/media/product/productsearch/datasheet/mlcc/UPY-GP_NP0_16V-to-50V_18.pdf" TargetMode="External"/><Relationship Id="rId712" Type="http://schemas.openxmlformats.org/officeDocument/2006/relationships/hyperlink" Target="https://285624.selcdn.ru/syms1/iblock/0e8/0e8f10ef7e1ea578ca8a31057c04fb76/9cddc5f08a0492077878d49af311824d.pdf" TargetMode="External"/><Relationship Id="rId79" Type="http://schemas.openxmlformats.org/officeDocument/2006/relationships/hyperlink" Target="http://www.onsemi.com/pub/Collateral/MT9P031-D.PDF" TargetMode="External"/><Relationship Id="rId144" Type="http://schemas.openxmlformats.org/officeDocument/2006/relationships/hyperlink" Target="https://www.intel.com/content/dam/www/programmable/us/en/pdfs/literature/hb/cfg/cyc_c51014.pdf" TargetMode="External"/><Relationship Id="rId589" Type="http://schemas.openxmlformats.org/officeDocument/2006/relationships/hyperlink" Target="https://connect.kemet.com:7667/gateway/IntelliData-ComponentDocumentation/1.0/download/datasheet/C1210X103J5GAC7800" TargetMode="External"/><Relationship Id="rId796" Type="http://schemas.openxmlformats.org/officeDocument/2006/relationships/hyperlink" Target="https://www.koaspeer.com/pdfs/RK73H.pdf" TargetMode="External"/><Relationship Id="rId351" Type="http://schemas.openxmlformats.org/officeDocument/2006/relationships/hyperlink" Target="https://www.murata.com/~/media/webrenewal/support/library/catalog/products/capacitor/mlcc/c02e.ashx?la=en-us" TargetMode="External"/><Relationship Id="rId449" Type="http://schemas.openxmlformats.org/officeDocument/2006/relationships/hyperlink" Target="https://www.yageo.com/upload/media/product/productsearch/datasheet/rchip/PYu-RT_1-to-0.01_RoHS_L_12.pdf" TargetMode="External"/><Relationship Id="rId656" Type="http://schemas.openxmlformats.org/officeDocument/2006/relationships/hyperlink" Target="http://www.yageo.com.tw/exep/pages/download/literatures/PYu-R_INT-thick_7.pdf" TargetMode="External"/><Relationship Id="rId863" Type="http://schemas.openxmlformats.org/officeDocument/2006/relationships/hyperlink" Target="https://www.yageo.com/upload/media/product/productsearch/datasheet/rchip/PYu-RT_1-to-0.01_RoHS_L_12.pdf" TargetMode="External"/><Relationship Id="rId211" Type="http://schemas.openxmlformats.org/officeDocument/2006/relationships/hyperlink" Target="http://www.yageo.com.tw/exep/pages/download/literatures/PYu-R_INT-thick_7.pdf" TargetMode="External"/><Relationship Id="rId295" Type="http://schemas.openxmlformats.org/officeDocument/2006/relationships/hyperlink" Target="https://search.murata.co.jp/Ceramy/image/img/A01X/G101/ENG/GRM31CC72A475ME11-01A.pdf" TargetMode="External"/><Relationship Id="rId309" Type="http://schemas.openxmlformats.org/officeDocument/2006/relationships/hyperlink" Target="https://www.tdk-electronics.tdk.com/inf/20/20/db/fc_2009/B32520_529.pdf?ref_disty=digikey" TargetMode="External"/><Relationship Id="rId516" Type="http://schemas.openxmlformats.org/officeDocument/2006/relationships/hyperlink" Target="https://eu.mouser.com/datasheet/2/585/MLCC-1837944.pdf" TargetMode="External"/><Relationship Id="rId723" Type="http://schemas.openxmlformats.org/officeDocument/2006/relationships/hyperlink" Target="http://www.yageo.com/NewPortal/yageodocoutput?fileName=/pdf/R-Chip/PYu-RC_Group_51_RoHS_L_0.pdf" TargetMode="External"/><Relationship Id="rId930" Type="http://schemas.openxmlformats.org/officeDocument/2006/relationships/hyperlink" Target="https://www.yageo.com/upload/media/product/productsearch/datasheet/rchip/PYu-RT_1-to-0.01_RoHS_L_13.pdf" TargetMode="External"/><Relationship Id="rId1006" Type="http://schemas.openxmlformats.org/officeDocument/2006/relationships/hyperlink" Target="https://www.molex.com/content/dam/molex/molex-dot-com/products/automated/en-us/salesdrawingpdf/524/52418/524180310_sd.pdf?inline" TargetMode="External"/><Relationship Id="rId155" Type="http://schemas.openxmlformats.org/officeDocument/2006/relationships/hyperlink" Target="https://www.molex.com/molex/products/part-detail/crimp_housings/0355070600" TargetMode="External"/><Relationship Id="rId362" Type="http://schemas.openxmlformats.org/officeDocument/2006/relationships/hyperlink" Target="http://datasheets.avx.com/TPS.pdf" TargetMode="External"/><Relationship Id="rId222" Type="http://schemas.openxmlformats.org/officeDocument/2006/relationships/hyperlink" Target="http://www.yageo.com/NewPortal/yageodocoutput?fileName=/pdf/R-Chip/PYu-RC_Group_51_RoHS_L_0.pdf" TargetMode="External"/><Relationship Id="rId667" Type="http://schemas.openxmlformats.org/officeDocument/2006/relationships/hyperlink" Target="https://www.samsungsem.com/resources/file/global/support/product_catalog/MLCC.pdf" TargetMode="External"/><Relationship Id="rId874" Type="http://schemas.openxmlformats.org/officeDocument/2006/relationships/hyperlink" Target="https://www.micros.com.pl/mediaserver/Z_SH8.0-F-B_AMASS_0001.pdf" TargetMode="External"/><Relationship Id="rId17" Type="http://schemas.openxmlformats.org/officeDocument/2006/relationships/hyperlink" Target="http://www.onsemi.com/pub_link/Collateral/MC33078-D.PDF" TargetMode="External"/><Relationship Id="rId527" Type="http://schemas.openxmlformats.org/officeDocument/2006/relationships/hyperlink" Target="https://www.murata.com/~/media/webrenewal/support/library/catalog/products/capacitor/mlcc/c02e.ashx?la=en-us" TargetMode="External"/><Relationship Id="rId734" Type="http://schemas.openxmlformats.org/officeDocument/2006/relationships/hyperlink" Target="https://media.digikey.com/pdf/Data%20Sheets/Rohm%20PDFs/MNR18_Series.pdf" TargetMode="External"/><Relationship Id="rId941" Type="http://schemas.openxmlformats.org/officeDocument/2006/relationships/hyperlink" Target="https://www.analog.com/media/en/technical-documentation/data-sheets/ad9233.pdf" TargetMode="External"/><Relationship Id="rId70" Type="http://schemas.openxmlformats.org/officeDocument/2006/relationships/hyperlink" Target="https://api.e-components.ru/api/item/ds-1069-3-fcw/doc/0" TargetMode="External"/><Relationship Id="rId166" Type="http://schemas.openxmlformats.org/officeDocument/2006/relationships/hyperlink" Target="https://www.te.com/usa-en/product-826656-5.html" TargetMode="External"/><Relationship Id="rId373" Type="http://schemas.openxmlformats.org/officeDocument/2006/relationships/hyperlink" Target="https://www.diodes.com/assets/Datasheets/ds30270.pdf" TargetMode="External"/><Relationship Id="rId580" Type="http://schemas.openxmlformats.org/officeDocument/2006/relationships/hyperlink" Target="https://eu.mouser.com/datasheet/2/447/PYu_RT_1_to_0_01_RoHS_L_12-3003070.pdf" TargetMode="External"/><Relationship Id="rId801" Type="http://schemas.openxmlformats.org/officeDocument/2006/relationships/hyperlink" Target="http://www.yageo.com/exep/pages/download/literatures/ProductSelectionGuide%202014_Final_2.pdf" TargetMode="External"/><Relationship Id="rId1017" Type="http://schemas.openxmlformats.org/officeDocument/2006/relationships/hyperlink" Target="https://www.tme.eu/Document/58871157ae0a09146c79dab4399bd814/amass8.pdf" TargetMode="External"/><Relationship Id="rId1" Type="http://schemas.openxmlformats.org/officeDocument/2006/relationships/hyperlink" Target="http://www.nxp.com/documents/data_sheet/BC856W_BC857W_BC858W.pdf" TargetMode="External"/><Relationship Id="rId233" Type="http://schemas.openxmlformats.org/officeDocument/2006/relationships/hyperlink" Target="http://www.yageo.com.tw/exep/pages/download/literatures/PYu-R_INT-thick_7.pdf" TargetMode="External"/><Relationship Id="rId440" Type="http://schemas.openxmlformats.org/officeDocument/2006/relationships/hyperlink" Target="https://media.digikey.com/pdf/Data%20Sheets/Fairchild%20PDFs/BZX55C2V4%20-%20BZX55C56.pdf" TargetMode="External"/><Relationship Id="rId678" Type="http://schemas.openxmlformats.org/officeDocument/2006/relationships/hyperlink" Target="https://files.rct.ru/pdf/quartz/soc0705.pdf" TargetMode="External"/><Relationship Id="rId885" Type="http://schemas.openxmlformats.org/officeDocument/2006/relationships/hyperlink" Target="https://eu.mouser.com/datasheet/2/447/PYu_RT_1_to_0_01_RoHS_L_12-3003070.pdf" TargetMode="External"/><Relationship Id="rId28" Type="http://schemas.openxmlformats.org/officeDocument/2006/relationships/hyperlink" Target="http://www.littelfuse.com/data/en/data_sheets/431.pdf" TargetMode="External"/><Relationship Id="rId300" Type="http://schemas.openxmlformats.org/officeDocument/2006/relationships/hyperlink" Target="https://www.atceramics.com/UserFiles/slc_catalog.pdf" TargetMode="External"/><Relationship Id="rId538" Type="http://schemas.openxmlformats.org/officeDocument/2006/relationships/hyperlink" Target="https://product.tdk.com/system/files/dam/doc/product/inductor/inductor/smd/catalog/inductor_automotive_power_clf12577ni-d_en.pdf" TargetMode="External"/><Relationship Id="rId745" Type="http://schemas.openxmlformats.org/officeDocument/2006/relationships/hyperlink" Target="https://www.1-cable.ru/models/20230-3401.html" TargetMode="External"/><Relationship Id="rId952" Type="http://schemas.openxmlformats.org/officeDocument/2006/relationships/hyperlink" Target="https://eu.mouser.com/datasheet/2/16/TestMeasurement46-1627954.pdf" TargetMode="External"/><Relationship Id="rId81" Type="http://schemas.openxmlformats.org/officeDocument/2006/relationships/hyperlink" Target="https://www.diodes.com/assets/Datasheets/ds31037.pdf" TargetMode="External"/><Relationship Id="rId177" Type="http://schemas.openxmlformats.org/officeDocument/2006/relationships/hyperlink" Target="http://www.murata.com/~/media/webrenewal/support/library/catalog/products/capacitor/mlcc/c02e.ashx" TargetMode="External"/><Relationship Id="rId384" Type="http://schemas.openxmlformats.org/officeDocument/2006/relationships/hyperlink" Target="https://search.murata.co.jp/Ceramy/image/img/A01X/G101/ENG/GRM42A5C3F220JW01-01.pdf" TargetMode="External"/><Relationship Id="rId591" Type="http://schemas.openxmlformats.org/officeDocument/2006/relationships/hyperlink" Target="https://www.yageo.com/upload/media/product/products/datasheet/mlcc/UPY-NP0X7R_MV_100-to-630V_21.pdf" TargetMode="External"/><Relationship Id="rId605" Type="http://schemas.openxmlformats.org/officeDocument/2006/relationships/hyperlink" Target="https://search.murata.co.jp/Ceramy/image/img/A01X/G101/ENG/GCG1885G1H100JA01-01.pdf" TargetMode="External"/><Relationship Id="rId812" Type="http://schemas.openxmlformats.org/officeDocument/2006/relationships/hyperlink" Target="https://search.murata.co.jp/Ceramy/image/img/A01X/G101/ENG/GQM22M5C2H3R9CB01-01.pdf" TargetMode="External"/><Relationship Id="rId1028" Type="http://schemas.openxmlformats.org/officeDocument/2006/relationships/hyperlink" Target="https://www.molex.com/en-us/products/part-detail/457501211?display=pdf" TargetMode="External"/><Relationship Id="rId244" Type="http://schemas.openxmlformats.org/officeDocument/2006/relationships/hyperlink" Target="http://www.yageo.com/documents/recent/PYu-RC_Group_51_RoHS_L_6.pdf" TargetMode="External"/><Relationship Id="rId689" Type="http://schemas.openxmlformats.org/officeDocument/2006/relationships/hyperlink" Target="https://media.digikey.com/pdf/Data%20Sheets/Bourns%20PDFs/CM_Series_Rev2001.pdf" TargetMode="External"/><Relationship Id="rId896" Type="http://schemas.openxmlformats.org/officeDocument/2006/relationships/hyperlink" Target="https://assets.nexperia.com/documents/data-sheet/PESD3V3L1BA.pdf" TargetMode="External"/><Relationship Id="rId39" Type="http://schemas.openxmlformats.org/officeDocument/2006/relationships/hyperlink" Target="http://www.nxp.com/documents/data_sheet/BB171.pdf" TargetMode="External"/><Relationship Id="rId451" Type="http://schemas.openxmlformats.org/officeDocument/2006/relationships/hyperlink" Target="https://product.tdk.com/en/system/files?file=dam/doc/product/capacitor/ceramic/mlcc/catalog/mlcc_automotive_midvoltage_en.pdf" TargetMode="External"/><Relationship Id="rId549" Type="http://schemas.openxmlformats.org/officeDocument/2006/relationships/hyperlink" Target="http://www.yageo.com/documents/recent/UPY-GP_NP0_16V-to-50V_16.pdf" TargetMode="External"/><Relationship Id="rId756" Type="http://schemas.openxmlformats.org/officeDocument/2006/relationships/hyperlink" Target="https://www.analog.com/media/en/technical-documentation/data-sheets/max1658-max1659.pdf" TargetMode="External"/><Relationship Id="rId104" Type="http://schemas.openxmlformats.org/officeDocument/2006/relationships/hyperlink" Target="https://www.molex.com/pdm_docs/sd/901560148_sd.pdf" TargetMode="External"/><Relationship Id="rId188" Type="http://schemas.openxmlformats.org/officeDocument/2006/relationships/hyperlink" Target="http://www.vishay.com/docs/20035/dcrcwe3.pdf" TargetMode="External"/><Relationship Id="rId311" Type="http://schemas.openxmlformats.org/officeDocument/2006/relationships/hyperlink" Target="https://content.kemet.com/datasheets/KEM_C1010_X7R_HV_SMD.pdf" TargetMode="External"/><Relationship Id="rId395" Type="http://schemas.openxmlformats.org/officeDocument/2006/relationships/hyperlink" Target="https://www.se.com/ww/en/product/XB4BW3561/illuminated-push-button-harmony-xb4-orange-flush-complete-illum-pushbutton-%C3%B822-mm-2-4-w/" TargetMode="External"/><Relationship Id="rId409" Type="http://schemas.openxmlformats.org/officeDocument/2006/relationships/hyperlink" Target="https://www.molex.com/pdm_docs/sd/430200200_sd.pdf" TargetMode="External"/><Relationship Id="rId963" Type="http://schemas.openxmlformats.org/officeDocument/2006/relationships/hyperlink" Target="https://www.tdk-electronics.tdk.com/inf/30/db/ind_2008/b82442h.pdf?ref_disty=digikey" TargetMode="External"/><Relationship Id="rId1039" Type="http://schemas.openxmlformats.org/officeDocument/2006/relationships/hyperlink" Target="http://www.yageo.com/documents/recent/UPY-GPHC_X7R_6.3V-to-50V_18.pdf" TargetMode="External"/><Relationship Id="rId92" Type="http://schemas.openxmlformats.org/officeDocument/2006/relationships/hyperlink" Target="https://www.amphenolrf.com/media/downloads/7034/132360.pdf" TargetMode="External"/><Relationship Id="rId616" Type="http://schemas.openxmlformats.org/officeDocument/2006/relationships/hyperlink" Target="https://www.vishay.com/docs/86139/bzg04-m-series.pdf" TargetMode="External"/><Relationship Id="rId823" Type="http://schemas.openxmlformats.org/officeDocument/2006/relationships/hyperlink" Target="https://eu.mouser.com/datasheet/2/612/acex-1299421.pdf" TargetMode="External"/><Relationship Id="rId255" Type="http://schemas.openxmlformats.org/officeDocument/2006/relationships/hyperlink" Target="http://www.yageo.com.tw/exep/pages/download/literatures/PYu-R_INT-thick_7.pdf" TargetMode="External"/><Relationship Id="rId462" Type="http://schemas.openxmlformats.org/officeDocument/2006/relationships/hyperlink" Target="https://datasheets.maximintegrated.com/en/ds/MAX13430E-MAX13433E.pdf" TargetMode="External"/><Relationship Id="rId115" Type="http://schemas.openxmlformats.org/officeDocument/2006/relationships/hyperlink" Target="https://www.nicerf.com/product_146_198.html" TargetMode="External"/><Relationship Id="rId322" Type="http://schemas.openxmlformats.org/officeDocument/2006/relationships/hyperlink" Target="https://www.vishay.com/docs/40002/293d.pdf" TargetMode="External"/><Relationship Id="rId767" Type="http://schemas.openxmlformats.org/officeDocument/2006/relationships/hyperlink" Target="https://mm.digikey.com/Volume0/opasdata/d220001/medias/docus/5011/AMS1117.pdf" TargetMode="External"/><Relationship Id="rId974" Type="http://schemas.openxmlformats.org/officeDocument/2006/relationships/hyperlink" Target="https://media.digikey.com/pdf/Data%20Sheets/Intel%20PDFs/Arria10_DeviceOverview.pdf" TargetMode="External"/><Relationship Id="rId199" Type="http://schemas.openxmlformats.org/officeDocument/2006/relationships/hyperlink" Target="http://search.murata.co.jp/Ceramy/image/img/A01X/G101/ENG/GRM155R71H332KA01-01.pdf" TargetMode="External"/><Relationship Id="rId627" Type="http://schemas.openxmlformats.org/officeDocument/2006/relationships/hyperlink" Target="https://eu.mouser.com/datasheet/2/212/1/KEM_T2005_T491-1093550.pdf" TargetMode="External"/><Relationship Id="rId834" Type="http://schemas.openxmlformats.org/officeDocument/2006/relationships/hyperlink" Target="https://www.te.com/commerce/DocumentDelivery/DDEController?Action=srchrtrv&amp;DocNm=1773270&amp;DocType=DS&amp;DocLang=English" TargetMode="External"/><Relationship Id="rId266" Type="http://schemas.openxmlformats.org/officeDocument/2006/relationships/hyperlink" Target="http://www.murata.com/~/media/webrenewal/support/library/catalog/products/capacitor/mlcc/c02e.ashx" TargetMode="External"/><Relationship Id="rId473" Type="http://schemas.openxmlformats.org/officeDocument/2006/relationships/hyperlink" Target="https://files.rct.ru/pdf/connectors/plhd_plh_01.pdf" TargetMode="External"/><Relationship Id="rId680" Type="http://schemas.openxmlformats.org/officeDocument/2006/relationships/hyperlink" Target="https://productfinder.pulseelectronics.com/api/open/part-attachments/datasheet/HM5004ENL" TargetMode="External"/><Relationship Id="rId901" Type="http://schemas.openxmlformats.org/officeDocument/2006/relationships/hyperlink" Target="https://tools.molex.com/pdm_docs/ps/PS-51021-009.pdf" TargetMode="External"/><Relationship Id="rId30" Type="http://schemas.openxmlformats.org/officeDocument/2006/relationships/hyperlink" Target="http://www.nxp.com/documents/data_sheet/BAS70_1PS7XSB70_SER.pdf" TargetMode="External"/><Relationship Id="rId126" Type="http://schemas.openxmlformats.org/officeDocument/2006/relationships/hyperlink" Target="http://www.ti.com/lit/ds/symlink/tps7a47.pdf" TargetMode="External"/><Relationship Id="rId333" Type="http://schemas.openxmlformats.org/officeDocument/2006/relationships/hyperlink" Target="http://www.murata.com/~/media/webrenewal/support/library/catalog/products/capacitor/mlcc/c02e.ashx" TargetMode="External"/><Relationship Id="rId540" Type="http://schemas.openxmlformats.org/officeDocument/2006/relationships/hyperlink" Target="https://cdn.amphenol-cs.com/media/wysiwyg/files/drawing/62684.pdf" TargetMode="External"/><Relationship Id="rId778" Type="http://schemas.openxmlformats.org/officeDocument/2006/relationships/hyperlink" Target="https://eu.mouser.com/datasheet/2/597/midi-270675.pdf" TargetMode="External"/><Relationship Id="rId985" Type="http://schemas.openxmlformats.org/officeDocument/2006/relationships/hyperlink" Target="https://eu.mouser.com/datasheet/2/612/acex-1299421.pdf" TargetMode="External"/><Relationship Id="rId638" Type="http://schemas.openxmlformats.org/officeDocument/2006/relationships/hyperlink" Target="https://www.minicircuits.com/pdfs/TCM1-63AX+.pdf" TargetMode="External"/><Relationship Id="rId845" Type="http://schemas.openxmlformats.org/officeDocument/2006/relationships/hyperlink" Target="https://eu.mouser.com/datasheet/2/447/UPY_NP0X5R_01005_4V_to_25V_V10-3003057.pdf" TargetMode="External"/><Relationship Id="rId1030" Type="http://schemas.openxmlformats.org/officeDocument/2006/relationships/hyperlink" Target="https://www.molex.com/en-us/products/part-detail-pdf/510210600?display=pdf" TargetMode="External"/><Relationship Id="rId277" Type="http://schemas.openxmlformats.org/officeDocument/2006/relationships/hyperlink" Target="http://www.yageo.com.tw/exep/pages/download/literatures/PYu-R_INT-thick_7.pdf" TargetMode="External"/><Relationship Id="rId400" Type="http://schemas.openxmlformats.org/officeDocument/2006/relationships/hyperlink" Target="https://www.yageo.com/upload/media/product/productsearch/datasheet/mlcc/UPY-NP0X7R_HV_1KV-to-3KV_13.pdf" TargetMode="External"/><Relationship Id="rId484" Type="http://schemas.openxmlformats.org/officeDocument/2006/relationships/hyperlink" Target="https://www.minicircuits.com/WebStore/dashboard.html?model=T1-1T-X65%2B" TargetMode="External"/><Relationship Id="rId705" Type="http://schemas.openxmlformats.org/officeDocument/2006/relationships/hyperlink" Target="https://www.analog.com/media/en/technical-documentation/data-sheets/hmc821.pdf" TargetMode="External"/><Relationship Id="rId137" Type="http://schemas.openxmlformats.org/officeDocument/2006/relationships/hyperlink" Target="https://api.e-components.ru/api/item/ds-1021-2-40-sf11/doc/0" TargetMode="External"/><Relationship Id="rId344" Type="http://schemas.openxmlformats.org/officeDocument/2006/relationships/hyperlink" Target="http://www.yageo.com.tw/exep/pages/download/literatures/PYu-R_INT-thick_7.pdf" TargetMode="External"/><Relationship Id="rId691" Type="http://schemas.openxmlformats.org/officeDocument/2006/relationships/hyperlink" Target="https://www.murata.com/~/media/webrenewal/support/library/catalog/products/capacitor/mlcc/c02e.ashx?la=en-us" TargetMode="External"/><Relationship Id="rId789" Type="http://schemas.openxmlformats.org/officeDocument/2006/relationships/hyperlink" Target="https://search.murata.co.jp/Ceramy/image/img/A01X/G101/ENG/GRM188R61A106ME69-01.pdf" TargetMode="External"/><Relationship Id="rId912" Type="http://schemas.openxmlformats.org/officeDocument/2006/relationships/hyperlink" Target="https://www.yageo.com/upload/media/product/app/datasheet/rchip/pyu-yc_tc_group_51_rohs_l.pdf" TargetMode="External"/><Relationship Id="rId996" Type="http://schemas.openxmlformats.org/officeDocument/2006/relationships/hyperlink" Target="https://mm.digikey.com/Volume0/opasdata/d220001/medias/docus/649/Universe_IIDB_User_Manual.pdf" TargetMode="External"/><Relationship Id="rId41" Type="http://schemas.openxmlformats.org/officeDocument/2006/relationships/hyperlink" Target="https://docs.broadcom.com/docs/AV02-0940EN" TargetMode="External"/><Relationship Id="rId551" Type="http://schemas.openxmlformats.org/officeDocument/2006/relationships/hyperlink" Target="http://www.yageo.com/documents/recent/UPY-GP_NP0_16V-to-50V_16.pdf" TargetMode="External"/><Relationship Id="rId649" Type="http://schemas.openxmlformats.org/officeDocument/2006/relationships/hyperlink" Target="https://www.ti.com/lit/ds/symlink/lm26.pdf?ts=1675614998196" TargetMode="External"/><Relationship Id="rId856" Type="http://schemas.openxmlformats.org/officeDocument/2006/relationships/hyperlink" Target="https://industrial.panasonic.com/cdbs/www-data/pdf/RDA0000/AOA0000C304.pdf" TargetMode="External"/><Relationship Id="rId190" Type="http://schemas.openxmlformats.org/officeDocument/2006/relationships/hyperlink" Target="http://www.vishay.com/docs/20035/dcrcwe3.pdf" TargetMode="External"/><Relationship Id="rId204" Type="http://schemas.openxmlformats.org/officeDocument/2006/relationships/hyperlink" Target="http://www.murata.com/~/media/webrenewal/support/library/catalog/products/capacitor/mlcc/c02e.ashx" TargetMode="External"/><Relationship Id="rId288" Type="http://schemas.openxmlformats.org/officeDocument/2006/relationships/hyperlink" Target="https://www.murata.com/~/media/webrenewal/support/library/catalog/products/capacitor/mlcc/c02e.ashx?la=en-us" TargetMode="External"/><Relationship Id="rId411" Type="http://schemas.openxmlformats.org/officeDocument/2006/relationships/hyperlink" Target="https://www.yageo.com/upload/media/product/productsearch/datasheet/lr/YAGEO%20SQP_NSP_datasheet_2021v0.pdf" TargetMode="External"/><Relationship Id="rId509" Type="http://schemas.openxmlformats.org/officeDocument/2006/relationships/hyperlink" Target="http://www.yageo.com/exep/pages/download/literatures/ProductSelectionGuide%202014_Final_2.pdf" TargetMode="External"/><Relationship Id="rId1041" Type="http://schemas.openxmlformats.org/officeDocument/2006/relationships/hyperlink" Target="https://www.analog.com/media/en/technical-documentation/data-sheets/AD7243.pdf" TargetMode="External"/><Relationship Id="rId495" Type="http://schemas.openxmlformats.org/officeDocument/2006/relationships/hyperlink" Target="http://www.yageo.com/exep/pages/download/literatures/ProductSelectionGuide%202014_Final_2.pdf" TargetMode="External"/><Relationship Id="rId716" Type="http://schemas.openxmlformats.org/officeDocument/2006/relationships/hyperlink" Target="https://www.murata.com/en-us/products/en-us/products/productdata/8796738977822/ENFA0005.pdf" TargetMode="External"/><Relationship Id="rId923" Type="http://schemas.openxmlformats.org/officeDocument/2006/relationships/hyperlink" Target="https://frontierusa.com/images/datasheets/TI2012(B).pdf" TargetMode="External"/><Relationship Id="rId52" Type="http://schemas.openxmlformats.org/officeDocument/2006/relationships/hyperlink" Target="https://cdn.macom.com/datasheets/SMGS11.pdf" TargetMode="External"/><Relationship Id="rId148" Type="http://schemas.openxmlformats.org/officeDocument/2006/relationships/hyperlink" Target="http://files.rct.ru/pdf/connectors/h_2_12.pdf" TargetMode="External"/><Relationship Id="rId355" Type="http://schemas.openxmlformats.org/officeDocument/2006/relationships/hyperlink" Target="http://www.samsungsem.com/kr/support/product-search/mlcc/__icsFiles/afieldfile/2018/06/05/CL05C180JB5NNNC.pdf" TargetMode="External"/><Relationship Id="rId562" Type="http://schemas.openxmlformats.org/officeDocument/2006/relationships/hyperlink" Target="https://search.murata.co.jp/Ceramy/image/img/A01X/G101/ENG/GRM21BR71H683KA01-01.pdf" TargetMode="External"/><Relationship Id="rId215" Type="http://schemas.openxmlformats.org/officeDocument/2006/relationships/hyperlink" Target="http://datasheets.avx.com/C0GNP0-Dielectric.pdf" TargetMode="External"/><Relationship Id="rId422" Type="http://schemas.openxmlformats.org/officeDocument/2006/relationships/hyperlink" Target="http://www.yageo.com/documents/recent/UPY-GPHC_X7R_6.3V-to-50V_18.pdf" TargetMode="External"/><Relationship Id="rId867" Type="http://schemas.openxmlformats.org/officeDocument/2006/relationships/hyperlink" Target="https://www.yageo.com/upload/media/product/app/datasheet/rchip/pyu-rt_1-to-0.01_rohs_l.pdf" TargetMode="External"/><Relationship Id="rId1052" Type="http://schemas.openxmlformats.org/officeDocument/2006/relationships/hyperlink" Target="https://datasheets.kyocera-avx.com/800B.pdf" TargetMode="External"/><Relationship Id="rId299" Type="http://schemas.openxmlformats.org/officeDocument/2006/relationships/hyperlink" Target="http://catalogs.avx.com/SurfaceMount.pdf" TargetMode="External"/><Relationship Id="rId727" Type="http://schemas.openxmlformats.org/officeDocument/2006/relationships/hyperlink" Target="https://www.klselectronic.com/kls1-3-96a-pitch-3-96mm-jst-vh-type-wire-to-board-connector" TargetMode="External"/><Relationship Id="rId934" Type="http://schemas.openxmlformats.org/officeDocument/2006/relationships/hyperlink" Target="https://b2b.harting.com/files/download/PRD/PDF_TS/0967015042X_BL01_R31085_100207922DRW002A.pdf" TargetMode="External"/><Relationship Id="rId63" Type="http://schemas.openxmlformats.org/officeDocument/2006/relationships/hyperlink" Target="http://www.ti.com/lit/ds/symlink/tps73615-ep.pdf" TargetMode="External"/><Relationship Id="rId159" Type="http://schemas.openxmlformats.org/officeDocument/2006/relationships/hyperlink" Target="https://www.murata.com/en-us/products/productdetail?partno=MA58MF14-7N" TargetMode="External"/><Relationship Id="rId366" Type="http://schemas.openxmlformats.org/officeDocument/2006/relationships/hyperlink" Target="http://www.murata.com/~/media/webrenewal/support/library/catalog/products/capacitor/mlcc/c02e.ashx" TargetMode="External"/><Relationship Id="rId573" Type="http://schemas.openxmlformats.org/officeDocument/2006/relationships/hyperlink" Target="https://search.murata.co.jp/Ceramy/image/img/A01X/G101/ENG/GRM55DR72E105KW01-01.pdf" TargetMode="External"/><Relationship Id="rId780" Type="http://schemas.openxmlformats.org/officeDocument/2006/relationships/hyperlink" Target="https://www.mccsemi.com/pdf/Products/SK32A-L-SK310A-L(DO-214AC).pdf" TargetMode="External"/><Relationship Id="rId226" Type="http://schemas.openxmlformats.org/officeDocument/2006/relationships/hyperlink" Target="http://www.murata.com/~/media/webrenewal/support/library/catalog/products/capacitor/mlcc/c02e.ashx" TargetMode="External"/><Relationship Id="rId433" Type="http://schemas.openxmlformats.org/officeDocument/2006/relationships/hyperlink" Target="https://content.kemet.com/datasheets/KEM_T2009_T495.pdf" TargetMode="External"/><Relationship Id="rId878" Type="http://schemas.openxmlformats.org/officeDocument/2006/relationships/hyperlink" Target="https://www.yageo.com/upload/media/product/productsearch/datasheet/mlcc/UPY-GPHC_X7R_6.3V-to-250V_24.pdf" TargetMode="External"/><Relationship Id="rId640" Type="http://schemas.openxmlformats.org/officeDocument/2006/relationships/hyperlink" Target="https://www.mornsun-power.com/html/pdf/K7805-500R3-LB.html" TargetMode="External"/><Relationship Id="rId738" Type="http://schemas.openxmlformats.org/officeDocument/2006/relationships/hyperlink" Target="https://www.bourns.com/pdfs/900.pdf" TargetMode="External"/><Relationship Id="rId945" Type="http://schemas.openxmlformats.org/officeDocument/2006/relationships/hyperlink" Target="https://content.kemet.com/datasheets/KEM_T2005_T491.pdf" TargetMode="External"/><Relationship Id="rId74" Type="http://schemas.openxmlformats.org/officeDocument/2006/relationships/hyperlink" Target="https://assets.nexperia.com/documents/data-sheet/BFS20.pdf" TargetMode="External"/><Relationship Id="rId377" Type="http://schemas.openxmlformats.org/officeDocument/2006/relationships/hyperlink" Target="https://www.renesas.com/us/en/document/dst/74fct3807-datasheet" TargetMode="External"/><Relationship Id="rId500" Type="http://schemas.openxmlformats.org/officeDocument/2006/relationships/hyperlink" Target="https://www.yageo.com/upload/media/product/products/datasheet/mlcc/UPY-NP0X7R_MV_100-to-630V_21.pdf" TargetMode="External"/><Relationship Id="rId584" Type="http://schemas.openxmlformats.org/officeDocument/2006/relationships/hyperlink" Target="https://www.yageo.com/upload/media/product/productsearch/datasheet/rchip/PYu-RT_1-to-0.01_RoHS_L_12.pdf" TargetMode="External"/><Relationship Id="rId805" Type="http://schemas.openxmlformats.org/officeDocument/2006/relationships/hyperlink" Target="https://eu.mouser.com/datasheet/2/612/acex-1299421.pdf" TargetMode="External"/><Relationship Id="rId5" Type="http://schemas.openxmlformats.org/officeDocument/2006/relationships/hyperlink" Target="http://194.75.38.69/pdfs/ADT16-1T.pdf" TargetMode="External"/><Relationship Id="rId237" Type="http://schemas.openxmlformats.org/officeDocument/2006/relationships/hyperlink" Target="http://www.yageo.com/documents/recent/PYu-RC_Group_51_RoHS_L_6.pdf" TargetMode="External"/><Relationship Id="rId791" Type="http://schemas.openxmlformats.org/officeDocument/2006/relationships/hyperlink" Target="https://product.tdk.com/system/files/dam/doc/product/capacitor/ceramic/mlcc/catalog/mlcc_commercial_general_en.pdf" TargetMode="External"/><Relationship Id="rId889" Type="http://schemas.openxmlformats.org/officeDocument/2006/relationships/hyperlink" Target="https://www.analog.com/media/en/technical-documentation/data-sheets/AD9218.pdf" TargetMode="External"/><Relationship Id="rId444" Type="http://schemas.openxmlformats.org/officeDocument/2006/relationships/hyperlink" Target="https://www.onsemi.com/pdf/datasheet/mc7900-d.pdf" TargetMode="External"/><Relationship Id="rId651" Type="http://schemas.openxmlformats.org/officeDocument/2006/relationships/hyperlink" Target="https://www.ti.com/lit/ds/symlink/sn74alvch162334.pdf" TargetMode="External"/><Relationship Id="rId749" Type="http://schemas.openxmlformats.org/officeDocument/2006/relationships/hyperlink" Target="https://www.segger.com/downloads/jlink/UM08001" TargetMode="External"/><Relationship Id="rId290" Type="http://schemas.openxmlformats.org/officeDocument/2006/relationships/hyperlink" Target="https://www.te.com/commerce/DocumentDelivery/DDEController?Action=srchrtrv&amp;DocNm=1773270&amp;DocType=DS&amp;DocLang=English" TargetMode="External"/><Relationship Id="rId304" Type="http://schemas.openxmlformats.org/officeDocument/2006/relationships/hyperlink" Target="https://www.murata.com/~/media/webrenewal/support/library/catalog/products/capacitor/mlcc/c02e.ashx?la=en-us" TargetMode="External"/><Relationship Id="rId388" Type="http://schemas.openxmlformats.org/officeDocument/2006/relationships/hyperlink" Target="https://www.yageo.com/upload/media/product/productsearch/datasheet/mlcc/UPY-GPHC_X7R_6.3V-to-50V_20.pdf" TargetMode="External"/><Relationship Id="rId511" Type="http://schemas.openxmlformats.org/officeDocument/2006/relationships/hyperlink" Target="https://www.yageo.com/upload/media/product/productsearch/datasheet/mlcc/UPY-GPHC_X7R_6.3V-to-50V_20.pdf" TargetMode="External"/><Relationship Id="rId609" Type="http://schemas.openxmlformats.org/officeDocument/2006/relationships/hyperlink" Target="https://www.littelfuse.com/~/media/electronics/datasheets/varistors/littelfuse_varistor_mla_datasheet.pdf.pdf" TargetMode="External"/><Relationship Id="rId956" Type="http://schemas.openxmlformats.org/officeDocument/2006/relationships/hyperlink" Target="https://www.compel.ru/item-pdf/c3454df47f65454412503901a4395e9b/ps/kls~kls1-151.pdf" TargetMode="External"/><Relationship Id="rId85" Type="http://schemas.openxmlformats.org/officeDocument/2006/relationships/hyperlink" Target="https://api.e-components.ru/api/item/ds-1021-3-40-sf11/doc/0" TargetMode="External"/><Relationship Id="rId150" Type="http://schemas.openxmlformats.org/officeDocument/2006/relationships/hyperlink" Target="http://files.rct.ru/pdf/connectors/h_2_12.pdf" TargetMode="External"/><Relationship Id="rId595" Type="http://schemas.openxmlformats.org/officeDocument/2006/relationships/hyperlink" Target="https://www.minicircuits.com/pdfs/SYBP-1950+.pdf" TargetMode="External"/><Relationship Id="rId816" Type="http://schemas.openxmlformats.org/officeDocument/2006/relationships/hyperlink" Target="https://mm.digikey.com/Volume0/opasdata/d220001/medias/docus/41/CL31B106KBHNNNE_Spec.pdf" TargetMode="External"/><Relationship Id="rId1001" Type="http://schemas.openxmlformats.org/officeDocument/2006/relationships/hyperlink" Target="https://mm.digikey.com/Volume0/opasdata/d220001/medias/docus/607/Cyclone_V_Device_Overview_Web.pdf" TargetMode="External"/><Relationship Id="rId248" Type="http://schemas.openxmlformats.org/officeDocument/2006/relationships/hyperlink" Target="http://www.yageo.com/exep/pages/download/literatures/ProductSelectionGuide%202014_Final_2.pdf" TargetMode="External"/><Relationship Id="rId455" Type="http://schemas.openxmlformats.org/officeDocument/2006/relationships/hyperlink" Target="https://www.coilcraft.com/en-us/products/power/shielded-inductors/molded-inductor/xal/xal60xx/xal6030-332/" TargetMode="External"/><Relationship Id="rId662" Type="http://schemas.openxmlformats.org/officeDocument/2006/relationships/hyperlink" Target="https://search.murata.co.jp/Ceramy/image/img/A01X/G101/ENG/GRM2195C1H103JA01-01.pdf" TargetMode="External"/><Relationship Id="rId12" Type="http://schemas.openxmlformats.org/officeDocument/2006/relationships/hyperlink" Target="http://www.analog.com/media/en/technical-documentation/data-sheets/ADUM1250_1251.pdf" TargetMode="External"/><Relationship Id="rId108" Type="http://schemas.openxmlformats.org/officeDocument/2006/relationships/hyperlink" Target="http://www.ti.com/general/docs/suppproductinfo.tsp?distId=10&amp;gotoUrl=http%3A%2F%2Fwww.ti.com%2Flit%2Fgpn%2Fsn74lvc1gu04" TargetMode="External"/><Relationship Id="rId315" Type="http://schemas.openxmlformats.org/officeDocument/2006/relationships/hyperlink" Target="https://atceramics.com/UserFiles/800a.pdf" TargetMode="External"/><Relationship Id="rId522" Type="http://schemas.openxmlformats.org/officeDocument/2006/relationships/hyperlink" Target="https://www.yageo.com/upload/media/product/productsearch/datasheet/rchip/PYu-RT_1-to-0.01_RoHS_L_12.pdf" TargetMode="External"/><Relationship Id="rId967" Type="http://schemas.openxmlformats.org/officeDocument/2006/relationships/hyperlink" Target="https://datasheets.kyocera-avx.com/TAJ.pdf" TargetMode="External"/><Relationship Id="rId96" Type="http://schemas.openxmlformats.org/officeDocument/2006/relationships/hyperlink" Target="http://www.vishay.com/docs/88885/ssc53l.pdf" TargetMode="External"/><Relationship Id="rId161" Type="http://schemas.openxmlformats.org/officeDocument/2006/relationships/hyperlink" Target="https://e-components.ru/item/ds-1025-06-2-10-p-8-br1" TargetMode="External"/><Relationship Id="rId399" Type="http://schemas.openxmlformats.org/officeDocument/2006/relationships/hyperlink" Target="https://www.se.com/it/it/product/ZB4BZ101/corpo-contatti-%C3%B822-1no/" TargetMode="External"/><Relationship Id="rId827" Type="http://schemas.openxmlformats.org/officeDocument/2006/relationships/hyperlink" Target="https://www.murata.com/~/media/webrenewal/support/library/catalog/products/capacitor/mlcc/c02e.ashx" TargetMode="External"/><Relationship Id="rId1012" Type="http://schemas.openxmlformats.org/officeDocument/2006/relationships/hyperlink" Target="https://www.telegaertner.com/en/product/online-catalogue-coax/sma/sma-straight-plug-crimp/sma-straight-plug-crimp-g5-rg-223-u-rg-142b-u-solder-crimp-100024601" TargetMode="External"/><Relationship Id="rId259" Type="http://schemas.openxmlformats.org/officeDocument/2006/relationships/hyperlink" Target="https://search.murata.co.jp/Ceramy/image/img/A01X/G101/ENG/GRM033R71E102KA01-01.pdf" TargetMode="External"/><Relationship Id="rId466" Type="http://schemas.openxmlformats.org/officeDocument/2006/relationships/hyperlink" Target="https://www.analog.com/media/en/technical-documentation/data-sheets/adl5542.pdf" TargetMode="External"/><Relationship Id="rId673" Type="http://schemas.openxmlformats.org/officeDocument/2006/relationships/hyperlink" Target="https://www.hirose.com/en/product/p/CL0684-4006-1-51" TargetMode="External"/><Relationship Id="rId880" Type="http://schemas.openxmlformats.org/officeDocument/2006/relationships/hyperlink" Target="https://www.yageo.com/upload/media/product/productsearch/datasheet/rchip/PYu-RT_1-to-0.01_RoHS_L_12.pdf" TargetMode="External"/><Relationship Id="rId23" Type="http://schemas.openxmlformats.org/officeDocument/2006/relationships/hyperlink" Target="http://media.digikey.com/pdf/Data%20Sheets/Infineon%20PDFs/BFR360T.pdf" TargetMode="External"/><Relationship Id="rId119" Type="http://schemas.openxmlformats.org/officeDocument/2006/relationships/hyperlink" Target="https://eu.mouser.com/datasheet/2/418/NG_CD_1658621_C1-1242408.pdf" TargetMode="External"/><Relationship Id="rId326" Type="http://schemas.openxmlformats.org/officeDocument/2006/relationships/hyperlink" Target="http://www.yageo.com/documents/recent/UPY-GP_NP0_16V-to-50V_16.pdf" TargetMode="External"/><Relationship Id="rId533" Type="http://schemas.openxmlformats.org/officeDocument/2006/relationships/hyperlink" Target="https://media.digikey.com/pdf/Data%20Sheets/Samsung%20PDFs/CL05C151JB5NNNC_Spec.pdf" TargetMode="External"/><Relationship Id="rId978" Type="http://schemas.openxmlformats.org/officeDocument/2006/relationships/hyperlink" Target="https://www.smc-diodes.com/propdf/30BQ060%20N0675%20REV.A.pdf" TargetMode="External"/><Relationship Id="rId740" Type="http://schemas.openxmlformats.org/officeDocument/2006/relationships/hyperlink" Target="https://eu.mouser.com/datasheet/2/16/TestMeasurement46-1627954.pdf" TargetMode="External"/><Relationship Id="rId838" Type="http://schemas.openxmlformats.org/officeDocument/2006/relationships/hyperlink" Target="https://search.murata.co.jp/Ceramy/image/img/A01X/G101/ENG/GRM2165C1H101JA01-01.pdf" TargetMode="External"/><Relationship Id="rId1023" Type="http://schemas.openxmlformats.org/officeDocument/2006/relationships/hyperlink" Target="https://www.analog.com/media/en/technical-documentation/data-sheets/ADM3485E.pdf" TargetMode="External"/><Relationship Id="rId172" Type="http://schemas.openxmlformats.org/officeDocument/2006/relationships/hyperlink" Target="http://www.murata.com/~/media/webrenewal/support/library/catalog/products/capacitor/mlcc/c02e.ashx" TargetMode="External"/><Relationship Id="rId477" Type="http://schemas.openxmlformats.org/officeDocument/2006/relationships/hyperlink" Target="http://www.yageo.com/exep/pages/download/literatures/ProductSelectionGuide%202014_Final_2.pdf" TargetMode="External"/><Relationship Id="rId600" Type="http://schemas.openxmlformats.org/officeDocument/2006/relationships/hyperlink" Target="https://www.onsemi.com/pdf/datasheet/rfd14n05lsm-d.pdf" TargetMode="External"/><Relationship Id="rId684" Type="http://schemas.openxmlformats.org/officeDocument/2006/relationships/hyperlink" Target="https://www.yageo.com/upload/media/product/productsearch/datasheet/mlcc/UPY-NP0X7R_MV_100-to-630V_24.pdf" TargetMode="External"/><Relationship Id="rId337" Type="http://schemas.openxmlformats.org/officeDocument/2006/relationships/hyperlink" Target="http://www.yageo.com/documents/recent/UPY-GP_NP0_16V-to-50V_16.pdf" TargetMode="External"/><Relationship Id="rId891" Type="http://schemas.openxmlformats.org/officeDocument/2006/relationships/hyperlink" Target="https://mm.digikey.com/Volume0/opasdata/d220001/medias/docus/2478/Enhanced%20Configuration%20%28EPC%29%20Devices%20Datasheet.pdf" TargetMode="External"/><Relationship Id="rId905" Type="http://schemas.openxmlformats.org/officeDocument/2006/relationships/hyperlink" Target="https://search.murata.co.jp/Ceramy/image/img/P02/JELF243A-0024.pdf" TargetMode="External"/><Relationship Id="rId989" Type="http://schemas.openxmlformats.org/officeDocument/2006/relationships/hyperlink" Target="https://www.analog.com/media/en/technical-documentation/data-sheets/OP162_262_462.pdf" TargetMode="External"/><Relationship Id="rId34" Type="http://schemas.openxmlformats.org/officeDocument/2006/relationships/hyperlink" Target="http://cds.linear.com/docs/en/datasheet/1000afd.pdf" TargetMode="External"/><Relationship Id="rId544" Type="http://schemas.openxmlformats.org/officeDocument/2006/relationships/hyperlink" Target="http://www.yageo.com/documents/recent/UPY-GPHC_X7R_6.3V-to-50V_18.pdf" TargetMode="External"/><Relationship Id="rId751" Type="http://schemas.openxmlformats.org/officeDocument/2006/relationships/hyperlink" Target="https://www.yageo.com/upload/media/product/productsearch/datasheet/mlcc/UPY-GPHC_X7R_6.3V-to-50V_20.pdf" TargetMode="External"/><Relationship Id="rId849" Type="http://schemas.openxmlformats.org/officeDocument/2006/relationships/hyperlink" Target="https://eu.mouser.com/datasheet/2/16/TestMeasurement46-1627954.pdf" TargetMode="External"/><Relationship Id="rId183" Type="http://schemas.openxmlformats.org/officeDocument/2006/relationships/hyperlink" Target="http://www.vishay.com/docs/20035/dcrcwe3.pdf" TargetMode="External"/><Relationship Id="rId390" Type="http://schemas.openxmlformats.org/officeDocument/2006/relationships/hyperlink" Target="https://www.diodes.com/assets/Datasheets/ds31037.pdf" TargetMode="External"/><Relationship Id="rId404" Type="http://schemas.openxmlformats.org/officeDocument/2006/relationships/hyperlink" Target="http://www.samsungsem.com/kr/support/product-search/mlcc/__icsFiles/afieldfile/2019/06/18/CL10B103KC8NNNC-19.pdf" TargetMode="External"/><Relationship Id="rId611" Type="http://schemas.openxmlformats.org/officeDocument/2006/relationships/hyperlink" Target="https://connect.kemet.com:7667/gateway/IntelliData-ComponentDocumentation/1.0/download/datasheet/C1210X103J5GAC7800" TargetMode="External"/><Relationship Id="rId1034" Type="http://schemas.openxmlformats.org/officeDocument/2006/relationships/hyperlink" Target="https://www.yageo.com/upload/media/product/productsearch/datasheet/rchip/PYu-RT_1-to-0.01_RoHS_L_15.pdf" TargetMode="External"/><Relationship Id="rId250" Type="http://schemas.openxmlformats.org/officeDocument/2006/relationships/hyperlink" Target="http://www.yageo.com.tw/exep/pages/download/literatures/PYu-R_INT-thick_7.pdf" TargetMode="External"/><Relationship Id="rId488" Type="http://schemas.openxmlformats.org/officeDocument/2006/relationships/hyperlink" Target="https://files.rct.ru/pdf/connectors/pld-r_pls-r-01.pdf" TargetMode="External"/><Relationship Id="rId695" Type="http://schemas.openxmlformats.org/officeDocument/2006/relationships/hyperlink" Target="https://industrial.panasonic.com/cdbs/www-data/pdf/RDA0000/AOA0000C304.pdf" TargetMode="External"/><Relationship Id="rId709" Type="http://schemas.openxmlformats.org/officeDocument/2006/relationships/hyperlink" Target="https://www.yageo.com/upload/media/product/productsearch/datasheet/rchip/PYu-RC_Group_51_RoHS_L_12.pdf" TargetMode="External"/><Relationship Id="rId916" Type="http://schemas.openxmlformats.org/officeDocument/2006/relationships/hyperlink" Target="https://www.bourns.com/docs/Product-Datasheets/2036-xx-SM.pdf" TargetMode="External"/><Relationship Id="rId45" Type="http://schemas.openxmlformats.org/officeDocument/2006/relationships/hyperlink" Target="http://www.onsemi.ru.com/PowerSolutions/document/LM317-D.PDF" TargetMode="External"/><Relationship Id="rId110" Type="http://schemas.openxmlformats.org/officeDocument/2006/relationships/hyperlink" Target="http://www.ti.com/lit/ds/symlink/sn74lvc02a.pdf" TargetMode="External"/><Relationship Id="rId348" Type="http://schemas.openxmlformats.org/officeDocument/2006/relationships/hyperlink" Target="http://www.murata.com/~/media/webrenewal/support/library/catalog/products/capacitor/mlcc/c02e.ashx" TargetMode="External"/><Relationship Id="rId555" Type="http://schemas.openxmlformats.org/officeDocument/2006/relationships/hyperlink" Target="http://www.yageo.com/documents/recent/UPY-GP_NP0_16V-to-50V_16.pdf" TargetMode="External"/><Relationship Id="rId762" Type="http://schemas.openxmlformats.org/officeDocument/2006/relationships/hyperlink" Target="https://www.hirose.com/ru/product/p/CL0321-5043-6-03" TargetMode="External"/><Relationship Id="rId194" Type="http://schemas.openxmlformats.org/officeDocument/2006/relationships/hyperlink" Target="http://www.vishay.com/docs/20035/dcrcwe3.pdf" TargetMode="External"/><Relationship Id="rId208" Type="http://schemas.openxmlformats.org/officeDocument/2006/relationships/hyperlink" Target="http://www.yageo.com.tw/exep/pages/download/literatures/PYu-R_INT-thick_7.pdf" TargetMode="External"/><Relationship Id="rId415" Type="http://schemas.openxmlformats.org/officeDocument/2006/relationships/hyperlink" Target="https://www.bourns.com/docs/Product-Datasheets/CW161009A.pdf" TargetMode="External"/><Relationship Id="rId622" Type="http://schemas.openxmlformats.org/officeDocument/2006/relationships/hyperlink" Target="https://eu.mouser.com/datasheet/2/212/1/KEM_T2005_T491-1093550.pdf" TargetMode="External"/><Relationship Id="rId1045" Type="http://schemas.openxmlformats.org/officeDocument/2006/relationships/hyperlink" Target="https://www.yageo.com/en/Chart/Download/pdf/CC0402BRNPO9BN7R5" TargetMode="External"/><Relationship Id="rId261" Type="http://schemas.openxmlformats.org/officeDocument/2006/relationships/hyperlink" Target="http://www.trimmer.ru/pdf/katalog/3296w-1-334lf.pdf" TargetMode="External"/><Relationship Id="rId499" Type="http://schemas.openxmlformats.org/officeDocument/2006/relationships/hyperlink" Target="http://www.yageo.com/documents/recent/UPY-GP_NP0_16V-to-50V_16.pdf" TargetMode="External"/><Relationship Id="rId927" Type="http://schemas.openxmlformats.org/officeDocument/2006/relationships/hyperlink" Target="https://mm.digikey.com/Volume0/opasdata/d220001/medias/docus/822/FH19C_FH19SC_Series.pdf" TargetMode="External"/><Relationship Id="rId56" Type="http://schemas.openxmlformats.org/officeDocument/2006/relationships/hyperlink" Target="https://media.digikey.com/pdf/Data%20Sheets/Fairchild%20PDFs/BZX55C2V4%20-%20BZX55C56.pdf" TargetMode="External"/><Relationship Id="rId359" Type="http://schemas.openxmlformats.org/officeDocument/2006/relationships/hyperlink" Target="https://www.te.com/commerce/DocumentDelivery/DDEController?Action=srchrtrv&amp;DocNm=1773270&amp;DocType=DS&amp;DocLang=English" TargetMode="External"/><Relationship Id="rId566" Type="http://schemas.openxmlformats.org/officeDocument/2006/relationships/hyperlink" Target="http://www.murata.com/~/media/webrenewal/support/library/catalog/products/capacitor/mlcc/c02e.ashx" TargetMode="External"/><Relationship Id="rId773" Type="http://schemas.openxmlformats.org/officeDocument/2006/relationships/hyperlink" Target="https://search.murata.co.jp/Ceramy/image/img/P02/JELF243A-0153.pdf" TargetMode="External"/><Relationship Id="rId121" Type="http://schemas.openxmlformats.org/officeDocument/2006/relationships/hyperlink" Target="https://eu.mouser.com/datasheet/2/336/-595196.pdf" TargetMode="External"/><Relationship Id="rId219" Type="http://schemas.openxmlformats.org/officeDocument/2006/relationships/hyperlink" Target="http://www.murata.com/~/media/webrenewal/support/library/catalog/products/capacitor/mlcc/c02e.ashx" TargetMode="External"/><Relationship Id="rId426" Type="http://schemas.openxmlformats.org/officeDocument/2006/relationships/hyperlink" Target="https://www.richardsonrfpd.com/docs/rfpd/RFP-100200-4X50-2.pdf" TargetMode="External"/><Relationship Id="rId633" Type="http://schemas.openxmlformats.org/officeDocument/2006/relationships/hyperlink" Target="https://static.chipdip.ru/lib/901/DOC012901964.pdf" TargetMode="External"/><Relationship Id="rId980" Type="http://schemas.openxmlformats.org/officeDocument/2006/relationships/hyperlink" Target="https://www.murata.com/en-us/products/productdata/8796738650142/ENFA0003.pdf" TargetMode="External"/><Relationship Id="rId840" Type="http://schemas.openxmlformats.org/officeDocument/2006/relationships/hyperlink" Target="https://eu.mouser.com/datasheet/2/597/1008ps-270724.pdf" TargetMode="External"/><Relationship Id="rId938" Type="http://schemas.openxmlformats.org/officeDocument/2006/relationships/hyperlink" Target="https://www.amd.com/system/files/TechDocs/33234H_LX_databook.pdf" TargetMode="External"/><Relationship Id="rId67" Type="http://schemas.openxmlformats.org/officeDocument/2006/relationships/hyperlink" Target="http://www.vishay.com/docs/85816/1n4728a.pdf" TargetMode="External"/><Relationship Id="rId272" Type="http://schemas.openxmlformats.org/officeDocument/2006/relationships/hyperlink" Target="https://www.murata.com/~/media/webrenewal/support/library/catalog/products/capacitor/mlcc/c02e.ashx" TargetMode="External"/><Relationship Id="rId577" Type="http://schemas.openxmlformats.org/officeDocument/2006/relationships/hyperlink" Target="https://eu.mouser.com/datasheet/2/447/PYu_RT_1_to_0_01_RoHS_L_12-3003070.pdf" TargetMode="External"/><Relationship Id="rId700" Type="http://schemas.openxmlformats.org/officeDocument/2006/relationships/hyperlink" Target="https://connect.kemet.com:7667/gateway/IntelliData-ComponentDocumentation/1.0/download/datasheet/C0603C101J1HACAUTO" TargetMode="External"/><Relationship Id="rId132" Type="http://schemas.openxmlformats.org/officeDocument/2006/relationships/hyperlink" Target="https://eu.mouser.com/datasheet/2/306/PIC32-PINGUINO-MX220-Rev-A-707312.pdf" TargetMode="External"/><Relationship Id="rId784" Type="http://schemas.openxmlformats.org/officeDocument/2006/relationships/hyperlink" Target="https://www.yageo.com/upload/media/product/productsearch/datasheet/mlcc/UPY-GPHC_X5R_4V-to-50V_30.pdf" TargetMode="External"/><Relationship Id="rId991" Type="http://schemas.openxmlformats.org/officeDocument/2006/relationships/hyperlink" Target="https://eu.mouser.com/datasheet/2/146/SPX5205-1889004.pdf" TargetMode="External"/><Relationship Id="rId437" Type="http://schemas.openxmlformats.org/officeDocument/2006/relationships/hyperlink" Target="https://media.digikey.com/pdf/Data%20Sheets/Micron%20Technology%20Inc%20PDFs/MT46H_64M16LF,32M32LF,LG.pdf" TargetMode="External"/><Relationship Id="rId644" Type="http://schemas.openxmlformats.org/officeDocument/2006/relationships/hyperlink" Target="http://suddendocs.samtec.com/prints/asp-127797-01.pdf" TargetMode="External"/><Relationship Id="rId851" Type="http://schemas.openxmlformats.org/officeDocument/2006/relationships/hyperlink" Target="https://www.yageo.com/upload/media/product/productsearch/datasheet/rchip/PYu-RT_1-to-0.01_RoHS_L_12.pdf" TargetMode="External"/><Relationship Id="rId283" Type="http://schemas.openxmlformats.org/officeDocument/2006/relationships/hyperlink" Target="http://www.yageo.com.tw/exep/pages/download/literatures/PYu-R_INT-thick_7.pdf" TargetMode="External"/><Relationship Id="rId490" Type="http://schemas.openxmlformats.org/officeDocument/2006/relationships/hyperlink" Target="https://www.onsemi.com/pdf/datasheet/1sma5913bt3-d.pdf" TargetMode="External"/><Relationship Id="rId504" Type="http://schemas.openxmlformats.org/officeDocument/2006/relationships/hyperlink" Target="https://www.yageo.com/upload/media/product/productsearch/datasheet/mlcc/UPY-GP_NP0_16V-to-50V_18.pdf" TargetMode="External"/><Relationship Id="rId711" Type="http://schemas.openxmlformats.org/officeDocument/2006/relationships/hyperlink" Target="https://www.ti.com/lit/ds/symlink/tps784.pdf?HQS=dis-mous-null-mousermode-dsf-pf-null-wwe&amp;ts=1686596433893&amp;ref_url=https%253A%252F%252Feu.mouser.com%252F" TargetMode="External"/><Relationship Id="rId949" Type="http://schemas.openxmlformats.org/officeDocument/2006/relationships/hyperlink" Target="https://datasheets.kyocera-avx.com/TAJ.pdf" TargetMode="External"/><Relationship Id="rId78" Type="http://schemas.openxmlformats.org/officeDocument/2006/relationships/hyperlink" Target="https://eu.mouser.com/datasheet/2/597/1206cs-270667.pdf" TargetMode="External"/><Relationship Id="rId143" Type="http://schemas.openxmlformats.org/officeDocument/2006/relationships/hyperlink" Target="https://www.ti.com/general/docs/suppproductinfo.tsp?distId=10&amp;gotoUrl=http%3A%2F%2Fwww.ti.com%2Flit%2Fgpn%2Fcd74hct374" TargetMode="External"/><Relationship Id="rId350" Type="http://schemas.openxmlformats.org/officeDocument/2006/relationships/hyperlink" Target="https://www.murata.com/~/media/webrenewal/support/library/catalog/products/capacitor/mlcc/c02e.ashx?la=en-us" TargetMode="External"/><Relationship Id="rId588" Type="http://schemas.openxmlformats.org/officeDocument/2006/relationships/hyperlink" Target="https://connect.kemet.com:7667/gateway/IntelliData-ComponentDocumentation/1.0/download/datasheet/C1210X103J5GAC7800" TargetMode="External"/><Relationship Id="rId795" Type="http://schemas.openxmlformats.org/officeDocument/2006/relationships/hyperlink" Target="https://eu.mouser.com/datasheet/2/597/0603cs-270694.pdf" TargetMode="External"/><Relationship Id="rId809" Type="http://schemas.openxmlformats.org/officeDocument/2006/relationships/hyperlink" Target="https://www.analog.com/media/en/technical-documentation/data-sheets/max4230-max4234.pdf" TargetMode="External"/><Relationship Id="rId9" Type="http://schemas.openxmlformats.org/officeDocument/2006/relationships/hyperlink" Target="http://www.songchuan.com/db/pictures/AdminModules/PDT/PDT090410001/200982920184746683.pdf" TargetMode="External"/><Relationship Id="rId210" Type="http://schemas.openxmlformats.org/officeDocument/2006/relationships/hyperlink" Target="http://www.murata.com/~/media/webrenewal/support/library/catalog/products/capacitor/mlcc/c02e.ashx" TargetMode="External"/><Relationship Id="rId448" Type="http://schemas.openxmlformats.org/officeDocument/2006/relationships/hyperlink" Target="https://search.murata.co.jp/Ceramy/image/img/P02/JELF243B-0033.pdf" TargetMode="External"/><Relationship Id="rId655" Type="http://schemas.openxmlformats.org/officeDocument/2006/relationships/hyperlink" Target="https://www.tdk-electronics.tdk.com/inf/80/db/fer/r_40_0_24_0_16_0.pdf" TargetMode="External"/><Relationship Id="rId862" Type="http://schemas.openxmlformats.org/officeDocument/2006/relationships/hyperlink" Target="https://www.yageo.com/upload/media/product/app/datasheet/rchip/pyu-rt_1-to-0.01_rohs_l.pdf" TargetMode="External"/><Relationship Id="rId294" Type="http://schemas.openxmlformats.org/officeDocument/2006/relationships/hyperlink" Target="https://www.murata.com/~/media/webrenewal/support/library/catalog/products/capacitor/mlcc/c02e.ashx?la=en-us" TargetMode="External"/><Relationship Id="rId308" Type="http://schemas.openxmlformats.org/officeDocument/2006/relationships/hyperlink" Target="http://www.rtkt.ru/files/k73-17.pdf" TargetMode="External"/><Relationship Id="rId515" Type="http://schemas.openxmlformats.org/officeDocument/2006/relationships/hyperlink" Target="https://www.yageo.com/upload/media/product/productsearch/datasheet/mlcc/UPY-GPHC_X7R_6.3V-to-50V_20.pdf" TargetMode="External"/><Relationship Id="rId722" Type="http://schemas.openxmlformats.org/officeDocument/2006/relationships/hyperlink" Target="https://www.promelec.ru/fs/sources/48/4c/6a/8a/171aced5e5f4860804c98e44.pdf" TargetMode="External"/><Relationship Id="rId89" Type="http://schemas.openxmlformats.org/officeDocument/2006/relationships/hyperlink" Target="http://www.ti.com/lit/ds/symlink/sn74ahct1g04.pdf" TargetMode="External"/><Relationship Id="rId154" Type="http://schemas.openxmlformats.org/officeDocument/2006/relationships/hyperlink" Target="https://www.maximintegrated.com/en/products/analog/clock-generation-distribution/ICM7555.html" TargetMode="External"/><Relationship Id="rId361" Type="http://schemas.openxmlformats.org/officeDocument/2006/relationships/hyperlink" Target="https://www.onsemi.com/products/power-management/linear-regulators-ldo/mc79l" TargetMode="External"/><Relationship Id="rId599" Type="http://schemas.openxmlformats.org/officeDocument/2006/relationships/hyperlink" Target="https://industrial.panasonic.com/cdbs/www-data/pdf/RDM0000/AOA0000C307.pdf" TargetMode="External"/><Relationship Id="rId1005" Type="http://schemas.openxmlformats.org/officeDocument/2006/relationships/hyperlink" Target="https://abracon.com/Oscillators/ASEseries.pdf" TargetMode="External"/><Relationship Id="rId459" Type="http://schemas.openxmlformats.org/officeDocument/2006/relationships/hyperlink" Target="https://www.bourns.com/docs/Product-Datasheets/pvg3.pdf" TargetMode="External"/><Relationship Id="rId666" Type="http://schemas.openxmlformats.org/officeDocument/2006/relationships/hyperlink" Target="https://www.yageo.com/upload/media/product/productsearch/datasheet/mlcc/UPY-GPHC_X7R_6.3V-to-50V_20.pdf" TargetMode="External"/><Relationship Id="rId873" Type="http://schemas.openxmlformats.org/officeDocument/2006/relationships/hyperlink" Target="https://www.vishay.com/docs/20056/crcw01005e3.pdf" TargetMode="External"/><Relationship Id="rId16" Type="http://schemas.openxmlformats.org/officeDocument/2006/relationships/hyperlink" Target="http://www.mccsemi.com/up_pdf/SM4001PL-SM4007PL%28SOD-123FL%29.PDF" TargetMode="External"/><Relationship Id="rId221" Type="http://schemas.openxmlformats.org/officeDocument/2006/relationships/hyperlink" Target="http://www.yageo.com/NewPortal/yageodocoutput?fileName=/pdf/R-Chip/PYu-RC_Group_51_RoHS_L_0.pdf" TargetMode="External"/><Relationship Id="rId319" Type="http://schemas.openxmlformats.org/officeDocument/2006/relationships/hyperlink" Target="http://www.yageo.com.tw/exep/pages/download/literatures/PYu-R_INT-thick_7.pdf" TargetMode="External"/><Relationship Id="rId526" Type="http://schemas.openxmlformats.org/officeDocument/2006/relationships/hyperlink" Target="https://www.yageo.com/upload/media/product/products/datasheet/mlcc/UPY-NP0X7R_MV_100-to-630V_21.pdf" TargetMode="External"/><Relationship Id="rId733" Type="http://schemas.openxmlformats.org/officeDocument/2006/relationships/hyperlink" Target="https://www.onsemi.com/pdf/datasheet/murs120t3-d.pdf" TargetMode="External"/><Relationship Id="rId940" Type="http://schemas.openxmlformats.org/officeDocument/2006/relationships/hyperlink" Target="https://ww1.microchip.com/downloads/en/DeviceDoc/2467S.pdf" TargetMode="External"/><Relationship Id="rId1016" Type="http://schemas.openxmlformats.org/officeDocument/2006/relationships/hyperlink" Target="https://www.tme.eu/Document/58871157ae0a09146c79dab4399bd814/amass8.pdf" TargetMode="External"/><Relationship Id="rId165" Type="http://schemas.openxmlformats.org/officeDocument/2006/relationships/hyperlink" Target="https://www.ti.com/store/ti/en/p/product/?p=ADS8341E" TargetMode="External"/><Relationship Id="rId372" Type="http://schemas.openxmlformats.org/officeDocument/2006/relationships/hyperlink" Target="https://www.analog.com/media/en/technical-documentation/data-sheets/ADuM1300_1301.pdf" TargetMode="External"/><Relationship Id="rId677" Type="http://schemas.openxmlformats.org/officeDocument/2006/relationships/hyperlink" Target="https://www.promelec.ru/fs/sources/1f/39/f0/5c/0c0bc85f700600e94b96cd1f.pdf" TargetMode="External"/><Relationship Id="rId800" Type="http://schemas.openxmlformats.org/officeDocument/2006/relationships/hyperlink" Target="https://www.vishay.com/docs/85604/bzx55.pdf" TargetMode="External"/><Relationship Id="rId232" Type="http://schemas.openxmlformats.org/officeDocument/2006/relationships/hyperlink" Target="http://www.yageo.com/NewPortal/yageodocoutput?fileName=/pdf/R-Chip/PYu-RC_Group_51_RoHS_L_0.pdf" TargetMode="External"/><Relationship Id="rId884" Type="http://schemas.openxmlformats.org/officeDocument/2006/relationships/hyperlink" Target="https://www.yageo.com/upload/media/product/productsearch/datasheet/rchip/PYu-RT_1-to-0.01_RoHS_L_12.pdf" TargetMode="External"/><Relationship Id="rId27" Type="http://schemas.openxmlformats.org/officeDocument/2006/relationships/hyperlink" Target="http://datasheet.sii-ic.com/en/battery_protection/S8241_E.pdf" TargetMode="External"/><Relationship Id="rId537" Type="http://schemas.openxmlformats.org/officeDocument/2006/relationships/hyperlink" Target="https://www.te.com/commerce/DocumentDelivery/DDEController?Action=srchrtrv&amp;DocNm=84533&amp;DocType=Customer+Drawing&amp;DocLang=English" TargetMode="External"/><Relationship Id="rId744" Type="http://schemas.openxmlformats.org/officeDocument/2006/relationships/hyperlink" Target="https://www.vishay.com/docs/26013/mkt1813.pdf" TargetMode="External"/><Relationship Id="rId951" Type="http://schemas.openxmlformats.org/officeDocument/2006/relationships/hyperlink" Target="https://content.kemet.com/datasheets/KEM_T2005_T491.pdf" TargetMode="External"/><Relationship Id="rId80" Type="http://schemas.openxmlformats.org/officeDocument/2006/relationships/hyperlink" Target="http://www.ti.com/lit/ds/symlink/tl431a.pdf?HQS=TI-null-null-mousermode-df-pf-null-wwe&amp;DCM=yes&amp;ref_url=https%3A%2F%2Feu.mouser.com%2F" TargetMode="External"/><Relationship Id="rId176" Type="http://schemas.openxmlformats.org/officeDocument/2006/relationships/hyperlink" Target="http://www.murata.com/~/media/webrenewal/support/library/catalog/products/capacitor/mlcc/c02e.ashx" TargetMode="External"/><Relationship Id="rId383" Type="http://schemas.openxmlformats.org/officeDocument/2006/relationships/hyperlink" Target="https://www.bourns.com/docs/Product-Datasheets/SDR1307.pdf" TargetMode="External"/><Relationship Id="rId590" Type="http://schemas.openxmlformats.org/officeDocument/2006/relationships/hyperlink" Target="https://www.samsungsem.com/resources/file/global/support/product_catalog/MLCC.pdf" TargetMode="External"/><Relationship Id="rId604" Type="http://schemas.openxmlformats.org/officeDocument/2006/relationships/hyperlink" Target="https://www.st.com/content/ccc/resource/technical/document/datasheet/26/db/14/60/52/47/47/5b/CD00001625.pdf/files/CD00001625.pdf/jcr:content/translations/en.CD00001625.pdf" TargetMode="External"/><Relationship Id="rId811" Type="http://schemas.openxmlformats.org/officeDocument/2006/relationships/hyperlink" Target="https://mm.digikey.com/Volume0/opasdata/d220001/medias/docus/2118/MLC_SLC_Cap_Cat.pdf" TargetMode="External"/><Relationship Id="rId1027" Type="http://schemas.openxmlformats.org/officeDocument/2006/relationships/hyperlink" Target="https://www.yageo.com/upload/media/product/productsearch/datasheet/rchip/PYu-RT_1-to-0.01_RoHS_L_15.pdf" TargetMode="External"/><Relationship Id="rId243" Type="http://schemas.openxmlformats.org/officeDocument/2006/relationships/hyperlink" Target="http://www.yageo.com/NewPortal/yageodocoutput?fileName=/pdf/R-Chip/PYu-RC_Group_51_RoHS_L_0.pdf" TargetMode="External"/><Relationship Id="rId450" Type="http://schemas.openxmlformats.org/officeDocument/2006/relationships/hyperlink" Target="https://api.e-components.ru/api/item/t-ds-1071-sc000/doc/0" TargetMode="External"/><Relationship Id="rId688" Type="http://schemas.openxmlformats.org/officeDocument/2006/relationships/hyperlink" Target="https://data.electronshik.ru/z/Datasheet/T/TCC0805X7R475K100FT.pdf" TargetMode="External"/><Relationship Id="rId895" Type="http://schemas.openxmlformats.org/officeDocument/2006/relationships/hyperlink" Target="https://www.vishay.com/docs/51009/tsm4.pdf" TargetMode="External"/><Relationship Id="rId909" Type="http://schemas.openxmlformats.org/officeDocument/2006/relationships/hyperlink" Target="http://www.murata.com/~/media/webrenewal/support/library/catalog/products/capacitor/mlcc/c02e.ashx" TargetMode="External"/><Relationship Id="rId38" Type="http://schemas.openxmlformats.org/officeDocument/2006/relationships/hyperlink" Target="http://www.vishay.com/docs/83654/83654.pdf" TargetMode="External"/><Relationship Id="rId103" Type="http://schemas.openxmlformats.org/officeDocument/2006/relationships/hyperlink" Target="https://cdn.harwin.com/pdfs/H3183.pdf" TargetMode="External"/><Relationship Id="rId310" Type="http://schemas.openxmlformats.org/officeDocument/2006/relationships/hyperlink" Target="https://www.yageo.com/upload/media/product/products/datasheet/lr/Yageo_LR_SQP_NSP_1.pdf" TargetMode="External"/><Relationship Id="rId548" Type="http://schemas.openxmlformats.org/officeDocument/2006/relationships/hyperlink" Target="http://www.yageo.com/documents/recent/UPY-GP_NP0_16V-to-50V_16.pdf" TargetMode="External"/><Relationship Id="rId755" Type="http://schemas.openxmlformats.org/officeDocument/2006/relationships/hyperlink" Target="https://www.analog.com/media/en/technical-documentation/data-sheets/AD7243.pdf" TargetMode="External"/><Relationship Id="rId962" Type="http://schemas.openxmlformats.org/officeDocument/2006/relationships/hyperlink" Target="https://www.amd.com/system/files/TechDocs/33234H_LX_databook.pdf" TargetMode="External"/><Relationship Id="rId91" Type="http://schemas.openxmlformats.org/officeDocument/2006/relationships/hyperlink" Target="https://www.molex.com/pdm_docs/sd/901361104_sd.pdf" TargetMode="External"/><Relationship Id="rId187" Type="http://schemas.openxmlformats.org/officeDocument/2006/relationships/hyperlink" Target="http://www.vishay.com/docs/20035/dcrcwe3.pdf" TargetMode="External"/><Relationship Id="rId394" Type="http://schemas.openxmlformats.org/officeDocument/2006/relationships/hyperlink" Target="http://www.yageo.com/NewPortal/yageodocoutput?fileName=/pdf/R-Chip/PYu-RC_Group_51_RoHS_L_0.pdf" TargetMode="External"/><Relationship Id="rId408" Type="http://schemas.openxmlformats.org/officeDocument/2006/relationships/hyperlink" Target="http://datasheets.avx.com/TAJ.pdf" TargetMode="External"/><Relationship Id="rId615" Type="http://schemas.openxmlformats.org/officeDocument/2006/relationships/hyperlink" Target="https://www.st.com/content/ccc/resource/technical/document/datasheet/53/db/00/58/09/98/4b/36/CD00001884.pdf/files/CD00001884.pdf/jcr:content/translations/en.CD00001884.pdf" TargetMode="External"/><Relationship Id="rId822" Type="http://schemas.openxmlformats.org/officeDocument/2006/relationships/hyperlink" Target="https://www.analog.com/media/en/technical-documentation/data-sheets/ad9233.pdf" TargetMode="External"/><Relationship Id="rId1038" Type="http://schemas.openxmlformats.org/officeDocument/2006/relationships/hyperlink" Target="https://b2b.harting.com/files/download/PRD/PDF_DS/PDF_DS_09670009972_EN.pdf" TargetMode="External"/><Relationship Id="rId254" Type="http://schemas.openxmlformats.org/officeDocument/2006/relationships/hyperlink" Target="http://www.yageo.com.tw/exep/pages/download/literatures/PYu-R_INT-thick_7.pdf" TargetMode="External"/><Relationship Id="rId699" Type="http://schemas.openxmlformats.org/officeDocument/2006/relationships/hyperlink" Target="https://eu.mouser.com/datasheet/2/447/PYu_RT_1_to_0_01_RoHS_L_12-3003070.pdf" TargetMode="External"/><Relationship Id="rId49" Type="http://schemas.openxmlformats.org/officeDocument/2006/relationships/hyperlink" Target="http://www.vishay.com/docs/88554/byv26dgp.pdf" TargetMode="External"/><Relationship Id="rId114" Type="http://schemas.openxmlformats.org/officeDocument/2006/relationships/hyperlink" Target="https://assets.nexperia.com/documents/data-sheet/BSS63.pdf" TargetMode="External"/><Relationship Id="rId461" Type="http://schemas.openxmlformats.org/officeDocument/2006/relationships/hyperlink" Target="https://www.phoenixcontact.com/ru-kz/produkty/razyemy-dlya-pechatnoy-platy-mcvr-15-4-stf-35-1863327" TargetMode="External"/><Relationship Id="rId559" Type="http://schemas.openxmlformats.org/officeDocument/2006/relationships/hyperlink" Target="http://www.yageo.com/documents/recent/UPY-GP_NP0_16V-to-50V_16.pdf" TargetMode="External"/><Relationship Id="rId766" Type="http://schemas.openxmlformats.org/officeDocument/2006/relationships/hyperlink" Target="https://mm.digikey.com/Volume0/opasdata/d220001/medias/docus/5011/AMS1117.pdf" TargetMode="External"/><Relationship Id="rId198" Type="http://schemas.openxmlformats.org/officeDocument/2006/relationships/hyperlink" Target="http://www.yageo.com.tw/exep/pages/download/literatures/PYu-R_INT-thick_7.pdf" TargetMode="External"/><Relationship Id="rId321" Type="http://schemas.openxmlformats.org/officeDocument/2006/relationships/hyperlink" Target="http://www.yageo.com.tw/exep/pages/download/literatures/PYu-R_INT-thick_7.pdf" TargetMode="External"/><Relationship Id="rId419" Type="http://schemas.openxmlformats.org/officeDocument/2006/relationships/hyperlink" Target="https://content.kemet.com/datasheets/KEM_T2005_T491.pdf" TargetMode="External"/><Relationship Id="rId626" Type="http://schemas.openxmlformats.org/officeDocument/2006/relationships/hyperlink" Target="http://datasheets.avx.com/TAJ.pdf" TargetMode="External"/><Relationship Id="rId973" Type="http://schemas.openxmlformats.org/officeDocument/2006/relationships/hyperlink" Target="http://datasheets.avx.com/TPS.pdf" TargetMode="External"/><Relationship Id="rId1049" Type="http://schemas.openxmlformats.org/officeDocument/2006/relationships/hyperlink" Target="https://www.yageo.com/upload/media/product/products/datasheet/rchip/PYu-RC_Group_51_RoHS_L_12.pdf" TargetMode="External"/><Relationship Id="rId833" Type="http://schemas.openxmlformats.org/officeDocument/2006/relationships/hyperlink" Target="https://www.hirose.com/en/product/p/CL0684-4006-1-51" TargetMode="External"/><Relationship Id="rId265" Type="http://schemas.openxmlformats.org/officeDocument/2006/relationships/hyperlink" Target="http://prox.ru/doc/PROX-13_Manual-v1.2.pdf" TargetMode="External"/><Relationship Id="rId472" Type="http://schemas.openxmlformats.org/officeDocument/2006/relationships/hyperlink" Target="https://files.rct.ru/pdf/connectors/plhd_plh_01.pdf" TargetMode="External"/><Relationship Id="rId900" Type="http://schemas.openxmlformats.org/officeDocument/2006/relationships/hyperlink" Target="https://www.littelfuse.com/media?resourcetype=datasheets&amp;itemid=2b6a1515-d4ee-4c83-8bd4-152b4901b8f5&amp;filename=littelfuse_ptc_1206l_datasheet.pdf" TargetMode="External"/><Relationship Id="rId125" Type="http://schemas.openxmlformats.org/officeDocument/2006/relationships/hyperlink" Target="https://www.te.com/commerce/DocumentDelivery/DDEController?Action=srchrtrv&amp;DocNm=5145274&amp;DocType=Customer+Drawing&amp;DocLang=English" TargetMode="External"/><Relationship Id="rId332" Type="http://schemas.openxmlformats.org/officeDocument/2006/relationships/hyperlink" Target="http://www.yageo.com/NewPortal/yageodocoutput?fileName=/pdf/R-Chip/PYu-RC_Group_51_RoHS_L_0.pdf" TargetMode="External"/><Relationship Id="rId777" Type="http://schemas.openxmlformats.org/officeDocument/2006/relationships/hyperlink" Target="https://eu.mouser.com/datasheet/2/597/mini-270627.pdf" TargetMode="External"/><Relationship Id="rId984" Type="http://schemas.openxmlformats.org/officeDocument/2006/relationships/hyperlink" Target="https://www.murata.com/~/media/webrenewal/support/library/catalog/products/capacitor/mlcc/c02e.ashx?la=en-us" TargetMode="External"/><Relationship Id="rId637" Type="http://schemas.openxmlformats.org/officeDocument/2006/relationships/hyperlink" Target="https://content.kemet.com/datasheets/KEM_T2005_T491.pdf" TargetMode="External"/><Relationship Id="rId844" Type="http://schemas.openxmlformats.org/officeDocument/2006/relationships/hyperlink" Target="http://suddendocs.samtec.com/catalog_english/mtsw.pdf" TargetMode="External"/><Relationship Id="rId276" Type="http://schemas.openxmlformats.org/officeDocument/2006/relationships/hyperlink" Target="http://www.yageo.com/documents/recent/UPY-GPHC_X7R_6.3V-to-50V_18.pdf" TargetMode="External"/><Relationship Id="rId483" Type="http://schemas.openxmlformats.org/officeDocument/2006/relationships/hyperlink" Target="https://industrial.panasonic.com/cdbs/www-data/pdf/RDM0000/AOA0000C307.pdf" TargetMode="External"/><Relationship Id="rId690" Type="http://schemas.openxmlformats.org/officeDocument/2006/relationships/hyperlink" Target="https://www.murata.com/~/media/webrenewal/support/library/catalog/products/capacitor/mlcc/c02e.ashx?la=en-us" TargetMode="External"/><Relationship Id="rId704" Type="http://schemas.openxmlformats.org/officeDocument/2006/relationships/hyperlink" Target="https://www.bourns.com/docs/Product-Datasheets/sdr0403.pdf" TargetMode="External"/><Relationship Id="rId911" Type="http://schemas.openxmlformats.org/officeDocument/2006/relationships/hyperlink" Target="https://eu.mouser.com/datasheet/2/585/MLCC-1837944.pdf" TargetMode="External"/><Relationship Id="rId40" Type="http://schemas.openxmlformats.org/officeDocument/2006/relationships/hyperlink" Target="http://www.st.com/content/ccc/resource/technical/document/datasheet/41/4f/b3/b0/12/d4/47/88/CD00000444.pdf/files/CD00000444.pdf/jcr:content/translations/en.CD00000444.pdf" TargetMode="External"/><Relationship Id="rId136" Type="http://schemas.openxmlformats.org/officeDocument/2006/relationships/hyperlink" Target="https://www.littelfuse.com/~/media/electronics/datasheets/tvs_diodes/littelfuse_tvs_diode_p6ke_datasheet.pdf.pdf" TargetMode="External"/><Relationship Id="rId343" Type="http://schemas.openxmlformats.org/officeDocument/2006/relationships/hyperlink" Target="http://www.yageo.com/NewPortal/yageodocoutput?fileName=/pdf/throughhole/Yageo_LR_SQP_NSP_2013.pdf" TargetMode="External"/><Relationship Id="rId550" Type="http://schemas.openxmlformats.org/officeDocument/2006/relationships/hyperlink" Target="http://www.yageo.com/documents/recent/UPY-GP_NP0_16V-to-50V_16.pdf" TargetMode="External"/><Relationship Id="rId788" Type="http://schemas.openxmlformats.org/officeDocument/2006/relationships/hyperlink" Target="https://mm.digikey.com/Volume0/opasdata/d220001/medias/docus/41/CL31A476MQHNNNE_Spec.pdf" TargetMode="External"/><Relationship Id="rId995" Type="http://schemas.openxmlformats.org/officeDocument/2006/relationships/hyperlink" Target="https://product.tdk.com/en/system/files/dam/doc/product/capacitor/film/mkt/data_sheet/20/20/db/fc_2009/b32520_529.pdf" TargetMode="External"/><Relationship Id="rId203" Type="http://schemas.openxmlformats.org/officeDocument/2006/relationships/hyperlink" Target="http://www.vishay.com/docs/20035/dcrcwe3.pdf" TargetMode="External"/><Relationship Id="rId648" Type="http://schemas.openxmlformats.org/officeDocument/2006/relationships/hyperlink" Target="https://media.digikey.com/pdf/Data%20Sheets/United%20Chemi-Con%20PDFs/NTS_NTF_Series_E1002W.pdf" TargetMode="External"/><Relationship Id="rId855" Type="http://schemas.openxmlformats.org/officeDocument/2006/relationships/hyperlink" Target="https://industrial.panasonic.com/cdbs/www-data/pdf/RDA0000/AOA0000C304.pdf" TargetMode="External"/><Relationship Id="rId1040" Type="http://schemas.openxmlformats.org/officeDocument/2006/relationships/hyperlink" Target="https://&#1082;&#1083;&#1077;&#1084;&#1084;&#1085;&#1080;&#1082;.&#1088;&#1092;/upload/uf/cfa/q04nx1eniie6vcvzqbhquliop0hssbdl.pdf" TargetMode="External"/><Relationship Id="rId287" Type="http://schemas.openxmlformats.org/officeDocument/2006/relationships/hyperlink" Target="http://www.yageo.com.tw/exep/pages/download/literatures/PYu-R_INT-thick_7.pdf" TargetMode="External"/><Relationship Id="rId410" Type="http://schemas.openxmlformats.org/officeDocument/2006/relationships/hyperlink" Target="https://www.molex.com/pdm_docs/ps/PS-44300-001.pdf" TargetMode="External"/><Relationship Id="rId494" Type="http://schemas.openxmlformats.org/officeDocument/2006/relationships/hyperlink" Target="https://www.yageo.com/upload/media/product/products/datasheet/mlcc/UPY-NP0X7R_MV_100-to-630V_21.pdf" TargetMode="External"/><Relationship Id="rId508" Type="http://schemas.openxmlformats.org/officeDocument/2006/relationships/hyperlink" Target="https://www.samsungsem.com/resources/file/global/support/product_catalog/MLCC.pdf" TargetMode="External"/><Relationship Id="rId715" Type="http://schemas.openxmlformats.org/officeDocument/2006/relationships/hyperlink" Target="https://www.bourns.com/docs/Product-Datasheets/CAY10.pdf" TargetMode="External"/><Relationship Id="rId922" Type="http://schemas.openxmlformats.org/officeDocument/2006/relationships/hyperlink" Target="https://www.bourns.com/docs/Product-Datasheets/2053.pdf" TargetMode="External"/><Relationship Id="rId147" Type="http://schemas.openxmlformats.org/officeDocument/2006/relationships/hyperlink" Target="http://files.rct.ru/pdf/connectors/h_2_12.pdf" TargetMode="External"/><Relationship Id="rId354" Type="http://schemas.openxmlformats.org/officeDocument/2006/relationships/hyperlink" Target="http://www.murata.com/~/media/webrenewal/support/library/catalog/products/capacitor/mlcc/c02e.ashx" TargetMode="External"/><Relationship Id="rId799" Type="http://schemas.openxmlformats.org/officeDocument/2006/relationships/hyperlink" Target="https://www.infineon.com/dgdl/bfr360l3.pdf?folderId=db3a30431400ef68011425b2dfaf05c6&amp;fileId=db3a30431400ef6801142724646906e4" TargetMode="External"/><Relationship Id="rId51" Type="http://schemas.openxmlformats.org/officeDocument/2006/relationships/hyperlink" Target="https://lib.chipdip.ru/051/DOC000051113.pdf" TargetMode="External"/><Relationship Id="rId561" Type="http://schemas.openxmlformats.org/officeDocument/2006/relationships/hyperlink" Target="https://www.yageo.com/upload/media/product/products/datasheet/mlcc/UPY-NP0X7R_MV_100-to-630V_21.pdf" TargetMode="External"/><Relationship Id="rId659" Type="http://schemas.openxmlformats.org/officeDocument/2006/relationships/hyperlink" Target="https://eu.mouser.com/datasheet/2/293/e_uud-2399693.pdf" TargetMode="External"/><Relationship Id="rId866" Type="http://schemas.openxmlformats.org/officeDocument/2006/relationships/hyperlink" Target="https://industrial.panasonic.com/cdbs/www-data/pdf/RDM0000/AOA0000C307.pdf" TargetMode="External"/><Relationship Id="rId214" Type="http://schemas.openxmlformats.org/officeDocument/2006/relationships/hyperlink" Target="http://www.murata.com/~/media/webrenewal/support/library/catalog/products/capacitor/mlcc/c02e.ashx" TargetMode="External"/><Relationship Id="rId298" Type="http://schemas.openxmlformats.org/officeDocument/2006/relationships/hyperlink" Target="https://industrial.panasonic.com/ww/products/capacitors/aluminum-capacitors/aluminum-cap-lead/fc/EEUFC1H4R7B" TargetMode="External"/><Relationship Id="rId421" Type="http://schemas.openxmlformats.org/officeDocument/2006/relationships/hyperlink" Target="http://www.yageo.com/exep/pages/download/literatures/ProductSelectionGuide%202014_Final_2.pdf" TargetMode="External"/><Relationship Id="rId519" Type="http://schemas.openxmlformats.org/officeDocument/2006/relationships/hyperlink" Target="https://www.yageo.com/upload/media/product/productsearch/datasheet/rchip/PYu-RT_1-to-0.01_RoHS_L_12.pdf" TargetMode="External"/><Relationship Id="rId1051" Type="http://schemas.openxmlformats.org/officeDocument/2006/relationships/hyperlink" Target="https://mm.digikey.com/Volume0/opasdata/d220001/medias/docus/2615/EPCQ-A_Serial_Configuration_Device.pdf" TargetMode="External"/><Relationship Id="rId158" Type="http://schemas.openxmlformats.org/officeDocument/2006/relationships/hyperlink" Target="https://www.st.com/content/st_com/en/products/diodes-and-rectifiers/schottky-barrier-diodes/power-schottky/power-schottky-high-temperature/stps5h100.html" TargetMode="External"/><Relationship Id="rId726" Type="http://schemas.openxmlformats.org/officeDocument/2006/relationships/hyperlink" Target="https://www.yageo.com/upload/media/product/productsearch/datasheet/rchip/PYu-RT_1-to-0.01_RoHS_L_12.pdf" TargetMode="External"/><Relationship Id="rId933" Type="http://schemas.openxmlformats.org/officeDocument/2006/relationships/hyperlink" Target="https://content.kemet.com/datasheets/KEM_T2009_T495.pdf" TargetMode="External"/><Relationship Id="rId1009" Type="http://schemas.openxmlformats.org/officeDocument/2006/relationships/hyperlink" Target="https://api.e-components.ru/api/item/ds-1021-2-40-sf11/doc/0" TargetMode="External"/><Relationship Id="rId62" Type="http://schemas.openxmlformats.org/officeDocument/2006/relationships/hyperlink" Target="https://datasheets.maximintegrated.com/en/ds/MAX6125-MAX6160.pdf" TargetMode="External"/><Relationship Id="rId365" Type="http://schemas.openxmlformats.org/officeDocument/2006/relationships/hyperlink" Target="https://search.murata.co.jp/Ceramy/image/img/A01X/G101/ENG/GRM033R71E102KA01-01.pdf" TargetMode="External"/><Relationship Id="rId572" Type="http://schemas.openxmlformats.org/officeDocument/2006/relationships/hyperlink" Target="https://www.nichicon.co.jp/english/products/pdfs/e-uhe.pdf" TargetMode="External"/><Relationship Id="rId225" Type="http://schemas.openxmlformats.org/officeDocument/2006/relationships/hyperlink" Target="http://www.yageo.com.tw/exep/pages/download/literatures/PYu-R_INT-thick_7.pdf" TargetMode="External"/><Relationship Id="rId432" Type="http://schemas.openxmlformats.org/officeDocument/2006/relationships/hyperlink" Target="https://www.keyelco.com/userAssets/file/M65p56.pdf" TargetMode="External"/><Relationship Id="rId877" Type="http://schemas.openxmlformats.org/officeDocument/2006/relationships/hyperlink" Target="https://cdn.macom.com/datasheets/ETC1-1-13.pdf" TargetMode="External"/><Relationship Id="rId737" Type="http://schemas.openxmlformats.org/officeDocument/2006/relationships/hyperlink" Target="https://tools.molex.com/pdm_docs/sd/002081201_sd.pdf" TargetMode="External"/><Relationship Id="rId944" Type="http://schemas.openxmlformats.org/officeDocument/2006/relationships/hyperlink" Target="https://tools.molex.com/pdm_docs/ps/PS-43045.pdf" TargetMode="External"/><Relationship Id="rId73" Type="http://schemas.openxmlformats.org/officeDocument/2006/relationships/hyperlink" Target="https://eu.mouser.com/datasheet/2/216/kingbright_wp132xit-1173680.pdf" TargetMode="External"/><Relationship Id="rId169" Type="http://schemas.openxmlformats.org/officeDocument/2006/relationships/hyperlink" Target="http://www.yageo.com/NewPortal/yageodocoutput?fileName=/pdf/R-Chip/PYu-RC_Group_51_RoHS_L_0.pdf" TargetMode="External"/><Relationship Id="rId376" Type="http://schemas.openxmlformats.org/officeDocument/2006/relationships/hyperlink" Target="https://eurolan.ru/ru/products/1444/7258/" TargetMode="External"/><Relationship Id="rId583" Type="http://schemas.openxmlformats.org/officeDocument/2006/relationships/hyperlink" Target="https://www.yageo.com/upload/media/product/productsearch/datasheet/rchip/PYu-RT_1-to-0.01_RoHS_L_12.pdf" TargetMode="External"/><Relationship Id="rId790" Type="http://schemas.openxmlformats.org/officeDocument/2006/relationships/hyperlink" Target="https://product.tdk.com/system/files/dam/doc/product/capacitor/ceramic/mlcc/catalog/mlcc_commercial_general_en.pdf" TargetMode="External"/><Relationship Id="rId804" Type="http://schemas.openxmlformats.org/officeDocument/2006/relationships/hyperlink" Target="https://www.analog.com/media/en/technical-documentation/data-sheets/AD9218.pdf" TargetMode="External"/><Relationship Id="rId4" Type="http://schemas.openxmlformats.org/officeDocument/2006/relationships/hyperlink" Target="http://www.soselectronic.hu/a_info/resource/d/kingbright/L-934SRD-C.pdf" TargetMode="External"/><Relationship Id="rId236" Type="http://schemas.openxmlformats.org/officeDocument/2006/relationships/hyperlink" Target="https://industrial.panasonic.com/cdbs/www-data/pdf/RDM0000/AOA0000C237.pdf" TargetMode="External"/><Relationship Id="rId443" Type="http://schemas.openxmlformats.org/officeDocument/2006/relationships/hyperlink" Target="http://www.murata.com/~/media/webrenewal/support/library/catalog/products/capacitor/mlcc/c02e.ashx" TargetMode="External"/><Relationship Id="rId650" Type="http://schemas.openxmlformats.org/officeDocument/2006/relationships/hyperlink" Target="https://www.richardsonrfpd.com/docs/rfpd/RFP-100200-4X50-2.pdf" TargetMode="External"/><Relationship Id="rId888" Type="http://schemas.openxmlformats.org/officeDocument/2006/relationships/hyperlink" Target="https://www.compel.ru/item-pdf/d66d2d08f98d3693c30db3e8d6959f24/ps/kls~kls1-204b.pdf" TargetMode="External"/><Relationship Id="rId303" Type="http://schemas.openxmlformats.org/officeDocument/2006/relationships/hyperlink" Target="https://www.murata.com/~/media/webrenewal/support/library/catalog/products/capacitor/mlcc/c02e.ashx?la=en-us" TargetMode="External"/><Relationship Id="rId748" Type="http://schemas.openxmlformats.org/officeDocument/2006/relationships/hyperlink" Target="https://www.murata.com/en-us/products/productdata/8798137286686/QNFA9129.pdf" TargetMode="External"/><Relationship Id="rId955" Type="http://schemas.openxmlformats.org/officeDocument/2006/relationships/hyperlink" Target="http://www.yageo.com/documents/recent/UPY-GPHC_X7R_6.3V-to-50V_18.pdf" TargetMode="External"/><Relationship Id="rId84" Type="http://schemas.openxmlformats.org/officeDocument/2006/relationships/hyperlink" Target="https://api.e-components.ru/api/item/ds-1021-3-40-sf11/doc/0" TargetMode="External"/><Relationship Id="rId387" Type="http://schemas.openxmlformats.org/officeDocument/2006/relationships/hyperlink" Target="https://datasheets.kyocera-avx.com/TPS.pdf" TargetMode="External"/><Relationship Id="rId510" Type="http://schemas.openxmlformats.org/officeDocument/2006/relationships/hyperlink" Target="https://www.yageo.com/upload/media/product/productsearch/datasheet/mlcc/UPY-GPHC_X7R_6.3V-to-50V_20.pdf" TargetMode="External"/><Relationship Id="rId594" Type="http://schemas.openxmlformats.org/officeDocument/2006/relationships/hyperlink" Target="https://www.minicircuits.com/pdfs/ADT4-1WT+.pdf" TargetMode="External"/><Relationship Id="rId608" Type="http://schemas.openxmlformats.org/officeDocument/2006/relationships/hyperlink" Target="https://www.yageo.com/upload/media/product/products/datasheet/mlcc/UPY-NP0X7R_MV_100-to-630V_21.pdf" TargetMode="External"/><Relationship Id="rId815" Type="http://schemas.openxmlformats.org/officeDocument/2006/relationships/hyperlink" Target="https://www.diodes.com/assets/Datasheets/FL.pdf" TargetMode="External"/><Relationship Id="rId247" Type="http://schemas.openxmlformats.org/officeDocument/2006/relationships/hyperlink" Target="http://www.yageo.com.tw/exep/pages/download/literatures/PYu-R_INT-thick_7.pdf" TargetMode="External"/><Relationship Id="rId899" Type="http://schemas.openxmlformats.org/officeDocument/2006/relationships/hyperlink" Target="https://assets.nexperia.com/documents/data-sheet/BAV99_SER.pdf" TargetMode="External"/><Relationship Id="rId1000" Type="http://schemas.openxmlformats.org/officeDocument/2006/relationships/hyperlink" Target="https://www.amd.com/system/files/TechDocs/33234H_LX_databook.pdf" TargetMode="External"/><Relationship Id="rId107" Type="http://schemas.openxmlformats.org/officeDocument/2006/relationships/hyperlink" Target="https://media.digikey.com/pdf/Data%20Sheets/Phoenix%20Contact%20PDFs/1759143.pdf" TargetMode="External"/><Relationship Id="rId454" Type="http://schemas.openxmlformats.org/officeDocument/2006/relationships/hyperlink" Target="https://www.yageo.com/upload/media/product/productsearch/datasheet/rchip/PYu-RC_Group_51_RoHS_L_11.pdf" TargetMode="External"/><Relationship Id="rId661" Type="http://schemas.openxmlformats.org/officeDocument/2006/relationships/hyperlink" Target="http://www.samsungsem.com/kr/support/product-search/mlcc/__icsFiles/afieldfile/2019/06/18/CL10B103KC8NNNC-19.pdf" TargetMode="External"/><Relationship Id="rId759" Type="http://schemas.openxmlformats.org/officeDocument/2006/relationships/hyperlink" Target="https://www.micros.com.pl/mediaserver/Z_SH8.0-M-B_AMASS_0001.pdf" TargetMode="External"/><Relationship Id="rId966" Type="http://schemas.openxmlformats.org/officeDocument/2006/relationships/hyperlink" Target="https://eu.mouser.com/datasheet/2/212/1/KEM_T2005_T491-1093550.pdf" TargetMode="External"/><Relationship Id="rId11" Type="http://schemas.openxmlformats.org/officeDocument/2006/relationships/hyperlink" Target="http://www.onsemi.com/pub_link/Collateral/BAS16LT1-D.PDF" TargetMode="External"/><Relationship Id="rId314" Type="http://schemas.openxmlformats.org/officeDocument/2006/relationships/hyperlink" Target="http://www.vishay.com/docs/45221/quadhifreq.pdf" TargetMode="External"/><Relationship Id="rId398" Type="http://schemas.openxmlformats.org/officeDocument/2006/relationships/hyperlink" Target="https://www.se.com/ww/en/product/XB4BA11/harmony-xb4-push-button-metal-flush-white-%C3%B822-spring-return-unmarked-1-no/" TargetMode="External"/><Relationship Id="rId521" Type="http://schemas.openxmlformats.org/officeDocument/2006/relationships/hyperlink" Target="https://search.murata.co.jp/Ceramy/image/img/A01X/G101/ENG/GRM21BR71H683KA01-01.pdf" TargetMode="External"/><Relationship Id="rId619" Type="http://schemas.openxmlformats.org/officeDocument/2006/relationships/hyperlink" Target="https://api.e-components.ru/api/item/ds-1023-2-5-sf11/doc/0" TargetMode="External"/><Relationship Id="rId95" Type="http://schemas.openxmlformats.org/officeDocument/2006/relationships/hyperlink" Target="http://www.aimtec.com/site/Aimtec/files/Datasheet/HighResolution/AM1_4L-N-Z.pdf" TargetMode="External"/><Relationship Id="rId160" Type="http://schemas.openxmlformats.org/officeDocument/2006/relationships/hyperlink" Target="https://e-components.ru/item/ds-1025-06-2-10-p-8-br1" TargetMode="External"/><Relationship Id="rId826" Type="http://schemas.openxmlformats.org/officeDocument/2006/relationships/hyperlink" Target="https://mm.digikey.com/Volume0/opasdata/d220001/medias/docus/649/Universe_IIDB_User_Manual.pdf" TargetMode="External"/><Relationship Id="rId1011" Type="http://schemas.openxmlformats.org/officeDocument/2006/relationships/hyperlink" Target="https://ww1.microchip.com/downloads/en/DeviceDoc/2467S.pdf" TargetMode="External"/><Relationship Id="rId258" Type="http://schemas.openxmlformats.org/officeDocument/2006/relationships/hyperlink" Target="http://www.yageo.com.tw/exep/pages/download/literatures/PYu-R_INT-thick_7.pdf" TargetMode="External"/><Relationship Id="rId465" Type="http://schemas.openxmlformats.org/officeDocument/2006/relationships/hyperlink" Target="https://industrial.panasonic.com/sa/products/pt/high-precision-chip-resistors/models/ERA3AEB4751V" TargetMode="External"/><Relationship Id="rId672" Type="http://schemas.openxmlformats.org/officeDocument/2006/relationships/hyperlink" Target="https://www.promelec.ru/fs/sources/23/3b/5a/b0/d1c3a0fd648da113a2a85ba3.pdf" TargetMode="External"/><Relationship Id="rId22" Type="http://schemas.openxmlformats.org/officeDocument/2006/relationships/hyperlink" Target="http://www.mouser.com/ds/2/472/SMV1247_SMV1255_Series_200061O-462952.pdf" TargetMode="External"/><Relationship Id="rId118" Type="http://schemas.openxmlformats.org/officeDocument/2006/relationships/hyperlink" Target="http://www.ti.com/lit/ds/symlink/tl16c754b.pdf" TargetMode="External"/><Relationship Id="rId325" Type="http://schemas.openxmlformats.org/officeDocument/2006/relationships/hyperlink" Target="http://www.yageo.com/documents/recent/UPY-GP_NP0_16V-to-50V_16.pdf" TargetMode="External"/><Relationship Id="rId532" Type="http://schemas.openxmlformats.org/officeDocument/2006/relationships/hyperlink" Target="http://datasheets.avx.com/TAJ.pdf" TargetMode="External"/><Relationship Id="rId977" Type="http://schemas.openxmlformats.org/officeDocument/2006/relationships/hyperlink" Target="https://api.e-components.ru/api/item/ds-1069-8mvw-6-x/doc/0" TargetMode="External"/><Relationship Id="rId171" Type="http://schemas.openxmlformats.org/officeDocument/2006/relationships/hyperlink" Target="http://www.yageo.com/NewPortal/yageodocoutput?fileName=/pdf/R-Chip/PYu-RC_Group_51_RoHS_L_0.pdf" TargetMode="External"/><Relationship Id="rId837" Type="http://schemas.openxmlformats.org/officeDocument/2006/relationships/hyperlink" Target="https://static.chipdip.ru/lib/063/DOC000063871.pdf" TargetMode="External"/><Relationship Id="rId1022" Type="http://schemas.openxmlformats.org/officeDocument/2006/relationships/hyperlink" Target="https://www.nxp.com/docs/en/data-sheet/PCA9540B.pdf" TargetMode="External"/><Relationship Id="rId269" Type="http://schemas.openxmlformats.org/officeDocument/2006/relationships/hyperlink" Target="http://www.yageo.com.tw/exep/pages/download/literatures/PYu-R_INT-thick_7.pdf" TargetMode="External"/><Relationship Id="rId476" Type="http://schemas.openxmlformats.org/officeDocument/2006/relationships/hyperlink" Target="https://www.kingbrightusa.com/images/catalog/SPEC/WP113HDT.pdf" TargetMode="External"/><Relationship Id="rId683" Type="http://schemas.openxmlformats.org/officeDocument/2006/relationships/hyperlink" Target="https://search.murata.co.jp/Ceramy/image/img/P02/JELF243A-0024.pdf" TargetMode="External"/><Relationship Id="rId890" Type="http://schemas.openxmlformats.org/officeDocument/2006/relationships/hyperlink" Target="https://www.analog.com/media/en/technical-documentation/data-sheets/max1658-max1659.pdf" TargetMode="External"/><Relationship Id="rId904" Type="http://schemas.openxmlformats.org/officeDocument/2006/relationships/hyperlink" Target="https://api.e-components.ru/api/item/ds-1021-2x-6-sf-17-b/doc/0" TargetMode="External"/><Relationship Id="rId33" Type="http://schemas.openxmlformats.org/officeDocument/2006/relationships/hyperlink" Target="http://www.avagotech.com/docs/AV02-1395EN" TargetMode="External"/><Relationship Id="rId129" Type="http://schemas.openxmlformats.org/officeDocument/2006/relationships/hyperlink" Target="https://b2b.harting.com/files/download/PRD/PDF_TS/096700904X3_BL01_R31085_100078600DRW002A.pdf" TargetMode="External"/><Relationship Id="rId336" Type="http://schemas.openxmlformats.org/officeDocument/2006/relationships/hyperlink" Target="http://www.yageo.com/documents/recent/UPY-GP_NP0_16V-to-50V_16.pdf" TargetMode="External"/><Relationship Id="rId543" Type="http://schemas.openxmlformats.org/officeDocument/2006/relationships/hyperlink" Target="https://www.yageo.com/upload/media/product/productsearch/datasheet/mlcc/UPY-GP_NP0_16V-to-50V_18.pdf" TargetMode="External"/><Relationship Id="rId988" Type="http://schemas.openxmlformats.org/officeDocument/2006/relationships/hyperlink" Target="http://www.yageo.com/exep/pages/download/literatures/ProductSelectionGuide%202014_Final_2.pdf" TargetMode="External"/><Relationship Id="rId182" Type="http://schemas.openxmlformats.org/officeDocument/2006/relationships/hyperlink" Target="http://www.vishay.com/docs/20035/dcrcwe3.pdf" TargetMode="External"/><Relationship Id="rId403" Type="http://schemas.openxmlformats.org/officeDocument/2006/relationships/hyperlink" Target="https://www.nexperia.com/products/diodes/zener-diodes/BZV55-B2V4.html" TargetMode="External"/><Relationship Id="rId750" Type="http://schemas.openxmlformats.org/officeDocument/2006/relationships/hyperlink" Target="https://media.digikey.com/pdf/Data%20Sheets/Segger%20PDFs/8.06.04%20J-LINK%2010-PIN%20NEEDLE%20ADAPTER.pdf" TargetMode="External"/><Relationship Id="rId848" Type="http://schemas.openxmlformats.org/officeDocument/2006/relationships/hyperlink" Target="https://eu.mouser.com/datasheet/2/16/TestMeasurement46-1627954.pdf" TargetMode="External"/><Relationship Id="rId1033" Type="http://schemas.openxmlformats.org/officeDocument/2006/relationships/hyperlink" Target="https://www.amd.com/system/files/TechDocs/33234H_LX_databook.pdf" TargetMode="External"/><Relationship Id="rId487" Type="http://schemas.openxmlformats.org/officeDocument/2006/relationships/hyperlink" Target="https://www.yageo.com/upload/media/product/productsearch/datasheet/rchip/PYu-RT_1-to-0.01_RoHS_L_12.pdf" TargetMode="External"/><Relationship Id="rId610" Type="http://schemas.openxmlformats.org/officeDocument/2006/relationships/hyperlink" Target="https://cdn.harwin.com/pdfs/C005XX_M80_and_M83_Datamate_Series_Connectors.pdf" TargetMode="External"/><Relationship Id="rId694" Type="http://schemas.openxmlformats.org/officeDocument/2006/relationships/hyperlink" Target="http://www.yageo.com.tw/exep/pages/download/literatures/PYu-R_INT-thick_7.pdf" TargetMode="External"/><Relationship Id="rId708" Type="http://schemas.openxmlformats.org/officeDocument/2006/relationships/hyperlink" Target="https://www.yageo.com/upload/media/product/productsearch/datasheet/rchip/PYu-RT_1-to-0.01_RoHS_L_13.pdf" TargetMode="External"/><Relationship Id="rId915" Type="http://schemas.openxmlformats.org/officeDocument/2006/relationships/hyperlink" Target="https://www.te.com/usa-en/product-3-641215-2.datasheet.pdf" TargetMode="External"/><Relationship Id="rId347" Type="http://schemas.openxmlformats.org/officeDocument/2006/relationships/hyperlink" Target="http://datasheets.avx.com/TAJ.pdf" TargetMode="External"/><Relationship Id="rId999" Type="http://schemas.openxmlformats.org/officeDocument/2006/relationships/hyperlink" Target="https://www.amd.com/system/files/TechDocs/33234H_LX_databook.pdf" TargetMode="External"/><Relationship Id="rId44" Type="http://schemas.openxmlformats.org/officeDocument/2006/relationships/hyperlink" Target="http://assets.nexperia.com/documents/data-sheet/2N7002CK.pdf" TargetMode="External"/><Relationship Id="rId554" Type="http://schemas.openxmlformats.org/officeDocument/2006/relationships/hyperlink" Target="http://www.yageo.com/exep/pages/download/literatures/ProductSelectionGuide%202014_Final_2.pdf" TargetMode="External"/><Relationship Id="rId761" Type="http://schemas.openxmlformats.org/officeDocument/2006/relationships/hyperlink" Target="https://www.yageo.com/upload/media/product/productsearch/datasheet/rchip/PYu-RT_1-to-0.01_RoHS_L_13.pdf" TargetMode="External"/><Relationship Id="rId859" Type="http://schemas.openxmlformats.org/officeDocument/2006/relationships/hyperlink" Target="https://www.yageo.com/upload/media/product/productsearch/datasheet/rchip/PYu-RT_1-to-0.01_RoHS_L_12.pdf" TargetMode="External"/><Relationship Id="rId193" Type="http://schemas.openxmlformats.org/officeDocument/2006/relationships/hyperlink" Target="http://www.vishay.com/docs/20035/dcrcwe3.pdf" TargetMode="External"/><Relationship Id="rId207" Type="http://schemas.openxmlformats.org/officeDocument/2006/relationships/hyperlink" Target="http://www.yageo.com.tw/exep/pages/download/literatures/PYu-R_INT-thick_7.pdf" TargetMode="External"/><Relationship Id="rId414" Type="http://schemas.openxmlformats.org/officeDocument/2006/relationships/hyperlink" Target="https://integral.by/ru/products/in74hcxxxxan-ddw-series/in74hc374adw" TargetMode="External"/><Relationship Id="rId498" Type="http://schemas.openxmlformats.org/officeDocument/2006/relationships/hyperlink" Target="https://search.murata.co.jp/Ceramy/image/img/A01X/G101/ENG/GRM32DR72J333KW01-01.pdf" TargetMode="External"/><Relationship Id="rId621" Type="http://schemas.openxmlformats.org/officeDocument/2006/relationships/hyperlink" Target="https://eu.mouser.com/datasheet/2/212/1/KEM_T2005_T491-1093550.pdf" TargetMode="External"/><Relationship Id="rId1044" Type="http://schemas.openxmlformats.org/officeDocument/2006/relationships/hyperlink" Target="http://www.yageo.com/documents/recent/UPY-GPHC_X7R_6.3V-to-50V_18.pdf" TargetMode="External"/><Relationship Id="rId260" Type="http://schemas.openxmlformats.org/officeDocument/2006/relationships/hyperlink" Target="https://www.murata.com/~/media/webrenewal/support/library/catalog/products/capacitor/mlcc/c02e.ashx" TargetMode="External"/><Relationship Id="rId719" Type="http://schemas.openxmlformats.org/officeDocument/2006/relationships/hyperlink" Target="https://b2b.harting.com/files/download/PRD/PDF_TS/0956152X612_100510340DRW001B.pdf" TargetMode="External"/><Relationship Id="rId926" Type="http://schemas.openxmlformats.org/officeDocument/2006/relationships/hyperlink" Target="https://www.diodes.com/assets/Datasheets/PDS1040.pdf" TargetMode="External"/><Relationship Id="rId55" Type="http://schemas.openxmlformats.org/officeDocument/2006/relationships/hyperlink" Target="http://www.ti.com/lit/ds/symlink/tps3828.pdf" TargetMode="External"/><Relationship Id="rId120" Type="http://schemas.openxmlformats.org/officeDocument/2006/relationships/hyperlink" Target="http://www.vishay.com/docs/88485/smbz59xb.pdf" TargetMode="External"/><Relationship Id="rId358" Type="http://schemas.openxmlformats.org/officeDocument/2006/relationships/hyperlink" Target="http://www.yageo.com/NewPortal/yageodocoutput?fileName=/pdf/R-Chip/PYu-RC_Group_51_RoHS_L_0.pdf" TargetMode="External"/><Relationship Id="rId565" Type="http://schemas.openxmlformats.org/officeDocument/2006/relationships/hyperlink" Target="http://product.samsungsem.com/mlcc/CL21B106KOQNNN.do" TargetMode="External"/><Relationship Id="rId772" Type="http://schemas.openxmlformats.org/officeDocument/2006/relationships/hyperlink" Target="https://search.murata.co.jp/Ceramy/image/img/A01X/G101/ENG/GQM2195C2E3R9CB12-01.pdf" TargetMode="External"/><Relationship Id="rId218" Type="http://schemas.openxmlformats.org/officeDocument/2006/relationships/hyperlink" Target="http://www.vishay.com/docs/20035/dcrcwe3.pdf" TargetMode="External"/><Relationship Id="rId425" Type="http://schemas.openxmlformats.org/officeDocument/2006/relationships/hyperlink" Target="https://search.murata.co.jp/Ceramy/image/img/A01X/G101/ENG/LLL153C80G105ME21-01.pdf" TargetMode="External"/><Relationship Id="rId632" Type="http://schemas.openxmlformats.org/officeDocument/2006/relationships/hyperlink" Target="https://www.bourns.com/docs/Product-Datasheets/CDSOT23-T03LC_T36LC.pdf" TargetMode="External"/><Relationship Id="rId1055" Type="http://schemas.openxmlformats.org/officeDocument/2006/relationships/comments" Target="../comments1.xml"/><Relationship Id="rId271" Type="http://schemas.openxmlformats.org/officeDocument/2006/relationships/hyperlink" Target="http://datasheets.avx.com/TAJ.pdf" TargetMode="External"/><Relationship Id="rId937" Type="http://schemas.openxmlformats.org/officeDocument/2006/relationships/hyperlink" Target="https://www.amd.com/system/files/TechDocs/33234H_LX_databook.pdf" TargetMode="External"/><Relationship Id="rId66" Type="http://schemas.openxmlformats.org/officeDocument/2006/relationships/hyperlink" Target="https://support.epson.biz/td/api/doc_check.php?dl=brief_SG5032CAN_en.pdf" TargetMode="External"/><Relationship Id="rId131" Type="http://schemas.openxmlformats.org/officeDocument/2006/relationships/hyperlink" Target="https://api.e-components.ru/api/item/ds-1033-09-mwnsiss/doc/0" TargetMode="External"/><Relationship Id="rId369" Type="http://schemas.openxmlformats.org/officeDocument/2006/relationships/hyperlink" Target="http://www.vishay.com/docs/20035/dcrcwe3.pdf" TargetMode="External"/><Relationship Id="rId576" Type="http://schemas.openxmlformats.org/officeDocument/2006/relationships/hyperlink" Target="http://datasheets.avx.com/TAJ.pdf" TargetMode="External"/><Relationship Id="rId783" Type="http://schemas.openxmlformats.org/officeDocument/2006/relationships/hyperlink" Target="https://assets.nexperia.com/documents/data-sheet/BZV55_SER.pdf" TargetMode="External"/><Relationship Id="rId990" Type="http://schemas.openxmlformats.org/officeDocument/2006/relationships/hyperlink" Target="https://www.assmann-wsw.com/uploads/datasheets/ASS_8371_CO.pdf" TargetMode="External"/><Relationship Id="rId229" Type="http://schemas.openxmlformats.org/officeDocument/2006/relationships/hyperlink" Target="http://www.kemet.com/Lists/ProductCatalog/Attachments/46/KEM_C1003_C0G_SMD.pdf" TargetMode="External"/><Relationship Id="rId436" Type="http://schemas.openxmlformats.org/officeDocument/2006/relationships/hyperlink" Target="https://assets.maxlinear.com/web/documents/sipex/datasheets/spx1117.pdf" TargetMode="External"/><Relationship Id="rId643" Type="http://schemas.openxmlformats.org/officeDocument/2006/relationships/hyperlink" Target="https://s3-us-west-2.amazonaws.com/catsy.582/C901-144-8RFX.pdf" TargetMode="External"/><Relationship Id="rId850" Type="http://schemas.openxmlformats.org/officeDocument/2006/relationships/hyperlink" Target="https://www.yageo.com/upload/media/product/app/datasheet/rchip/pyu-pe_521_rohs_l.pdf" TargetMode="External"/><Relationship Id="rId948" Type="http://schemas.openxmlformats.org/officeDocument/2006/relationships/hyperlink" Target="https://www.farnell.com/datasheets/490737.pdf" TargetMode="External"/><Relationship Id="rId77" Type="http://schemas.openxmlformats.org/officeDocument/2006/relationships/hyperlink" Target="http://www.murata.com/~/media/webrenewal/support/library/catalog/products/capacitor/mlcc/c02e.ashx" TargetMode="External"/><Relationship Id="rId282" Type="http://schemas.openxmlformats.org/officeDocument/2006/relationships/hyperlink" Target="https://search.murata.co.jp/Ceramy/image/img/A01X/G101/ENG/GRM155R61C225KE11-01.pdf" TargetMode="External"/><Relationship Id="rId503" Type="http://schemas.openxmlformats.org/officeDocument/2006/relationships/hyperlink" Target="http://www.yageo.com/documents/recent/UPY-GP_NP0_16V-to-50V_16.pdf" TargetMode="External"/><Relationship Id="rId587" Type="http://schemas.openxmlformats.org/officeDocument/2006/relationships/hyperlink" Target="https://www.te.com/commerce/DocumentDelivery/DDEController?Action=srchrtrv&amp;DocNm=1773270&amp;DocType=DS&amp;DocLang=English" TargetMode="External"/><Relationship Id="rId710" Type="http://schemas.openxmlformats.org/officeDocument/2006/relationships/hyperlink" Target="https://www.analog.com/media/en/technical-documentation/data-sheets/max8510-max8512.pdf" TargetMode="External"/><Relationship Id="rId808" Type="http://schemas.openxmlformats.org/officeDocument/2006/relationships/hyperlink" Target="https://mm.digikey.com/Volume0/opasdata/d220001/medias/docus/649/Universe_IIDB_User_Manual.pdf" TargetMode="External"/><Relationship Id="rId8" Type="http://schemas.openxmlformats.org/officeDocument/2006/relationships/hyperlink" Target="http://www.vishay.com/docs/93585/kbpc1.pdf" TargetMode="External"/><Relationship Id="rId142" Type="http://schemas.openxmlformats.org/officeDocument/2006/relationships/hyperlink" Target="https://www.ti.com/general/docs/suppproductinfo.tsp?distId=10&amp;gotoUrl=http%3A%2F%2Fwww.ti.com%2Flit%2Fgpn%2Fcd74hc240" TargetMode="External"/><Relationship Id="rId447" Type="http://schemas.openxmlformats.org/officeDocument/2006/relationships/hyperlink" Target="https://www.vishay.com/docs/20052/crcw0201e3.pdf" TargetMode="External"/><Relationship Id="rId794" Type="http://schemas.openxmlformats.org/officeDocument/2006/relationships/hyperlink" Target="https://www.koaspeer.com/pdfs/RK73H.pdf" TargetMode="External"/><Relationship Id="rId654" Type="http://schemas.openxmlformats.org/officeDocument/2006/relationships/hyperlink" Target="https://www.hyperline.ru/catalog/komponenty-mednoy-sistemy/razemy/hyperline-plug-8p8c-u-c5-100-rj-45-8p8c-5e-50-50-100-/" TargetMode="External"/><Relationship Id="rId861" Type="http://schemas.openxmlformats.org/officeDocument/2006/relationships/hyperlink" Target="https://www.yageo.com/upload/media/product/app/datasheet/rchip/pyu-rt_1-to-0.01_rohs_l.pdf" TargetMode="External"/><Relationship Id="rId959" Type="http://schemas.openxmlformats.org/officeDocument/2006/relationships/hyperlink" Target="https://www.analog.com/media/en/technical-documentation/data-sheets/hmc374chips.pdf" TargetMode="External"/><Relationship Id="rId293" Type="http://schemas.openxmlformats.org/officeDocument/2006/relationships/hyperlink" Target="https://www.murata.com/~/media/webrenewal/support/library/catalog/products/capacitor/mlcc/c02e.ashx?la=en-us" TargetMode="External"/><Relationship Id="rId307" Type="http://schemas.openxmlformats.org/officeDocument/2006/relationships/hyperlink" Target="https://psearch.en.murata.com/capacitor/product/RDER73A222K2K1H03B.pdf" TargetMode="External"/><Relationship Id="rId514" Type="http://schemas.openxmlformats.org/officeDocument/2006/relationships/hyperlink" Target="https://www.yageo.com/upload/media/product/productsearch/datasheet/mlcc/UPY-GPHC_X7R_6.3V-to-50V_20.pdf" TargetMode="External"/><Relationship Id="rId721" Type="http://schemas.openxmlformats.org/officeDocument/2006/relationships/hyperlink" Target="https://www.yageo.com/upload/media/product/productsearch/datasheet/rchip/PYu-RT_1-to-0.01_RoHS_L_15.pdf" TargetMode="External"/><Relationship Id="rId88" Type="http://schemas.openxmlformats.org/officeDocument/2006/relationships/hyperlink" Target="https://www.cypress.com/file/39121/download" TargetMode="External"/><Relationship Id="rId153" Type="http://schemas.openxmlformats.org/officeDocument/2006/relationships/hyperlink" Target="https://eu.mouser.com/ProductDetail/HALO-Electronics/TG1G-E001NYRL?qs=%2Fha2pyFaduhk0QZZlQKYaJMv2MLI4e2TVGpAZ%2FZ5yqbwQPlAxsa2fQ%3D%3D" TargetMode="External"/><Relationship Id="rId360" Type="http://schemas.openxmlformats.org/officeDocument/2006/relationships/hyperlink" Target="https://www.te.com/commerce/DocumentDelivery/DDEController?Action=srchrtrv&amp;DocNm=1773270&amp;DocType=DS&amp;DocLang=English" TargetMode="External"/><Relationship Id="rId598" Type="http://schemas.openxmlformats.org/officeDocument/2006/relationships/hyperlink" Target="https://media.digikey.com/pdf/Data%20Sheets/Murata%20PDFs/PVZ3%20Trimpot.pdf" TargetMode="External"/><Relationship Id="rId819" Type="http://schemas.openxmlformats.org/officeDocument/2006/relationships/hyperlink" Target="https://search.murata.co.jp/Ceramy/image/img/P02/JELF243A-0100.pdf" TargetMode="External"/><Relationship Id="rId1004" Type="http://schemas.openxmlformats.org/officeDocument/2006/relationships/hyperlink" Target="https://www.amd.com/system/files/TechDocs/33234H_LX_databook.pdf" TargetMode="External"/><Relationship Id="rId220" Type="http://schemas.openxmlformats.org/officeDocument/2006/relationships/hyperlink" Target="http://www.yageo.com.tw/exep/pages/download/literatures/PYu-R_INT-thick_7.pdf" TargetMode="External"/><Relationship Id="rId458" Type="http://schemas.openxmlformats.org/officeDocument/2006/relationships/hyperlink" Target="https://www.marvell.com/content/dam/marvell/en/public-collateral/phys-transceivers/marvell-phys-transceivers-alaska-88e1111-technical-product-brief.pdf" TargetMode="External"/><Relationship Id="rId665" Type="http://schemas.openxmlformats.org/officeDocument/2006/relationships/hyperlink" Target="https://api.e-components.ru/api/item/ds-1031-06-2-3p-8-bv-41-3a/doc/0" TargetMode="External"/><Relationship Id="rId872" Type="http://schemas.openxmlformats.org/officeDocument/2006/relationships/hyperlink" Target="https://www.bourns.com/docs/product-datasheets/cr.pdf" TargetMode="External"/><Relationship Id="rId15" Type="http://schemas.openxmlformats.org/officeDocument/2006/relationships/hyperlink" Target="http://www.te.com/catalog/pn/en/RF1348-000" TargetMode="External"/><Relationship Id="rId318" Type="http://schemas.openxmlformats.org/officeDocument/2006/relationships/hyperlink" Target="http://www.yageo.com/NewPortal/yageodocoutput?fileName=/pdf/R-Chip/PYu-RC_Group_51_RoHS_L_0.pdf" TargetMode="External"/><Relationship Id="rId525" Type="http://schemas.openxmlformats.org/officeDocument/2006/relationships/hyperlink" Target="http://www.yageo.com/exep/pages/download/literatures/ProductSelectionGuide%202014_Final_2.pdf" TargetMode="External"/><Relationship Id="rId732" Type="http://schemas.openxmlformats.org/officeDocument/2006/relationships/hyperlink" Target="https://www.ledil.com/data/prod/Strada/10818/10818-ds.pdf" TargetMode="External"/><Relationship Id="rId99" Type="http://schemas.openxmlformats.org/officeDocument/2006/relationships/hyperlink" Target="http://cdn.taoglas.com/datasheets/DSGP.1575.25.4.A.02.pdf" TargetMode="External"/><Relationship Id="rId164" Type="http://schemas.openxmlformats.org/officeDocument/2006/relationships/hyperlink" Target="https://www.coilcraft.com/en-us/products/transformers/wideband-rf-transformers/smt/wbc/wbc16-1tl/" TargetMode="External"/><Relationship Id="rId371" Type="http://schemas.openxmlformats.org/officeDocument/2006/relationships/hyperlink" Target="http://www.vishay.com/docs/88885/ssc53l.pdf" TargetMode="External"/><Relationship Id="rId1015" Type="http://schemas.openxmlformats.org/officeDocument/2006/relationships/hyperlink" Target="https://mm.digikey.com/Volume0/opasdata/d220001/medias/docus/2459/EMI%20Ferrite%20Chip%20Beads.pdf" TargetMode="External"/><Relationship Id="rId469" Type="http://schemas.openxmlformats.org/officeDocument/2006/relationships/hyperlink" Target="https://datasheets.maximintegrated.com/en/ds/MAX1623.pdf" TargetMode="External"/><Relationship Id="rId676" Type="http://schemas.openxmlformats.org/officeDocument/2006/relationships/hyperlink" Target="http://www.yageo.com/documents/recent/UPY-GPHC_X7R_6.3V-to-50V_18.pdf" TargetMode="External"/><Relationship Id="rId883" Type="http://schemas.openxmlformats.org/officeDocument/2006/relationships/hyperlink" Target="https://www.yageo.com/upload/media/product/productsearch/datasheet/rchip/PYu-RT_1-to-0.01_RoHS_L_12.pdf" TargetMode="External"/><Relationship Id="rId26" Type="http://schemas.openxmlformats.org/officeDocument/2006/relationships/hyperlink" Target="http://www.fairchildsemi.com/ds/FD/FDC6305N.pdf" TargetMode="External"/><Relationship Id="rId231" Type="http://schemas.openxmlformats.org/officeDocument/2006/relationships/hyperlink" Target="http://www.yageo.com.tw/exep/pages/download/literatures/PYu-R_INT-thick_7.pdf" TargetMode="External"/><Relationship Id="rId329" Type="http://schemas.openxmlformats.org/officeDocument/2006/relationships/hyperlink" Target="http://datasheets.avx.com/TAJ.pdf" TargetMode="External"/><Relationship Id="rId536" Type="http://schemas.openxmlformats.org/officeDocument/2006/relationships/hyperlink" Target="https://www.onsemi.com/pdf/datasheet/1sma5913bt3-d.pdf" TargetMode="External"/><Relationship Id="rId175" Type="http://schemas.openxmlformats.org/officeDocument/2006/relationships/hyperlink" Target="http://www.yageo.com/NewPortal/yageodocoutput?fileName=/pdf/R-Chip/PYu-RC_Group_51_RoHS_L_0.pdf" TargetMode="External"/><Relationship Id="rId743" Type="http://schemas.openxmlformats.org/officeDocument/2006/relationships/hyperlink" Target="https://www.chemi-con.co.jp/products/relatedfiles/capacitor/catalog/SMQN-e.PDF" TargetMode="External"/><Relationship Id="rId950" Type="http://schemas.openxmlformats.org/officeDocument/2006/relationships/hyperlink" Target="https://search.murata.co.jp/Ceramy/image/img/A01X/G101/ENG/GRM1885C2E120FW07-00B.pdf" TargetMode="External"/><Relationship Id="rId1026" Type="http://schemas.openxmlformats.org/officeDocument/2006/relationships/hyperlink" Target="https://www.yageo.com/upload/media/product/productsearch/datasheet/rchip/PYu-RT_1-to-0.01_RoHS_L_12.pdf" TargetMode="External"/><Relationship Id="rId382" Type="http://schemas.openxmlformats.org/officeDocument/2006/relationships/hyperlink" Target="https://www.bourns.com/docs/Product-Datasheets/SDR1307.pdf" TargetMode="External"/><Relationship Id="rId603" Type="http://schemas.openxmlformats.org/officeDocument/2006/relationships/hyperlink" Target="https://www.bourns.com/docs/product-datasheets/cr.pdf?sfvrsn=574d41f6_14" TargetMode="External"/><Relationship Id="rId687" Type="http://schemas.openxmlformats.org/officeDocument/2006/relationships/hyperlink" Target="https://www.electronshik.ru/pdf/k/KLS1_3_96.pdf" TargetMode="External"/><Relationship Id="rId810" Type="http://schemas.openxmlformats.org/officeDocument/2006/relationships/hyperlink" Target="https://www.intel.com/content/dam/www/programmable/us/en/pdfs/literature/ds/archives/dsf10ke.pdf" TargetMode="External"/><Relationship Id="rId908" Type="http://schemas.openxmlformats.org/officeDocument/2006/relationships/hyperlink" Target="https://datasheets.kyocera-avx.com/600F.pdf" TargetMode="External"/><Relationship Id="rId242" Type="http://schemas.openxmlformats.org/officeDocument/2006/relationships/hyperlink" Target="http://www.yageo.com.tw/exep/pages/download/literatures/PYu-R_INT-thick_7.pdf" TargetMode="External"/><Relationship Id="rId894" Type="http://schemas.openxmlformats.org/officeDocument/2006/relationships/hyperlink" Target="http://www.yageo.com.tw/exep/pages/download/literatures/PYu-R_INT-thick_7.pdf" TargetMode="External"/><Relationship Id="rId37" Type="http://schemas.openxmlformats.org/officeDocument/2006/relationships/hyperlink" Target="http://www.molex.com/pdm_docs/sd/901420026_sd.pdf" TargetMode="External"/><Relationship Id="rId102" Type="http://schemas.openxmlformats.org/officeDocument/2006/relationships/hyperlink" Target="https://www.onsemi.com/pub/Collateral/MC7800-D.PDF" TargetMode="External"/><Relationship Id="rId547" Type="http://schemas.openxmlformats.org/officeDocument/2006/relationships/hyperlink" Target="http://www.yageo.com/documents/recent/UPY-GP_NP0_16V-to-50V_16.pdf" TargetMode="External"/><Relationship Id="rId754" Type="http://schemas.openxmlformats.org/officeDocument/2006/relationships/hyperlink" Target="https://285624.selcdn.ru/syms1/iblock/0e8/0e8f10ef7e1ea578ca8a31057c04fb76/9cddc5f08a0492077878d49af311824d.pdf" TargetMode="External"/><Relationship Id="rId961" Type="http://schemas.openxmlformats.org/officeDocument/2006/relationships/hyperlink" Target="https://mm.digikey.com/Volume0/opasdata/d220001/medias/docus/887/MT47H512M4_256M8_128M16_RevJ_2018.pdf" TargetMode="External"/><Relationship Id="rId90" Type="http://schemas.openxmlformats.org/officeDocument/2006/relationships/hyperlink" Target="https://www.molex.com/pdm_docs/sd/430300001_sd.pdf" TargetMode="External"/><Relationship Id="rId186" Type="http://schemas.openxmlformats.org/officeDocument/2006/relationships/hyperlink" Target="http://www.vishay.com/docs/20035/dcrcwe3.pdf" TargetMode="External"/><Relationship Id="rId393" Type="http://schemas.openxmlformats.org/officeDocument/2006/relationships/hyperlink" Target="http://www.yageo.com/NewPortal/yageodocoutput?fileName=/pdf/R-Chip/PYu-RC_Group_51_RoHS_L_0.pdf" TargetMode="External"/><Relationship Id="rId407" Type="http://schemas.openxmlformats.org/officeDocument/2006/relationships/hyperlink" Target="https://connect.kemet.com:7667/gateway/IntelliData-ComponentDocumentation/1.0/download/datasheet/C1210X103J5GAC7800" TargetMode="External"/><Relationship Id="rId614" Type="http://schemas.openxmlformats.org/officeDocument/2006/relationships/hyperlink" Target="http://www.yageo.com/documents/recent/UPY-GP_NP0_16V-to-50V_16.pdf" TargetMode="External"/><Relationship Id="rId821" Type="http://schemas.openxmlformats.org/officeDocument/2006/relationships/hyperlink" Target="https://datasheets.kyocera-avx.com/800B.pdf" TargetMode="External"/><Relationship Id="rId1037" Type="http://schemas.openxmlformats.org/officeDocument/2006/relationships/hyperlink" Target="https://www.yageo.com/upload/media/product/productsearch/datasheet/rchip/PYu-RT_1-to-0.01_RoHS_L_12.pdf" TargetMode="External"/><Relationship Id="rId253" Type="http://schemas.openxmlformats.org/officeDocument/2006/relationships/hyperlink" Target="http://www.vishay.com/docs/40002/293d.pdf" TargetMode="External"/><Relationship Id="rId460" Type="http://schemas.openxmlformats.org/officeDocument/2006/relationships/hyperlink" Target="https://www.phoenixcontact.com/ru-kz/produkty/razyemy-dlya-pechatnoy-platy-mcvr-15-4-stf-35-1863327" TargetMode="External"/><Relationship Id="rId698" Type="http://schemas.openxmlformats.org/officeDocument/2006/relationships/hyperlink" Target="https://docs.broadcom.com/doc/HCMS-29xx-Series-High-Performance-CMOS-5-x-7-Alphanumeric-Displays" TargetMode="External"/><Relationship Id="rId919" Type="http://schemas.openxmlformats.org/officeDocument/2006/relationships/hyperlink" Target="https://datasheets.kyocera-avx.com/Accu-P.pdf" TargetMode="External"/><Relationship Id="rId48" Type="http://schemas.openxmlformats.org/officeDocument/2006/relationships/hyperlink" Target="http://www.farnell.com/datasheets/490902.pdf?_ga=2.10585972.1709382607.1496845357-1456365254.1486477938" TargetMode="External"/><Relationship Id="rId113" Type="http://schemas.openxmlformats.org/officeDocument/2006/relationships/hyperlink" Target="http://www.murata.com/~/media/webrenewal/support/library/catalog/products/capacitor/mlcc/c02e.ashx" TargetMode="External"/><Relationship Id="rId320" Type="http://schemas.openxmlformats.org/officeDocument/2006/relationships/hyperlink" Target="http://datasheets.avx.com/TPS.pdf" TargetMode="External"/><Relationship Id="rId558" Type="http://schemas.openxmlformats.org/officeDocument/2006/relationships/hyperlink" Target="http://www.yageo.com/documents/recent/UPY-GP_NP0_16V-to-50V_16.pdf" TargetMode="External"/><Relationship Id="rId765" Type="http://schemas.openxmlformats.org/officeDocument/2006/relationships/hyperlink" Target="https://www.onsemi.com/pdf/datasheet/nud4700-d.pdf" TargetMode="External"/><Relationship Id="rId972" Type="http://schemas.openxmlformats.org/officeDocument/2006/relationships/hyperlink" Target="http://datasheets.avx.com/TAJ.pdf" TargetMode="External"/><Relationship Id="rId197" Type="http://schemas.openxmlformats.org/officeDocument/2006/relationships/hyperlink" Target="http://www.vishay.com/docs/20035/dcrcwe3.pdf" TargetMode="External"/><Relationship Id="rId418" Type="http://schemas.openxmlformats.org/officeDocument/2006/relationships/hyperlink" Target="https://connect.kemet.com:7667/gateway/IntelliData-ComponentDocumentation/1.0/download/datasheet/C0603C220K5GACTU" TargetMode="External"/><Relationship Id="rId625" Type="http://schemas.openxmlformats.org/officeDocument/2006/relationships/hyperlink" Target="http://files.rfdesign.com.au/Files/documents/RFD900x%20DataSheet.pdf" TargetMode="External"/><Relationship Id="rId832" Type="http://schemas.openxmlformats.org/officeDocument/2006/relationships/hyperlink" Target="https://eu.mouser.com/datasheet/2/597/0603cs-270694.pdf" TargetMode="External"/><Relationship Id="rId1048" Type="http://schemas.openxmlformats.org/officeDocument/2006/relationships/hyperlink" Target="https://www.tme.eu/Document/296888ded435aee1b8aec20e35a919b8/1691b.pdf" TargetMode="External"/><Relationship Id="rId264" Type="http://schemas.openxmlformats.org/officeDocument/2006/relationships/hyperlink" Target="http://www.yageo.com/documents/recent/UPY-GPHC_X7R_6.3V-to-50V_18.pdf" TargetMode="External"/><Relationship Id="rId471" Type="http://schemas.openxmlformats.org/officeDocument/2006/relationships/hyperlink" Target="https://www.analog.com/media/en/technical-documentation/data-sheets/AD8519_8529.pdf" TargetMode="External"/><Relationship Id="rId59" Type="http://schemas.openxmlformats.org/officeDocument/2006/relationships/hyperlink" Target="http://www.vishay.com/docs/34391/ihhp-1008ab-01.pdf" TargetMode="External"/><Relationship Id="rId124" Type="http://schemas.openxmlformats.org/officeDocument/2006/relationships/hyperlink" Target="https://www.molex.com/pdm_docs/sd/513870578_sd.pdf" TargetMode="External"/><Relationship Id="rId569" Type="http://schemas.openxmlformats.org/officeDocument/2006/relationships/hyperlink" Target="https://www.te.com/commerce/DocumentDelivery/DDEController?Action=srchrtrv&amp;DocNm=84533&amp;DocType=Customer+Drawing&amp;DocLang=English" TargetMode="External"/><Relationship Id="rId776" Type="http://schemas.openxmlformats.org/officeDocument/2006/relationships/hyperlink" Target="https://assets.nexperia.com/documents/data-sheet/PESD5V0L1UB.pdf" TargetMode="External"/><Relationship Id="rId983" Type="http://schemas.openxmlformats.org/officeDocument/2006/relationships/hyperlink" Target="https://www.tdk-electronics.tdk.com/inf/30/db/ind_2008/b82442t.pdf?ref_disty=digikey" TargetMode="External"/><Relationship Id="rId331" Type="http://schemas.openxmlformats.org/officeDocument/2006/relationships/hyperlink" Target="http://www.yageo.com.tw/exep/pages/download/literatures/PYu-R_INT-thick_7.pdf" TargetMode="External"/><Relationship Id="rId429" Type="http://schemas.openxmlformats.org/officeDocument/2006/relationships/hyperlink" Target="https://www.ti.com/lit/ds/symlink/tps74201.pdf?HQS=dis-dk-null-digikeymode-dsf-pf-null-wwe&amp;ts=1656915864674" TargetMode="External"/><Relationship Id="rId636" Type="http://schemas.openxmlformats.org/officeDocument/2006/relationships/hyperlink" Target="https://www.onsemi.com/pdf/datasheet/mbrs130lt3-d.pdf" TargetMode="External"/><Relationship Id="rId843" Type="http://schemas.openxmlformats.org/officeDocument/2006/relationships/hyperlink" Target="https://eu.mouser.com/datasheet/2/597/mini-270627.pdf" TargetMode="External"/><Relationship Id="rId275" Type="http://schemas.openxmlformats.org/officeDocument/2006/relationships/hyperlink" Target="http://www.yageo.com/documents/recent/UPY-GP_NP0_16V-to-50V_16.pdf" TargetMode="External"/><Relationship Id="rId482" Type="http://schemas.openxmlformats.org/officeDocument/2006/relationships/hyperlink" Target="https://media.digikey.com/pdf/Data%20Sheets/United%20Chemi-Con%20PDFs/NTS_NTF_Series_E1002W.pdf" TargetMode="External"/><Relationship Id="rId703" Type="http://schemas.openxmlformats.org/officeDocument/2006/relationships/hyperlink" Target="https://search.murata.co.jp/Ceramy/image/img/A01X/G101/ENG/GRM43DR73A473KW01-01.pdf" TargetMode="External"/><Relationship Id="rId910" Type="http://schemas.openxmlformats.org/officeDocument/2006/relationships/hyperlink" Target="https://b2b.harting.com/files/download/PRD/PDF_DS/PDF_DS_09041000201.pdf" TargetMode="External"/><Relationship Id="rId135" Type="http://schemas.openxmlformats.org/officeDocument/2006/relationships/hyperlink" Target="http://4spi.com/uploads/3/4/1/5/34154692/qn-b320.pdf" TargetMode="External"/><Relationship Id="rId342" Type="http://schemas.openxmlformats.org/officeDocument/2006/relationships/hyperlink" Target="http://www.murata.com/~/media/webrenewal/support/library/catalog/products/capacitor/mlcc/c02e.ashx" TargetMode="External"/><Relationship Id="rId787" Type="http://schemas.openxmlformats.org/officeDocument/2006/relationships/hyperlink" Target="http://www.yageo.com/documents/recent/UPY-GPHC_X7R_6.3V-to-50V_18.pdf" TargetMode="External"/><Relationship Id="rId994" Type="http://schemas.openxmlformats.org/officeDocument/2006/relationships/hyperlink" Target="https://www.bourns.com/docs/Product-Datasheets/CW201212.pdf" TargetMode="External"/><Relationship Id="rId202" Type="http://schemas.openxmlformats.org/officeDocument/2006/relationships/hyperlink" Target="http://www.vishay.com/docs/20035/dcrcwe3.pdf" TargetMode="External"/><Relationship Id="rId647" Type="http://schemas.openxmlformats.org/officeDocument/2006/relationships/hyperlink" Target="https://media.digikey.com/pdf/Data%20Sheets/United%20Chemi-Con%20PDFs/NTS_NTF_Series_E1002W.pdf" TargetMode="External"/><Relationship Id="rId854" Type="http://schemas.openxmlformats.org/officeDocument/2006/relationships/hyperlink" Target="https://www.murata.com/~/media/webrenewal/support/library/catalog/products/capacitor/mlcc/c02e.ashx" TargetMode="External"/><Relationship Id="rId286" Type="http://schemas.openxmlformats.org/officeDocument/2006/relationships/hyperlink" Target="https://www.seielect.com/catalog/sei-rmcf_rmcp.pdf" TargetMode="External"/><Relationship Id="rId493" Type="http://schemas.openxmlformats.org/officeDocument/2006/relationships/hyperlink" Target="https://ecsxtal.com/store/pdf/ECS-1612MV.pdf" TargetMode="External"/><Relationship Id="rId507" Type="http://schemas.openxmlformats.org/officeDocument/2006/relationships/hyperlink" Target="https://www.yageo.com/upload/media/product/productsearch/datasheet/mlcc/UPY-GPHC_X7R_6.3V-to-50V_20.pdf" TargetMode="External"/><Relationship Id="rId714" Type="http://schemas.openxmlformats.org/officeDocument/2006/relationships/hyperlink" Target="https://www.se.com/ww/en/product/XB4BW35B5/illuminated-push-button-harmony-xb4-metal-orange-flush-22mm-universal-led-plain-lens-1no-+-1nc-24v-ac-dc/" TargetMode="External"/><Relationship Id="rId921" Type="http://schemas.openxmlformats.org/officeDocument/2006/relationships/hyperlink" Target="https://mm.digikey.com/Volume0/opasdata/d220001/medias/docus/384/SPM0408LE5H-TB.pdf" TargetMode="External"/><Relationship Id="rId50" Type="http://schemas.openxmlformats.org/officeDocument/2006/relationships/hyperlink" Target="http://www.onsemi.ru.com/PowerSolutions/document/MMSZ5221BT1-D.PDF" TargetMode="External"/><Relationship Id="rId146" Type="http://schemas.openxmlformats.org/officeDocument/2006/relationships/hyperlink" Target="https://www.intel.com/content/dam/www/programmable/us/en/pdfs/literature/ds/archives/dsf10ke.pdf" TargetMode="External"/><Relationship Id="rId353" Type="http://schemas.openxmlformats.org/officeDocument/2006/relationships/hyperlink" Target="http://www.yageo.com/exep/pages/download/literatures/ProductSelectionGuide%202014_Final_2.pdf" TargetMode="External"/><Relationship Id="rId560" Type="http://schemas.openxmlformats.org/officeDocument/2006/relationships/hyperlink" Target="http://www.yageo.com/documents/recent/UPY-GP_NP0_16V-to-50V_16.pdf" TargetMode="External"/><Relationship Id="rId798" Type="http://schemas.openxmlformats.org/officeDocument/2006/relationships/hyperlink" Target="https://www.yageo.com/upload/media/product/productsearch/datasheet/lr/YAGEO%20SQP_NSP_datasheet_2023v2.pdf" TargetMode="External"/><Relationship Id="rId213" Type="http://schemas.openxmlformats.org/officeDocument/2006/relationships/hyperlink" Target="http://www.yageo.com.tw/exep/pages/download/literatures/PYu-R_INT-thick_7.pdf" TargetMode="External"/><Relationship Id="rId420" Type="http://schemas.openxmlformats.org/officeDocument/2006/relationships/hyperlink" Target="https://www.ti.com/lit/ds/symlink/sn74lvc1g32.pdf?HQS=dis-mous-null-mousermode-dsf-pf-null-wwe&amp;ts=1655453589096&amp;ref_url=https%253A%252F%252Fwww.mouser.it%252F" TargetMode="External"/><Relationship Id="rId658" Type="http://schemas.openxmlformats.org/officeDocument/2006/relationships/hyperlink" Target="https://www.yageo.com/upload/media/product/productsearch/datasheet/mlcc/UPY-GPHC_X7R_6.3V-to-50V_20.pdf" TargetMode="External"/><Relationship Id="rId865" Type="http://schemas.openxmlformats.org/officeDocument/2006/relationships/hyperlink" Target="https://www.samsungsem.com/resources/file/global/support/product_catalog/MLCC.pdf" TargetMode="External"/><Relationship Id="rId1050" Type="http://schemas.openxmlformats.org/officeDocument/2006/relationships/hyperlink" Target="https://mm.digikey.com/Volume0/opasdata/d220001/medias/docus/530/X7R_Dielectric_10-200V_Rev_Nov2013.pdf" TargetMode="External"/><Relationship Id="rId297" Type="http://schemas.openxmlformats.org/officeDocument/2006/relationships/hyperlink" Target="https://media.digikey.com/pdf/Data%20Sheets/Yageo%20PDFs/CCseries_mlcc_2002.pdf" TargetMode="External"/><Relationship Id="rId518" Type="http://schemas.openxmlformats.org/officeDocument/2006/relationships/hyperlink" Target="https://search.murata.co.jp/Ceramy/image/img/A01X/G101/ENG/LLL153C80G105ME21-01.pdf" TargetMode="External"/><Relationship Id="rId725" Type="http://schemas.openxmlformats.org/officeDocument/2006/relationships/hyperlink" Target="https://www.yageo.com/upload/media/product/productsearch/datasheet/rchip/PYu-RT_1-to-0.01_RoHS_L_13.pdf" TargetMode="External"/><Relationship Id="rId932" Type="http://schemas.openxmlformats.org/officeDocument/2006/relationships/hyperlink" Target="http://www.murata.com/~/media/webrenewal/support/library/catalog/products/capacitor/mlcc/c02e.ashx" TargetMode="External"/><Relationship Id="rId157" Type="http://schemas.openxmlformats.org/officeDocument/2006/relationships/hyperlink" Target="https://www.vishay.com/product?docid=93366" TargetMode="External"/><Relationship Id="rId364" Type="http://schemas.openxmlformats.org/officeDocument/2006/relationships/hyperlink" Target="https://www.hirose.com/en/product/p/CL0684-4006-1-51" TargetMode="External"/><Relationship Id="rId1008" Type="http://schemas.openxmlformats.org/officeDocument/2006/relationships/hyperlink" Target="https://www.molex.com/en-us/products/part-detail/39014060?display=pdf" TargetMode="External"/><Relationship Id="rId61" Type="http://schemas.openxmlformats.org/officeDocument/2006/relationships/hyperlink" Target="http://www.ti.com/lit/ds/symlink/sn74lvc86a.pdf" TargetMode="External"/><Relationship Id="rId571" Type="http://schemas.openxmlformats.org/officeDocument/2006/relationships/hyperlink" Target="https://www.nidec-copal-electronics.com/e/catalog/trimmer/st-4.pdf" TargetMode="External"/><Relationship Id="rId669" Type="http://schemas.openxmlformats.org/officeDocument/2006/relationships/hyperlink" Target="https://eu.mouser.com/datasheet/2/212/1/KEM_T2005_T491-1093550.pdf" TargetMode="External"/><Relationship Id="rId876" Type="http://schemas.openxmlformats.org/officeDocument/2006/relationships/hyperlink" Target="https://www.compel.ru/item-pdf/2c42746dc3c2feb213b4bfd6106b9769/pn/kls~kls1-207-1-02-s.pdf" TargetMode="External"/><Relationship Id="rId19" Type="http://schemas.openxmlformats.org/officeDocument/2006/relationships/hyperlink" Target="http://download.siliconexpert.com/pdfs/2010/4/19/0/36/25/375/avago_/manual/av02-0533en.pdf" TargetMode="External"/><Relationship Id="rId224" Type="http://schemas.openxmlformats.org/officeDocument/2006/relationships/hyperlink" Target="http://www.yageo.com.tw/exep/pages/download/literatures/PYu-R_INT-thick_7.pdf" TargetMode="External"/><Relationship Id="rId431" Type="http://schemas.openxmlformats.org/officeDocument/2006/relationships/hyperlink" Target="https://www.keyelco.com/userAssets/file/M65p56.pdf" TargetMode="External"/><Relationship Id="rId529" Type="http://schemas.openxmlformats.org/officeDocument/2006/relationships/hyperlink" Target="https://www.bourns.com/docs/Product-Datasheets/CATCAY.pdf" TargetMode="External"/><Relationship Id="rId736" Type="http://schemas.openxmlformats.org/officeDocument/2006/relationships/hyperlink" Target="https://api.e-components.ru/api/item/ds-1069-terminal/doc/0" TargetMode="External"/><Relationship Id="rId168" Type="http://schemas.openxmlformats.org/officeDocument/2006/relationships/hyperlink" Target="https://e-components.ru/item/ds-1066-terminal" TargetMode="External"/><Relationship Id="rId943" Type="http://schemas.openxmlformats.org/officeDocument/2006/relationships/hyperlink" Target="https://assets.nexperia.com/documents/data-sheet/BC846BMB.pdf" TargetMode="External"/><Relationship Id="rId1019" Type="http://schemas.openxmlformats.org/officeDocument/2006/relationships/hyperlink" Target="https://eu.mouser.com/datasheet/2/54/mfusmf-777646.pdf" TargetMode="External"/><Relationship Id="rId72" Type="http://schemas.openxmlformats.org/officeDocument/2006/relationships/hyperlink" Target="https://www.digikey.com/product-detail/en/osram-opto-semiconductors-inc/SFH-4650-Z/475-2569-1-ND/1228114" TargetMode="External"/><Relationship Id="rId375" Type="http://schemas.openxmlformats.org/officeDocument/2006/relationships/hyperlink" Target="http://weblib.samsungsem.com/mlcc/mlcc-ec-data-sheet.do?partNumber=CL32A107MQVNNN" TargetMode="External"/><Relationship Id="rId582" Type="http://schemas.openxmlformats.org/officeDocument/2006/relationships/hyperlink" Target="https://www.yageo.com/upload/media/product/productsearch/datasheet/rchip/PYu-RT_1-to-0.01_RoHS_L_12.pdf" TargetMode="External"/><Relationship Id="rId803" Type="http://schemas.openxmlformats.org/officeDocument/2006/relationships/hyperlink" Target="https://mm.digikey.com/Volume0/opasdata/d220001/medias/docus/2515/MT49H16M36_32M18_64M9_RevM_Sep2015.pdf" TargetMode="External"/><Relationship Id="rId3" Type="http://schemas.openxmlformats.org/officeDocument/2006/relationships/hyperlink" Target="http://www.nxp.com/documents/data_sheet/74HC_HCT123.pdf?ecmp=mouser" TargetMode="External"/><Relationship Id="rId235" Type="http://schemas.openxmlformats.org/officeDocument/2006/relationships/hyperlink" Target="https://industrial.panasonic.com/cdbs/www-data/pdf/RDM0000/AOA0000C237.pdf" TargetMode="External"/><Relationship Id="rId442" Type="http://schemas.openxmlformats.org/officeDocument/2006/relationships/hyperlink" Target="https://b2b.harting.com/files/download/PRD/PDF_DS/PDF_DS_09670094715_EN.pdf" TargetMode="External"/><Relationship Id="rId887" Type="http://schemas.openxmlformats.org/officeDocument/2006/relationships/hyperlink" Target="https://www.yageo.com/upload/media/product/productsearch/datasheet/rchip/PYu-RT_1-to-0.01_RoHS_L_12.pdf" TargetMode="External"/><Relationship Id="rId302" Type="http://schemas.openxmlformats.org/officeDocument/2006/relationships/hyperlink" Target="https://www.murata.com/~/media/webrenewal/support/library/catalog/products/capacitor/mlcc/c02e.ashx?la=en-us" TargetMode="External"/><Relationship Id="rId747" Type="http://schemas.openxmlformats.org/officeDocument/2006/relationships/hyperlink" Target="https://www.yageo.com/upload/media/product/productsearch/datasheet/rchip/PYu-RT_1-to-0.01_RoHS_L_15.pdf" TargetMode="External"/><Relationship Id="rId954" Type="http://schemas.openxmlformats.org/officeDocument/2006/relationships/hyperlink" Target="https://content.kemet.com/datasheets/KEM_C1006_X5R_SMD.pdf" TargetMode="External"/><Relationship Id="rId83" Type="http://schemas.openxmlformats.org/officeDocument/2006/relationships/hyperlink" Target="https://api.e-components.ru/api/item/ds-1033-25-mbnsiss/doc/0" TargetMode="External"/><Relationship Id="rId179" Type="http://schemas.openxmlformats.org/officeDocument/2006/relationships/hyperlink" Target="http://www.murata.com/~/media/webrenewal/support/library/catalog/products/capacitor/mlcc/c02e.ashx" TargetMode="External"/><Relationship Id="rId386" Type="http://schemas.openxmlformats.org/officeDocument/2006/relationships/hyperlink" Target="https://media.digikey.com/pdf/Data%20Sheets/AVX%20PDFs/SQCA_SQCB_Ultra_Low_DS.pdf" TargetMode="External"/><Relationship Id="rId593" Type="http://schemas.openxmlformats.org/officeDocument/2006/relationships/hyperlink" Target="https://www.analog.com/media/en/technical-documentation/data-sheets/AD8016.pdf" TargetMode="External"/><Relationship Id="rId607" Type="http://schemas.openxmlformats.org/officeDocument/2006/relationships/hyperlink" Target="http://datasheets.avx.com/TAJ.pdf" TargetMode="External"/><Relationship Id="rId814" Type="http://schemas.openxmlformats.org/officeDocument/2006/relationships/hyperlink" Target="https://www.vishay.com/docs/34104/ihlp-2525cz-01.pdf" TargetMode="External"/><Relationship Id="rId246" Type="http://schemas.openxmlformats.org/officeDocument/2006/relationships/hyperlink" Target="http://www.yageo.com/documents/recent/PYu-RC_Group_51_RoHS_L_6.pdf" TargetMode="External"/><Relationship Id="rId453" Type="http://schemas.openxmlformats.org/officeDocument/2006/relationships/hyperlink" Target="https://www.yageo.com/upload/media/product/productsearch/datasheet/rchip/PYu-RC_Group_51_RoHS_L_11.pdf" TargetMode="External"/><Relationship Id="rId660" Type="http://schemas.openxmlformats.org/officeDocument/2006/relationships/hyperlink" Target="https://eu.mouser.com/datasheet/2/16/TestMeasurement46-1627954.pdf" TargetMode="External"/><Relationship Id="rId898" Type="http://schemas.openxmlformats.org/officeDocument/2006/relationships/hyperlink" Target="https://www.vishay.com/docs/34104/ihlp-2525cz-01.pdf" TargetMode="External"/><Relationship Id="rId106" Type="http://schemas.openxmlformats.org/officeDocument/2006/relationships/hyperlink" Target="https://media.digikey.com/pdf/Data%20Sheets/Phoenix%20Contact%20PDFs/1759088.pdf" TargetMode="External"/><Relationship Id="rId313" Type="http://schemas.openxmlformats.org/officeDocument/2006/relationships/hyperlink" Target="http://datasheets.avx.com/X7RDielectric.pdf" TargetMode="External"/><Relationship Id="rId758" Type="http://schemas.openxmlformats.org/officeDocument/2006/relationships/hyperlink" Target="https://www.micros.com.pl/mediaserver/Z_SH8.0-M-B_AMASS_0001.pdf" TargetMode="External"/><Relationship Id="rId965" Type="http://schemas.openxmlformats.org/officeDocument/2006/relationships/hyperlink" Target="https://www.ti.com/general/docs/suppproductinfo.tsp?distId=10&amp;gotoUrl=https%3A%2F%2Fwww.ti.com%2Flit%2Fgpn%2Fpcf8575" TargetMode="External"/><Relationship Id="rId10" Type="http://schemas.openxmlformats.org/officeDocument/2006/relationships/hyperlink" Target="https://components.omron.com/components/web/PDFLIB.nsf/0/0EBF7B9FF347100085257201007DD582/$file/LY_0911.pdf" TargetMode="External"/><Relationship Id="rId94" Type="http://schemas.openxmlformats.org/officeDocument/2006/relationships/hyperlink" Target="http://www.platan.ru/pdf/datasheets/kls/KLS1-SMA005.pdf" TargetMode="External"/><Relationship Id="rId397" Type="http://schemas.openxmlformats.org/officeDocument/2006/relationships/hyperlink" Target="https://www.yageo.com/upload/media/product/productsearch/datasheet/mlcc/UPY-GPHC_X7R_6.3V-to-50V_20.pdf" TargetMode="External"/><Relationship Id="rId520" Type="http://schemas.openxmlformats.org/officeDocument/2006/relationships/hyperlink" Target="https://www.yageo.com/upload/media/product/productsearch/datasheet/rchip/PYu-RT_1-to-0.01_RoHS_L_12.pdf" TargetMode="External"/><Relationship Id="rId618" Type="http://schemas.openxmlformats.org/officeDocument/2006/relationships/hyperlink" Target="https://media.digikey.com/pdf/Data%20Sheets/Analog%20Devices%20PDFs/HMC681LP5(E).pdf" TargetMode="External"/><Relationship Id="rId825" Type="http://schemas.openxmlformats.org/officeDocument/2006/relationships/hyperlink" Target="https://mm.digikey.com/Volume0/opasdata/d220001/medias/docus/649/Universe_IIDB_User_Manual.pdf" TargetMode="External"/><Relationship Id="rId257" Type="http://schemas.openxmlformats.org/officeDocument/2006/relationships/hyperlink" Target="http://www.yageo.com.tw/exep/pages/download/literatures/PYu-R_INT-thick_7.pdf" TargetMode="External"/><Relationship Id="rId464" Type="http://schemas.openxmlformats.org/officeDocument/2006/relationships/hyperlink" Target="https://www.amd.com/system/files/TechDocs/33234H_LX_databook.pdf" TargetMode="External"/><Relationship Id="rId1010" Type="http://schemas.openxmlformats.org/officeDocument/2006/relationships/hyperlink" Target="http://datasheets.avx.com/TAJ.pdf" TargetMode="External"/><Relationship Id="rId117" Type="http://schemas.openxmlformats.org/officeDocument/2006/relationships/hyperlink" Target="https://assets.nexperia.com/documents/data-sheet/BC817_SER.pdf" TargetMode="External"/><Relationship Id="rId671" Type="http://schemas.openxmlformats.org/officeDocument/2006/relationships/hyperlink" Target="https://www.promelec.ru/fs/sources/55/4c/de/3d/2eb3cca3a9fb37973d0e757d.pdf" TargetMode="External"/><Relationship Id="rId769" Type="http://schemas.openxmlformats.org/officeDocument/2006/relationships/hyperlink" Target="https://assets.nexperia.com/documents/data-sheet/PESD5V0L1UB.pdf" TargetMode="External"/><Relationship Id="rId976" Type="http://schemas.openxmlformats.org/officeDocument/2006/relationships/hyperlink" Target="https://eu.mouser.com/datasheet/2/612/acex-1299421.pdf" TargetMode="External"/><Relationship Id="rId324" Type="http://schemas.openxmlformats.org/officeDocument/2006/relationships/hyperlink" Target="http://www.yageo.com/documents/recent/UPY-GP_NP0_16V-to-50V_16.pdf" TargetMode="External"/><Relationship Id="rId531" Type="http://schemas.openxmlformats.org/officeDocument/2006/relationships/hyperlink" Target="http://datasheets.avx.com/TAJ.pdf" TargetMode="External"/><Relationship Id="rId629" Type="http://schemas.openxmlformats.org/officeDocument/2006/relationships/hyperlink" Target="https://www.yageo.com/upload/media/product/productsearch/datasheet/rchip/PYu-RT_1-to-0.01_RoHS_L_13.pdf" TargetMode="External"/><Relationship Id="rId836" Type="http://schemas.openxmlformats.org/officeDocument/2006/relationships/hyperlink" Target="https://search.murata.co.jp/Ceramy/image/img/P02/JELF243A-0153.pdf" TargetMode="External"/><Relationship Id="rId1021" Type="http://schemas.openxmlformats.org/officeDocument/2006/relationships/hyperlink" Target="http://www.yageo.com/documents/recent/UPY-GP_NP0_16V-to-50V_16.pdf" TargetMode="External"/><Relationship Id="rId903" Type="http://schemas.openxmlformats.org/officeDocument/2006/relationships/hyperlink" Target="https://www.murata.com/en-us/products/productdata/8796739862558/ENFA0007.pdf" TargetMode="External"/><Relationship Id="rId32" Type="http://schemas.openxmlformats.org/officeDocument/2006/relationships/hyperlink" Target="http://rohmfs.rohm.com/en/products/databook/datasheet/discrete/diode/zener/stz5.6n.pdf" TargetMode="External"/><Relationship Id="rId181" Type="http://schemas.openxmlformats.org/officeDocument/2006/relationships/hyperlink" Target="http://www.vishay.com/docs/20035/dcrcwe3.pdf" TargetMode="External"/><Relationship Id="rId279" Type="http://schemas.openxmlformats.org/officeDocument/2006/relationships/hyperlink" Target="https://search.murata.co.jp/Ceramy/image/img/A01X/G101/ENG/GRM188R71H154KAC4-01.pdf" TargetMode="External"/><Relationship Id="rId486" Type="http://schemas.openxmlformats.org/officeDocument/2006/relationships/hyperlink" Target="https://www.minicircuits.com/WebStore/dashboard.html?model=M3SWA-2-50DRA%2B" TargetMode="External"/><Relationship Id="rId693" Type="http://schemas.openxmlformats.org/officeDocument/2006/relationships/hyperlink" Target="https://www.promelec.ru/fs/sources/a8/87/af/76/21bd412a225169622a30c494.pdf" TargetMode="External"/><Relationship Id="rId139" Type="http://schemas.openxmlformats.org/officeDocument/2006/relationships/hyperlink" Target="https://kvt.su/production/insulugs/iplug/rpim/" TargetMode="External"/><Relationship Id="rId346" Type="http://schemas.openxmlformats.org/officeDocument/2006/relationships/hyperlink" Target="http://www.yageo.com/NewPortal/yageodocoutput?fileName=/pdf/R-Chip/PYu-RC_Group_51_RoHS_L_0.pdf" TargetMode="External"/><Relationship Id="rId553" Type="http://schemas.openxmlformats.org/officeDocument/2006/relationships/hyperlink" Target="http://www.yageo.com/documents/recent/UPY-GP_NP0_16V-to-50V_16.pdf" TargetMode="External"/><Relationship Id="rId760" Type="http://schemas.openxmlformats.org/officeDocument/2006/relationships/hyperlink" Target="http://www.yageo.com/documents/recent/UPY-GP_NP0_16V-to-50V_16.pdf" TargetMode="External"/><Relationship Id="rId998" Type="http://schemas.openxmlformats.org/officeDocument/2006/relationships/hyperlink" Target="https://www.asm-sensor.com/files/asmTheme/pdf/ct969x90e3-44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636"/>
  <sheetViews>
    <sheetView tabSelected="1" zoomScaleNormal="100" workbookViewId="0">
      <selection activeCell="A122" sqref="A122"/>
    </sheetView>
  </sheetViews>
  <sheetFormatPr defaultColWidth="9.140625" defaultRowHeight="15" x14ac:dyDescent="0.25"/>
  <cols>
    <col min="1" max="1" width="27.85546875" style="2" customWidth="1"/>
    <col min="2" max="2" width="7.7109375" style="3" customWidth="1"/>
    <col min="3" max="3" width="10.5703125" style="3" customWidth="1"/>
    <col min="4" max="4" width="14.7109375" style="2" customWidth="1"/>
    <col min="5" max="5" width="89.28515625" style="2" customWidth="1"/>
    <col min="6" max="6" width="61.7109375" style="2" customWidth="1"/>
    <col min="7" max="16384" width="9.140625" style="2"/>
  </cols>
  <sheetData>
    <row r="1" spans="1:6" s="2" customFormat="1" x14ac:dyDescent="0.25">
      <c r="A1" s="2" t="s">
        <v>3159</v>
      </c>
      <c r="B1" s="3">
        <v>1</v>
      </c>
      <c r="C1" s="4" t="s">
        <v>3156</v>
      </c>
      <c r="D1" s="2" t="s">
        <v>509</v>
      </c>
      <c r="E1" s="2" t="s">
        <v>3157</v>
      </c>
      <c r="F1" s="36" t="s">
        <v>3158</v>
      </c>
    </row>
    <row r="2" spans="1:6" s="2" customFormat="1" x14ac:dyDescent="0.25">
      <c r="A2" s="2" t="s">
        <v>3524</v>
      </c>
      <c r="B2" s="3">
        <v>14</v>
      </c>
      <c r="C2" s="4" t="s">
        <v>3525</v>
      </c>
      <c r="D2" s="2" t="s">
        <v>3526</v>
      </c>
      <c r="E2" s="2" t="s">
        <v>3527</v>
      </c>
      <c r="F2" s="36" t="s">
        <v>3528</v>
      </c>
    </row>
    <row r="3" spans="1:6" s="2" customFormat="1" x14ac:dyDescent="0.25">
      <c r="A3" s="2" t="s">
        <v>3529</v>
      </c>
      <c r="B3" s="3">
        <v>11</v>
      </c>
      <c r="C3" s="4" t="s">
        <v>3530</v>
      </c>
      <c r="D3" s="2" t="s">
        <v>3526</v>
      </c>
      <c r="E3" s="2" t="s">
        <v>3531</v>
      </c>
      <c r="F3" s="36" t="s">
        <v>3528</v>
      </c>
    </row>
    <row r="4" spans="1:6" s="2" customFormat="1" ht="45" x14ac:dyDescent="0.25">
      <c r="A4" s="2" t="s">
        <v>1505</v>
      </c>
      <c r="B4" s="3">
        <v>5</v>
      </c>
      <c r="C4" s="4" t="s">
        <v>1506</v>
      </c>
      <c r="D4" s="5" t="s">
        <v>1507</v>
      </c>
      <c r="E4" s="5" t="s">
        <v>1508</v>
      </c>
      <c r="F4" s="36" t="s">
        <v>1509</v>
      </c>
    </row>
    <row r="5" spans="1:6" s="2" customFormat="1" x14ac:dyDescent="0.25">
      <c r="A5" s="2" t="s">
        <v>3395</v>
      </c>
      <c r="B5" s="3">
        <v>3</v>
      </c>
      <c r="C5" s="4" t="s">
        <v>3391</v>
      </c>
      <c r="D5" s="5"/>
      <c r="E5" s="5"/>
      <c r="F5" s="36"/>
    </row>
    <row r="6" spans="1:6" s="2" customFormat="1" ht="30" x14ac:dyDescent="0.25">
      <c r="A6" s="2" t="s">
        <v>3390</v>
      </c>
      <c r="B6" s="3">
        <v>2</v>
      </c>
      <c r="C6" s="4" t="s">
        <v>3391</v>
      </c>
      <c r="D6" s="5" t="s">
        <v>3393</v>
      </c>
      <c r="E6" s="5" t="s">
        <v>3392</v>
      </c>
      <c r="F6" s="36" t="s">
        <v>3394</v>
      </c>
    </row>
    <row r="7" spans="1:6" s="2" customFormat="1" ht="45" x14ac:dyDescent="0.25">
      <c r="A7" s="2" t="s">
        <v>2238</v>
      </c>
      <c r="B7" s="6">
        <f>10000-10000</f>
        <v>0</v>
      </c>
      <c r="C7" s="4" t="s">
        <v>2166</v>
      </c>
      <c r="D7" s="5" t="s">
        <v>2239</v>
      </c>
      <c r="E7" s="5" t="s">
        <v>2240</v>
      </c>
      <c r="F7" s="36" t="s">
        <v>2241</v>
      </c>
    </row>
    <row r="8" spans="1:6" s="2" customFormat="1" x14ac:dyDescent="0.25">
      <c r="A8" s="2" t="s">
        <v>647</v>
      </c>
      <c r="B8" s="3">
        <v>61</v>
      </c>
      <c r="C8" s="3" t="s">
        <v>214</v>
      </c>
      <c r="D8" s="2" t="s">
        <v>509</v>
      </c>
      <c r="E8" s="2" t="s">
        <v>687</v>
      </c>
      <c r="F8" s="36" t="s">
        <v>648</v>
      </c>
    </row>
    <row r="9" spans="1:6" s="2" customFormat="1" x14ac:dyDescent="0.25">
      <c r="A9" s="2" t="s">
        <v>3301</v>
      </c>
      <c r="B9" s="3">
        <v>1</v>
      </c>
      <c r="C9" s="3">
        <v>2205</v>
      </c>
      <c r="D9" s="2" t="s">
        <v>3302</v>
      </c>
      <c r="E9" s="2" t="s">
        <v>3303</v>
      </c>
      <c r="F9" s="36" t="s">
        <v>3304</v>
      </c>
    </row>
    <row r="10" spans="1:6" s="2" customFormat="1" x14ac:dyDescent="0.25">
      <c r="A10" s="2" t="s">
        <v>2302</v>
      </c>
      <c r="B10" s="3">
        <v>1</v>
      </c>
      <c r="C10" s="4" t="s">
        <v>2303</v>
      </c>
      <c r="E10" s="2" t="s">
        <v>2301</v>
      </c>
      <c r="F10" s="36"/>
    </row>
    <row r="11" spans="1:6" s="2" customFormat="1" x14ac:dyDescent="0.25">
      <c r="A11" s="7">
        <v>132360</v>
      </c>
      <c r="B11" s="3">
        <f>14-4</f>
        <v>10</v>
      </c>
      <c r="C11" s="3" t="s">
        <v>3254</v>
      </c>
      <c r="D11" s="2" t="s">
        <v>831</v>
      </c>
      <c r="E11" s="5" t="s">
        <v>2364</v>
      </c>
      <c r="F11" s="36" t="s">
        <v>735</v>
      </c>
    </row>
    <row r="12" spans="1:6" s="2" customFormat="1" x14ac:dyDescent="0.25">
      <c r="A12" s="7">
        <v>132360</v>
      </c>
      <c r="B12" s="3">
        <v>65</v>
      </c>
      <c r="C12" s="3">
        <v>2217</v>
      </c>
      <c r="D12" s="2" t="s">
        <v>831</v>
      </c>
      <c r="E12" s="5" t="s">
        <v>2364</v>
      </c>
      <c r="F12" s="36" t="s">
        <v>735</v>
      </c>
    </row>
    <row r="13" spans="1:6" s="2" customFormat="1" x14ac:dyDescent="0.25">
      <c r="A13" s="2" t="s">
        <v>530</v>
      </c>
      <c r="B13" s="3">
        <v>3</v>
      </c>
      <c r="C13" s="3" t="s">
        <v>214</v>
      </c>
      <c r="D13" s="2" t="s">
        <v>531</v>
      </c>
      <c r="E13" s="2" t="s">
        <v>532</v>
      </c>
      <c r="F13" s="36" t="s">
        <v>533</v>
      </c>
    </row>
    <row r="14" spans="1:6" s="2" customFormat="1" x14ac:dyDescent="0.25">
      <c r="A14" s="2" t="s">
        <v>888</v>
      </c>
      <c r="B14" s="6">
        <f>1-1</f>
        <v>0</v>
      </c>
      <c r="C14" s="3" t="s">
        <v>214</v>
      </c>
      <c r="D14" s="2" t="s">
        <v>789</v>
      </c>
      <c r="E14" s="2" t="s">
        <v>890</v>
      </c>
      <c r="F14" s="36" t="s">
        <v>889</v>
      </c>
    </row>
    <row r="15" spans="1:6" s="2" customFormat="1" x14ac:dyDescent="0.25">
      <c r="A15" s="2" t="s">
        <v>24</v>
      </c>
      <c r="B15" s="3">
        <v>15</v>
      </c>
      <c r="C15" s="3" t="s">
        <v>27</v>
      </c>
      <c r="D15" s="2" t="s">
        <v>26</v>
      </c>
      <c r="E15" s="2" t="s">
        <v>25</v>
      </c>
      <c r="F15" s="36" t="s">
        <v>28</v>
      </c>
    </row>
    <row r="16" spans="1:6" s="2" customFormat="1" x14ac:dyDescent="0.25">
      <c r="A16" s="2" t="s">
        <v>2761</v>
      </c>
      <c r="B16" s="3">
        <v>3</v>
      </c>
      <c r="C16" s="4" t="s">
        <v>2763</v>
      </c>
      <c r="D16" s="2" t="s">
        <v>884</v>
      </c>
      <c r="E16" s="2" t="s">
        <v>2762</v>
      </c>
      <c r="F16" s="36" t="s">
        <v>2764</v>
      </c>
    </row>
    <row r="17" spans="1:6" s="2" customFormat="1" x14ac:dyDescent="0.25">
      <c r="A17" s="2" t="s">
        <v>3740</v>
      </c>
      <c r="B17" s="3">
        <v>2</v>
      </c>
      <c r="C17" s="4" t="s">
        <v>3741</v>
      </c>
      <c r="D17" s="2" t="s">
        <v>3743</v>
      </c>
      <c r="E17" s="2" t="s">
        <v>3742</v>
      </c>
      <c r="F17" s="36" t="s">
        <v>3744</v>
      </c>
    </row>
    <row r="18" spans="1:6" s="2" customFormat="1" x14ac:dyDescent="0.25">
      <c r="A18" s="2" t="s">
        <v>868</v>
      </c>
      <c r="B18" s="3">
        <v>3</v>
      </c>
      <c r="C18" s="3" t="s">
        <v>214</v>
      </c>
      <c r="D18" s="2" t="s">
        <v>789</v>
      </c>
      <c r="E18" s="2" t="s">
        <v>869</v>
      </c>
      <c r="F18" s="36" t="s">
        <v>870</v>
      </c>
    </row>
    <row r="19" spans="1:6" s="2" customFormat="1" x14ac:dyDescent="0.25">
      <c r="A19" s="2" t="s">
        <v>792</v>
      </c>
      <c r="B19" s="3">
        <v>1</v>
      </c>
      <c r="C19" s="4" t="s">
        <v>214</v>
      </c>
      <c r="D19" s="2" t="s">
        <v>793</v>
      </c>
      <c r="E19" s="2" t="s">
        <v>794</v>
      </c>
      <c r="F19" s="36" t="s">
        <v>795</v>
      </c>
    </row>
    <row r="20" spans="1:6" s="2" customFormat="1" x14ac:dyDescent="0.25">
      <c r="A20" s="2" t="s">
        <v>797</v>
      </c>
      <c r="B20" s="3">
        <v>1</v>
      </c>
      <c r="C20" s="4" t="s">
        <v>214</v>
      </c>
      <c r="D20" s="2" t="s">
        <v>793</v>
      </c>
      <c r="E20" s="2" t="s">
        <v>796</v>
      </c>
      <c r="F20" s="36" t="s">
        <v>798</v>
      </c>
    </row>
    <row r="21" spans="1:6" s="2" customFormat="1" x14ac:dyDescent="0.25">
      <c r="A21" s="2" t="s">
        <v>2818</v>
      </c>
      <c r="B21" s="3">
        <v>1</v>
      </c>
      <c r="C21" s="4" t="s">
        <v>2819</v>
      </c>
      <c r="D21" s="2" t="s">
        <v>509</v>
      </c>
      <c r="E21" s="2" t="s">
        <v>2820</v>
      </c>
      <c r="F21" s="36" t="s">
        <v>2821</v>
      </c>
    </row>
    <row r="22" spans="1:6" s="2" customFormat="1" x14ac:dyDescent="0.25">
      <c r="A22" s="2" t="s">
        <v>2225</v>
      </c>
      <c r="B22" s="3">
        <f>1+20-5</f>
        <v>16</v>
      </c>
      <c r="C22" s="3">
        <v>2123</v>
      </c>
      <c r="E22" s="2" t="s">
        <v>2226</v>
      </c>
      <c r="F22" s="36"/>
    </row>
    <row r="23" spans="1:6" s="2" customFormat="1" x14ac:dyDescent="0.25">
      <c r="A23" s="2" t="s">
        <v>478</v>
      </c>
      <c r="B23" s="3">
        <v>50</v>
      </c>
      <c r="C23" s="4" t="s">
        <v>214</v>
      </c>
      <c r="D23" s="2" t="s">
        <v>213</v>
      </c>
      <c r="E23" s="2" t="s">
        <v>488</v>
      </c>
      <c r="F23" s="36"/>
    </row>
    <row r="24" spans="1:6" s="2" customFormat="1" x14ac:dyDescent="0.25">
      <c r="A24" s="2" t="s">
        <v>559</v>
      </c>
      <c r="B24" s="3">
        <v>10</v>
      </c>
      <c r="C24" s="4" t="s">
        <v>214</v>
      </c>
      <c r="D24" s="2" t="s">
        <v>244</v>
      </c>
      <c r="E24" s="2" t="s">
        <v>560</v>
      </c>
      <c r="F24" s="36" t="s">
        <v>561</v>
      </c>
    </row>
    <row r="25" spans="1:6" s="2" customFormat="1" x14ac:dyDescent="0.25">
      <c r="A25" s="2" t="s">
        <v>2130</v>
      </c>
      <c r="B25" s="3">
        <v>50</v>
      </c>
      <c r="C25" s="4" t="s">
        <v>418</v>
      </c>
      <c r="D25" s="2" t="s">
        <v>1078</v>
      </c>
      <c r="E25" s="2" t="s">
        <v>2131</v>
      </c>
      <c r="F25" s="36" t="s">
        <v>2132</v>
      </c>
    </row>
    <row r="26" spans="1:6" s="2" customFormat="1" x14ac:dyDescent="0.25">
      <c r="A26" s="2" t="s">
        <v>137</v>
      </c>
      <c r="B26" s="3">
        <v>2455</v>
      </c>
      <c r="C26" s="4" t="s">
        <v>142</v>
      </c>
      <c r="D26" s="2" t="s">
        <v>138</v>
      </c>
      <c r="E26" s="2" t="s">
        <v>143</v>
      </c>
      <c r="F26" s="36" t="s">
        <v>144</v>
      </c>
    </row>
    <row r="27" spans="1:6" s="2" customFormat="1" x14ac:dyDescent="0.25">
      <c r="A27" s="2" t="s">
        <v>1123</v>
      </c>
      <c r="B27" s="3">
        <v>22</v>
      </c>
      <c r="C27" s="4" t="s">
        <v>1125</v>
      </c>
      <c r="D27" s="2" t="s">
        <v>962</v>
      </c>
      <c r="E27" s="2" t="s">
        <v>1124</v>
      </c>
      <c r="F27" s="36"/>
    </row>
    <row r="28" spans="1:6" s="2" customFormat="1" x14ac:dyDescent="0.25">
      <c r="A28" s="2" t="s">
        <v>3355</v>
      </c>
      <c r="B28" s="3">
        <v>10</v>
      </c>
      <c r="C28" s="4" t="s">
        <v>3356</v>
      </c>
      <c r="D28" s="2" t="s">
        <v>2556</v>
      </c>
      <c r="E28" s="2" t="s">
        <v>3357</v>
      </c>
      <c r="F28" s="36" t="s">
        <v>3358</v>
      </c>
    </row>
    <row r="29" spans="1:6" s="2" customFormat="1" x14ac:dyDescent="0.25">
      <c r="A29" s="2" t="s">
        <v>3378</v>
      </c>
      <c r="B29" s="3">
        <v>1</v>
      </c>
      <c r="C29" s="4" t="s">
        <v>3379</v>
      </c>
      <c r="D29" s="2" t="s">
        <v>2556</v>
      </c>
      <c r="E29" s="2" t="s">
        <v>3380</v>
      </c>
      <c r="F29" s="36" t="s">
        <v>3381</v>
      </c>
    </row>
    <row r="30" spans="1:6" s="2" customFormat="1" x14ac:dyDescent="0.25">
      <c r="A30" s="5" t="s">
        <v>567</v>
      </c>
      <c r="B30" s="3">
        <v>5</v>
      </c>
      <c r="C30" s="4" t="s">
        <v>214</v>
      </c>
      <c r="D30" s="5" t="s">
        <v>569</v>
      </c>
      <c r="E30" s="2" t="s">
        <v>568</v>
      </c>
      <c r="F30" s="36"/>
    </row>
    <row r="31" spans="1:6" s="2" customFormat="1" x14ac:dyDescent="0.25">
      <c r="A31" s="2" t="s">
        <v>2707</v>
      </c>
      <c r="B31" s="3">
        <v>3</v>
      </c>
      <c r="C31" s="4" t="s">
        <v>2708</v>
      </c>
      <c r="D31" s="2" t="s">
        <v>1051</v>
      </c>
      <c r="E31" s="2" t="s">
        <v>2709</v>
      </c>
      <c r="F31" s="36" t="s">
        <v>2710</v>
      </c>
    </row>
    <row r="32" spans="1:6" s="2" customFormat="1" x14ac:dyDescent="0.25">
      <c r="A32" s="7">
        <v>242163</v>
      </c>
      <c r="B32" s="3">
        <v>1</v>
      </c>
      <c r="C32" s="4" t="s">
        <v>2587</v>
      </c>
      <c r="D32" s="2" t="s">
        <v>2588</v>
      </c>
      <c r="E32" s="2" t="s">
        <v>2590</v>
      </c>
      <c r="F32" s="36" t="s">
        <v>2589</v>
      </c>
    </row>
    <row r="33" spans="1:6" s="2" customFormat="1" x14ac:dyDescent="0.25">
      <c r="A33" s="5" t="s">
        <v>930</v>
      </c>
      <c r="B33" s="3">
        <f>1000-100</f>
        <v>900</v>
      </c>
      <c r="C33" s="4" t="s">
        <v>214</v>
      </c>
      <c r="D33" s="5" t="s">
        <v>931</v>
      </c>
      <c r="E33" s="2" t="s">
        <v>932</v>
      </c>
      <c r="F33" s="36"/>
    </row>
    <row r="34" spans="1:6" s="2" customFormat="1" ht="45" x14ac:dyDescent="0.25">
      <c r="A34" s="5" t="s">
        <v>1853</v>
      </c>
      <c r="B34" s="3">
        <v>50</v>
      </c>
      <c r="C34" s="4" t="s">
        <v>1733</v>
      </c>
      <c r="D34" s="5" t="s">
        <v>793</v>
      </c>
      <c r="E34" s="2" t="s">
        <v>1734</v>
      </c>
      <c r="F34" s="36" t="s">
        <v>1735</v>
      </c>
    </row>
    <row r="35" spans="1:6" s="2" customFormat="1" ht="45" x14ac:dyDescent="0.25">
      <c r="A35" s="5" t="s">
        <v>1852</v>
      </c>
      <c r="B35" s="3">
        <v>50</v>
      </c>
      <c r="C35" s="4" t="s">
        <v>1733</v>
      </c>
      <c r="D35" s="5" t="s">
        <v>793</v>
      </c>
      <c r="E35" s="2" t="s">
        <v>1734</v>
      </c>
      <c r="F35" s="36" t="s">
        <v>1735</v>
      </c>
    </row>
    <row r="36" spans="1:6" s="2" customFormat="1" ht="45" x14ac:dyDescent="0.25">
      <c r="A36" s="5" t="s">
        <v>1855</v>
      </c>
      <c r="B36" s="3">
        <v>45</v>
      </c>
      <c r="C36" s="4" t="s">
        <v>1733</v>
      </c>
      <c r="D36" s="5"/>
      <c r="F36" s="36" t="s">
        <v>1854</v>
      </c>
    </row>
    <row r="37" spans="1:6" s="2" customFormat="1" x14ac:dyDescent="0.25">
      <c r="A37" s="2" t="s">
        <v>392</v>
      </c>
      <c r="B37" s="3">
        <v>55</v>
      </c>
      <c r="C37" s="4" t="s">
        <v>393</v>
      </c>
      <c r="D37" s="2" t="s">
        <v>394</v>
      </c>
      <c r="E37" s="2" t="s">
        <v>395</v>
      </c>
      <c r="F37" s="36" t="s">
        <v>396</v>
      </c>
    </row>
    <row r="38" spans="1:6" s="2" customFormat="1" x14ac:dyDescent="0.25">
      <c r="A38" s="2" t="s">
        <v>139</v>
      </c>
      <c r="B38" s="3">
        <v>2317</v>
      </c>
      <c r="C38" s="4" t="s">
        <v>140</v>
      </c>
      <c r="D38" s="2" t="s">
        <v>138</v>
      </c>
      <c r="E38" s="2" t="s">
        <v>2340</v>
      </c>
      <c r="F38" s="36" t="s">
        <v>141</v>
      </c>
    </row>
    <row r="39" spans="1:6" s="2" customFormat="1" x14ac:dyDescent="0.25">
      <c r="A39" s="2" t="s">
        <v>3535</v>
      </c>
      <c r="B39" s="6">
        <f>72-72</f>
        <v>0</v>
      </c>
      <c r="C39" s="4" t="s">
        <v>3536</v>
      </c>
      <c r="D39" s="2" t="s">
        <v>1968</v>
      </c>
      <c r="E39" s="2" t="s">
        <v>3537</v>
      </c>
      <c r="F39" s="36" t="s">
        <v>3538</v>
      </c>
    </row>
    <row r="40" spans="1:6" s="2" customFormat="1" x14ac:dyDescent="0.25">
      <c r="A40" s="2" t="s">
        <v>2231</v>
      </c>
      <c r="B40" s="3">
        <v>3</v>
      </c>
      <c r="C40" s="4" t="s">
        <v>2232</v>
      </c>
      <c r="D40" s="2" t="s">
        <v>1265</v>
      </c>
      <c r="E40" s="5" t="s">
        <v>2365</v>
      </c>
      <c r="F40" s="36" t="s">
        <v>2233</v>
      </c>
    </row>
    <row r="41" spans="1:6" s="2" customFormat="1" x14ac:dyDescent="0.25">
      <c r="A41" s="7">
        <v>353620650</v>
      </c>
      <c r="B41" s="3">
        <v>5</v>
      </c>
      <c r="C41" s="3" t="s">
        <v>27</v>
      </c>
      <c r="D41" s="2" t="s">
        <v>1051</v>
      </c>
      <c r="E41" s="2" t="s">
        <v>1050</v>
      </c>
      <c r="F41" s="36"/>
    </row>
    <row r="42" spans="1:6" s="2" customFormat="1" x14ac:dyDescent="0.25">
      <c r="A42" s="7">
        <v>355070600</v>
      </c>
      <c r="B42" s="3">
        <v>8</v>
      </c>
      <c r="C42" s="4" t="s">
        <v>214</v>
      </c>
      <c r="D42" s="2" t="s">
        <v>187</v>
      </c>
      <c r="E42" s="2" t="s">
        <v>1041</v>
      </c>
      <c r="F42" s="36" t="s">
        <v>1040</v>
      </c>
    </row>
    <row r="43" spans="1:6" s="2" customFormat="1" x14ac:dyDescent="0.25">
      <c r="A43" s="7" t="s">
        <v>3351</v>
      </c>
      <c r="B43" s="3">
        <v>2</v>
      </c>
      <c r="C43" s="4" t="s">
        <v>3352</v>
      </c>
      <c r="D43" s="2" t="s">
        <v>383</v>
      </c>
      <c r="E43" s="2" t="s">
        <v>3353</v>
      </c>
      <c r="F43" s="36" t="s">
        <v>3354</v>
      </c>
    </row>
    <row r="44" spans="1:6" s="2" customFormat="1" x14ac:dyDescent="0.25">
      <c r="A44" s="7" t="s">
        <v>3628</v>
      </c>
      <c r="B44" s="3">
        <f>27+1</f>
        <v>28</v>
      </c>
      <c r="C44" s="4" t="s">
        <v>3364</v>
      </c>
      <c r="D44" s="2" t="s">
        <v>187</v>
      </c>
      <c r="E44" s="2" t="s">
        <v>3629</v>
      </c>
      <c r="F44" s="36" t="s">
        <v>3630</v>
      </c>
    </row>
    <row r="45" spans="1:6" s="2" customFormat="1" x14ac:dyDescent="0.25">
      <c r="A45" s="7" t="s">
        <v>1881</v>
      </c>
      <c r="B45" s="3">
        <v>3</v>
      </c>
      <c r="C45" s="4" t="s">
        <v>1882</v>
      </c>
      <c r="D45" s="2" t="s">
        <v>187</v>
      </c>
      <c r="E45" s="2" t="s">
        <v>1883</v>
      </c>
      <c r="F45" s="36" t="s">
        <v>1884</v>
      </c>
    </row>
    <row r="46" spans="1:6" s="2" customFormat="1" x14ac:dyDescent="0.25">
      <c r="A46" s="7" t="s">
        <v>3160</v>
      </c>
      <c r="B46" s="3">
        <v>9</v>
      </c>
      <c r="C46" s="4" t="s">
        <v>3161</v>
      </c>
      <c r="D46" s="2" t="s">
        <v>509</v>
      </c>
      <c r="E46" s="5" t="s">
        <v>3162</v>
      </c>
      <c r="F46" s="36" t="s">
        <v>3163</v>
      </c>
    </row>
    <row r="47" spans="1:6" s="2" customFormat="1" x14ac:dyDescent="0.25">
      <c r="A47" s="2" t="s">
        <v>1418</v>
      </c>
      <c r="B47" s="3">
        <v>6</v>
      </c>
      <c r="C47" s="4" t="s">
        <v>2330</v>
      </c>
      <c r="D47" s="2" t="s">
        <v>1416</v>
      </c>
      <c r="E47" s="2" t="s">
        <v>1419</v>
      </c>
      <c r="F47" s="36" t="s">
        <v>1417</v>
      </c>
    </row>
    <row r="48" spans="1:6" s="2" customFormat="1" ht="30" x14ac:dyDescent="0.25">
      <c r="A48" s="5" t="s">
        <v>3073</v>
      </c>
      <c r="B48" s="3">
        <v>6</v>
      </c>
      <c r="C48" s="3" t="s">
        <v>27</v>
      </c>
      <c r="D48" s="2" t="s">
        <v>187</v>
      </c>
      <c r="E48" s="5" t="s">
        <v>729</v>
      </c>
      <c r="F48" s="36" t="s">
        <v>730</v>
      </c>
    </row>
    <row r="49" spans="1:6" s="2" customFormat="1" x14ac:dyDescent="0.25">
      <c r="A49" s="8" t="s">
        <v>1566</v>
      </c>
      <c r="B49" s="3">
        <v>2</v>
      </c>
      <c r="C49" s="4" t="s">
        <v>1567</v>
      </c>
      <c r="D49" s="2" t="s">
        <v>187</v>
      </c>
      <c r="E49" s="2" t="s">
        <v>1568</v>
      </c>
      <c r="F49" s="36" t="s">
        <v>1569</v>
      </c>
    </row>
    <row r="50" spans="1:6" s="2" customFormat="1" x14ac:dyDescent="0.25">
      <c r="A50" s="8" t="s">
        <v>1570</v>
      </c>
      <c r="B50" s="3">
        <v>47</v>
      </c>
      <c r="C50" s="4" t="s">
        <v>1567</v>
      </c>
      <c r="D50" s="2" t="s">
        <v>187</v>
      </c>
      <c r="E50" s="2" t="s">
        <v>1571</v>
      </c>
      <c r="F50" s="36" t="s">
        <v>1572</v>
      </c>
    </row>
    <row r="51" spans="1:6" s="2" customFormat="1" x14ac:dyDescent="0.25">
      <c r="A51" s="8" t="s">
        <v>3559</v>
      </c>
      <c r="B51" s="3">
        <v>15</v>
      </c>
      <c r="C51" s="4" t="s">
        <v>3450</v>
      </c>
      <c r="D51" s="2" t="s">
        <v>187</v>
      </c>
      <c r="E51" s="2" t="s">
        <v>3560</v>
      </c>
      <c r="F51" s="36" t="s">
        <v>3441</v>
      </c>
    </row>
    <row r="52" spans="1:6" s="2" customFormat="1" x14ac:dyDescent="0.25">
      <c r="A52" s="8" t="s">
        <v>3439</v>
      </c>
      <c r="B52" s="3">
        <v>5</v>
      </c>
      <c r="C52" s="4" t="s">
        <v>3156</v>
      </c>
      <c r="D52" s="2" t="s">
        <v>187</v>
      </c>
      <c r="E52" s="2" t="s">
        <v>3440</v>
      </c>
      <c r="F52" s="36" t="s">
        <v>3441</v>
      </c>
    </row>
    <row r="53" spans="1:6" s="2" customFormat="1" ht="30" x14ac:dyDescent="0.25">
      <c r="A53" s="5" t="s">
        <v>1018</v>
      </c>
      <c r="B53" s="6">
        <f>1-1</f>
        <v>0</v>
      </c>
      <c r="C53" s="3"/>
      <c r="F53" s="36"/>
    </row>
    <row r="54" spans="1:6" s="2" customFormat="1" x14ac:dyDescent="0.25">
      <c r="A54" s="2" t="s">
        <v>1206</v>
      </c>
      <c r="B54" s="3">
        <v>2</v>
      </c>
      <c r="C54" s="3" t="s">
        <v>27</v>
      </c>
      <c r="D54" s="2" t="s">
        <v>187</v>
      </c>
      <c r="E54" s="2" t="s">
        <v>1207</v>
      </c>
      <c r="F54" s="36"/>
    </row>
    <row r="55" spans="1:6" s="2" customFormat="1" x14ac:dyDescent="0.25">
      <c r="A55" s="2" t="s">
        <v>3691</v>
      </c>
      <c r="B55" s="3">
        <v>92</v>
      </c>
      <c r="C55" s="3">
        <v>9416</v>
      </c>
      <c r="D55" s="2" t="s">
        <v>187</v>
      </c>
      <c r="E55" s="2" t="s">
        <v>3692</v>
      </c>
      <c r="F55" s="36" t="s">
        <v>3693</v>
      </c>
    </row>
    <row r="56" spans="1:6" s="2" customFormat="1" x14ac:dyDescent="0.25">
      <c r="A56" s="2" t="s">
        <v>1560</v>
      </c>
      <c r="B56" s="3">
        <v>2</v>
      </c>
      <c r="C56" s="3">
        <v>2120</v>
      </c>
      <c r="D56" s="2" t="s">
        <v>1265</v>
      </c>
      <c r="E56" s="2" t="s">
        <v>1561</v>
      </c>
      <c r="F56" s="36" t="s">
        <v>1562</v>
      </c>
    </row>
    <row r="57" spans="1:6" s="2" customFormat="1" x14ac:dyDescent="0.25">
      <c r="A57" s="2" t="s">
        <v>1644</v>
      </c>
      <c r="B57" s="3">
        <v>52</v>
      </c>
      <c r="C57" s="4">
        <v>2045</v>
      </c>
      <c r="D57" s="2" t="s">
        <v>1641</v>
      </c>
      <c r="E57" s="2" t="s">
        <v>1642</v>
      </c>
      <c r="F57" s="36" t="s">
        <v>1643</v>
      </c>
    </row>
    <row r="58" spans="1:6" s="2" customFormat="1" x14ac:dyDescent="0.25">
      <c r="A58" s="2" t="s">
        <v>1645</v>
      </c>
      <c r="B58" s="3">
        <v>27</v>
      </c>
      <c r="C58" s="4">
        <v>2117</v>
      </c>
      <c r="D58" s="2" t="s">
        <v>1641</v>
      </c>
      <c r="E58" s="2" t="s">
        <v>1649</v>
      </c>
      <c r="F58" s="36" t="s">
        <v>1643</v>
      </c>
    </row>
    <row r="59" spans="1:6" s="2" customFormat="1" x14ac:dyDescent="0.25">
      <c r="A59" s="2" t="s">
        <v>1646</v>
      </c>
      <c r="B59" s="3">
        <v>4</v>
      </c>
      <c r="C59" s="4">
        <v>2102</v>
      </c>
      <c r="D59" s="2" t="s">
        <v>1641</v>
      </c>
      <c r="E59" s="2" t="s">
        <v>1648</v>
      </c>
      <c r="F59" s="36" t="s">
        <v>1643</v>
      </c>
    </row>
    <row r="60" spans="1:6" s="2" customFormat="1" x14ac:dyDescent="0.25">
      <c r="A60" s="2" t="s">
        <v>1647</v>
      </c>
      <c r="B60" s="3">
        <v>11</v>
      </c>
      <c r="C60" s="4">
        <v>2016</v>
      </c>
      <c r="D60" s="2" t="s">
        <v>1641</v>
      </c>
      <c r="E60" s="2" t="s">
        <v>1650</v>
      </c>
      <c r="F60" s="36" t="s">
        <v>1643</v>
      </c>
    </row>
    <row r="61" spans="1:6" s="2" customFormat="1" x14ac:dyDescent="0.25">
      <c r="A61" s="2" t="s">
        <v>1514</v>
      </c>
      <c r="B61" s="6">
        <f>42-42</f>
        <v>0</v>
      </c>
      <c r="C61" s="3">
        <v>2115</v>
      </c>
      <c r="D61" s="2" t="s">
        <v>187</v>
      </c>
      <c r="E61" s="2" t="s">
        <v>1515</v>
      </c>
      <c r="F61" s="36" t="s">
        <v>1516</v>
      </c>
    </row>
    <row r="62" spans="1:6" s="2" customFormat="1" x14ac:dyDescent="0.25">
      <c r="A62" s="5" t="s">
        <v>3305</v>
      </c>
      <c r="B62" s="3">
        <v>1</v>
      </c>
      <c r="C62" s="4" t="s">
        <v>3306</v>
      </c>
      <c r="D62" s="2" t="s">
        <v>187</v>
      </c>
      <c r="E62" s="2" t="s">
        <v>3307</v>
      </c>
      <c r="F62" s="36" t="s">
        <v>3308</v>
      </c>
    </row>
    <row r="63" spans="1:6" s="2" customFormat="1" x14ac:dyDescent="0.25">
      <c r="A63" s="5" t="s">
        <v>3698</v>
      </c>
      <c r="B63" s="3">
        <v>6</v>
      </c>
      <c r="C63" s="4" t="s">
        <v>3699</v>
      </c>
      <c r="D63" s="2" t="s">
        <v>187</v>
      </c>
      <c r="E63" s="2" t="s">
        <v>3700</v>
      </c>
      <c r="F63" s="36" t="s">
        <v>3701</v>
      </c>
    </row>
    <row r="64" spans="1:6" s="2" customFormat="1" x14ac:dyDescent="0.25">
      <c r="A64" s="7">
        <v>513870578</v>
      </c>
      <c r="B64" s="3">
        <v>1</v>
      </c>
      <c r="C64" s="3" t="s">
        <v>27</v>
      </c>
      <c r="D64" s="2" t="s">
        <v>187</v>
      </c>
      <c r="E64" s="5" t="s">
        <v>891</v>
      </c>
      <c r="F64" s="36" t="s">
        <v>892</v>
      </c>
    </row>
    <row r="65" spans="1:6" s="2" customFormat="1" x14ac:dyDescent="0.25">
      <c r="A65" s="2" t="s">
        <v>893</v>
      </c>
      <c r="B65" s="3">
        <v>1</v>
      </c>
      <c r="C65" s="3" t="s">
        <v>27</v>
      </c>
      <c r="D65" s="2" t="s">
        <v>383</v>
      </c>
      <c r="E65" s="5" t="s">
        <v>1234</v>
      </c>
      <c r="F65" s="36" t="s">
        <v>894</v>
      </c>
    </row>
    <row r="66" spans="1:6" s="2" customFormat="1" x14ac:dyDescent="0.25">
      <c r="A66" s="7">
        <v>524180810</v>
      </c>
      <c r="B66" s="3">
        <v>30</v>
      </c>
      <c r="C66" s="3">
        <v>2209</v>
      </c>
      <c r="D66" s="2" t="s">
        <v>187</v>
      </c>
      <c r="E66" s="5" t="s">
        <v>3622</v>
      </c>
      <c r="F66" s="36" t="s">
        <v>3623</v>
      </c>
    </row>
    <row r="67" spans="1:6" s="2" customFormat="1" x14ac:dyDescent="0.25">
      <c r="A67" s="2" t="s">
        <v>788</v>
      </c>
      <c r="B67" s="3">
        <v>5</v>
      </c>
      <c r="C67" s="3" t="s">
        <v>27</v>
      </c>
      <c r="D67" s="2" t="s">
        <v>789</v>
      </c>
      <c r="E67" s="2" t="s">
        <v>790</v>
      </c>
      <c r="F67" s="36" t="s">
        <v>791</v>
      </c>
    </row>
    <row r="68" spans="1:6" s="2" customFormat="1" x14ac:dyDescent="0.25">
      <c r="A68" s="2" t="s">
        <v>1249</v>
      </c>
      <c r="B68" s="6">
        <f>7-7</f>
        <v>0</v>
      </c>
      <c r="C68" s="3">
        <v>1901</v>
      </c>
      <c r="D68" s="2" t="s">
        <v>447</v>
      </c>
      <c r="E68" s="2" t="s">
        <v>1250</v>
      </c>
      <c r="F68" s="36"/>
    </row>
    <row r="69" spans="1:6" s="2" customFormat="1" x14ac:dyDescent="0.25">
      <c r="A69" s="2" t="s">
        <v>3611</v>
      </c>
      <c r="B69" s="6">
        <v>1</v>
      </c>
      <c r="C69" s="3">
        <v>1807</v>
      </c>
      <c r="D69" s="2" t="s">
        <v>3526</v>
      </c>
      <c r="E69" s="2" t="s">
        <v>3612</v>
      </c>
      <c r="F69" s="36" t="s">
        <v>3613</v>
      </c>
    </row>
    <row r="70" spans="1:6" s="2" customFormat="1" x14ac:dyDescent="0.25">
      <c r="A70" s="7" t="s">
        <v>2822</v>
      </c>
      <c r="B70" s="3">
        <v>1</v>
      </c>
      <c r="C70" s="3">
        <v>2220</v>
      </c>
      <c r="D70" s="2" t="s">
        <v>509</v>
      </c>
      <c r="E70" s="5" t="s">
        <v>3008</v>
      </c>
      <c r="F70" s="36" t="s">
        <v>2823</v>
      </c>
    </row>
    <row r="71" spans="1:6" s="2" customFormat="1" x14ac:dyDescent="0.25">
      <c r="A71" s="7" t="s">
        <v>2810</v>
      </c>
      <c r="B71" s="3">
        <v>1</v>
      </c>
      <c r="C71" s="3">
        <v>1950</v>
      </c>
      <c r="D71" s="2" t="s">
        <v>509</v>
      </c>
      <c r="E71" s="5" t="s">
        <v>2811</v>
      </c>
      <c r="F71" s="36" t="s">
        <v>2812</v>
      </c>
    </row>
    <row r="72" spans="1:6" s="2" customFormat="1" x14ac:dyDescent="0.25">
      <c r="A72" s="7" t="s">
        <v>3007</v>
      </c>
      <c r="B72" s="3">
        <v>4</v>
      </c>
      <c r="C72" s="3">
        <v>2147</v>
      </c>
      <c r="D72" s="2" t="s">
        <v>509</v>
      </c>
      <c r="E72" s="5" t="s">
        <v>3009</v>
      </c>
      <c r="F72" s="36" t="s">
        <v>2823</v>
      </c>
    </row>
    <row r="73" spans="1:6" s="2" customFormat="1" x14ac:dyDescent="0.25">
      <c r="A73" s="2" t="s">
        <v>3070</v>
      </c>
      <c r="B73" s="3">
        <v>10</v>
      </c>
      <c r="C73" s="3"/>
      <c r="D73" s="2" t="s">
        <v>3071</v>
      </c>
      <c r="E73" s="2" t="s">
        <v>3136</v>
      </c>
      <c r="F73" s="36" t="s">
        <v>2823</v>
      </c>
    </row>
    <row r="74" spans="1:6" s="2" customFormat="1" x14ac:dyDescent="0.25">
      <c r="A74" s="2" t="s">
        <v>1227</v>
      </c>
      <c r="B74" s="3">
        <v>8</v>
      </c>
      <c r="C74" s="3">
        <v>2021</v>
      </c>
      <c r="D74" s="2" t="s">
        <v>509</v>
      </c>
      <c r="E74" s="2" t="s">
        <v>1228</v>
      </c>
      <c r="F74" s="36"/>
    </row>
    <row r="75" spans="1:6" s="2" customFormat="1" x14ac:dyDescent="0.25">
      <c r="A75" s="2" t="s">
        <v>1091</v>
      </c>
      <c r="B75" s="6">
        <f>167+33-200</f>
        <v>0</v>
      </c>
      <c r="C75" s="3">
        <v>1951</v>
      </c>
      <c r="D75" s="2" t="s">
        <v>509</v>
      </c>
      <c r="E75" s="2" t="s">
        <v>1092</v>
      </c>
      <c r="F75" s="36"/>
    </row>
    <row r="76" spans="1:6" s="2" customFormat="1" x14ac:dyDescent="0.25">
      <c r="A76" s="2" t="s">
        <v>1229</v>
      </c>
      <c r="B76" s="3">
        <f>2-1</f>
        <v>1</v>
      </c>
      <c r="C76" s="3">
        <v>2105</v>
      </c>
      <c r="D76" s="2" t="s">
        <v>509</v>
      </c>
      <c r="E76" s="2" t="s">
        <v>1230</v>
      </c>
    </row>
    <row r="77" spans="1:6" s="2" customFormat="1" x14ac:dyDescent="0.25">
      <c r="A77" s="2" t="s">
        <v>1986</v>
      </c>
      <c r="B77" s="3">
        <v>5</v>
      </c>
      <c r="C77" s="3">
        <v>2207</v>
      </c>
      <c r="D77" s="2" t="s">
        <v>1987</v>
      </c>
      <c r="E77" s="2" t="s">
        <v>1989</v>
      </c>
      <c r="F77" s="36" t="s">
        <v>1988</v>
      </c>
    </row>
    <row r="78" spans="1:6" s="2" customFormat="1" x14ac:dyDescent="0.25">
      <c r="A78" s="7">
        <v>74279226101</v>
      </c>
      <c r="B78" s="6">
        <f>1-1</f>
        <v>0</v>
      </c>
      <c r="C78" s="3" t="s">
        <v>27</v>
      </c>
      <c r="D78" s="2" t="s">
        <v>884</v>
      </c>
      <c r="E78" s="2" t="s">
        <v>885</v>
      </c>
      <c r="F78" s="36" t="s">
        <v>886</v>
      </c>
    </row>
    <row r="79" spans="1:6" s="2" customFormat="1" x14ac:dyDescent="0.25">
      <c r="A79" s="5" t="s">
        <v>41</v>
      </c>
      <c r="B79" s="3">
        <v>3</v>
      </c>
      <c r="C79" s="3" t="s">
        <v>27</v>
      </c>
      <c r="D79" s="2" t="s">
        <v>18</v>
      </c>
      <c r="E79" s="2" t="s">
        <v>42</v>
      </c>
      <c r="F79" s="36" t="s">
        <v>43</v>
      </c>
    </row>
    <row r="80" spans="1:6" s="2" customFormat="1" x14ac:dyDescent="0.25">
      <c r="A80" s="5" t="s">
        <v>1420</v>
      </c>
      <c r="B80" s="3">
        <v>5</v>
      </c>
      <c r="C80" s="3">
        <v>2141</v>
      </c>
      <c r="D80" s="2" t="s">
        <v>1423</v>
      </c>
      <c r="E80" s="2" t="s">
        <v>1422</v>
      </c>
      <c r="F80" s="36" t="s">
        <v>1421</v>
      </c>
    </row>
    <row r="81" spans="1:6" s="2" customFormat="1" x14ac:dyDescent="0.25">
      <c r="A81" s="2" t="s">
        <v>29</v>
      </c>
      <c r="B81" s="3">
        <v>2</v>
      </c>
      <c r="C81" s="3" t="s">
        <v>27</v>
      </c>
      <c r="D81" s="2" t="s">
        <v>20</v>
      </c>
      <c r="E81" s="2" t="s">
        <v>30</v>
      </c>
      <c r="F81" s="36" t="s">
        <v>31</v>
      </c>
    </row>
    <row r="82" spans="1:6" s="2" customFormat="1" x14ac:dyDescent="0.25">
      <c r="A82" s="7" t="s">
        <v>1774</v>
      </c>
      <c r="B82" s="3">
        <v>4</v>
      </c>
      <c r="C82" s="3">
        <v>1851</v>
      </c>
      <c r="D82" s="2" t="s">
        <v>18</v>
      </c>
      <c r="E82" s="2" t="s">
        <v>1775</v>
      </c>
      <c r="F82" s="36" t="s">
        <v>1776</v>
      </c>
    </row>
    <row r="83" spans="1:6" s="2" customFormat="1" x14ac:dyDescent="0.25">
      <c r="A83" s="2" t="s">
        <v>211</v>
      </c>
      <c r="B83" s="3">
        <v>5</v>
      </c>
      <c r="C83" s="3" t="s">
        <v>27</v>
      </c>
      <c r="D83" s="2" t="s">
        <v>107</v>
      </c>
      <c r="E83" s="2" t="s">
        <v>1239</v>
      </c>
      <c r="F83" s="36" t="s">
        <v>212</v>
      </c>
    </row>
    <row r="84" spans="1:6" s="2" customFormat="1" x14ac:dyDescent="0.25">
      <c r="A84" s="2" t="s">
        <v>508</v>
      </c>
      <c r="B84" s="3">
        <v>11</v>
      </c>
      <c r="C84" s="3" t="s">
        <v>511</v>
      </c>
      <c r="D84" s="2" t="s">
        <v>509</v>
      </c>
      <c r="E84" s="2" t="s">
        <v>524</v>
      </c>
      <c r="F84" s="36" t="s">
        <v>510</v>
      </c>
    </row>
    <row r="85" spans="1:6" s="2" customFormat="1" ht="45" x14ac:dyDescent="0.25">
      <c r="A85" s="7" t="s">
        <v>2748</v>
      </c>
      <c r="B85" s="3">
        <v>2</v>
      </c>
      <c r="C85" s="3">
        <v>2120</v>
      </c>
      <c r="D85" s="5" t="s">
        <v>2744</v>
      </c>
      <c r="E85" s="2" t="s">
        <v>2747</v>
      </c>
      <c r="F85" s="36" t="s">
        <v>2749</v>
      </c>
    </row>
    <row r="86" spans="1:6" s="2" customFormat="1" ht="45" x14ac:dyDescent="0.25">
      <c r="A86" s="7" t="s">
        <v>2743</v>
      </c>
      <c r="B86" s="3">
        <f>2-1</f>
        <v>1</v>
      </c>
      <c r="C86" s="3">
        <v>2208</v>
      </c>
      <c r="D86" s="5" t="s">
        <v>2744</v>
      </c>
      <c r="E86" s="2" t="s">
        <v>2745</v>
      </c>
      <c r="F86" s="36" t="s">
        <v>2746</v>
      </c>
    </row>
    <row r="87" spans="1:6" s="2" customFormat="1" x14ac:dyDescent="0.25">
      <c r="A87" s="2" t="s">
        <v>1171</v>
      </c>
      <c r="B87" s="3">
        <v>2</v>
      </c>
      <c r="C87" s="3">
        <v>1830</v>
      </c>
      <c r="D87" s="2" t="s">
        <v>789</v>
      </c>
      <c r="E87" s="2" t="s">
        <v>1172</v>
      </c>
      <c r="F87" s="36" t="s">
        <v>1173</v>
      </c>
    </row>
    <row r="88" spans="1:6" s="2" customFormat="1" x14ac:dyDescent="0.25">
      <c r="A88" s="2" t="s">
        <v>3420</v>
      </c>
      <c r="B88" s="3">
        <v>3</v>
      </c>
      <c r="C88" s="3">
        <v>2402</v>
      </c>
      <c r="D88" s="2" t="s">
        <v>3421</v>
      </c>
      <c r="E88" s="2" t="s">
        <v>3422</v>
      </c>
      <c r="F88" s="36" t="s">
        <v>3423</v>
      </c>
    </row>
    <row r="89" spans="1:6" s="2" customFormat="1" x14ac:dyDescent="0.25">
      <c r="A89" s="2" t="s">
        <v>1978</v>
      </c>
      <c r="B89" s="3">
        <v>5</v>
      </c>
      <c r="C89" s="3">
        <v>2142</v>
      </c>
      <c r="D89" s="2" t="s">
        <v>789</v>
      </c>
      <c r="E89" s="2" t="s">
        <v>1979</v>
      </c>
      <c r="F89" s="36" t="s">
        <v>1980</v>
      </c>
    </row>
    <row r="90" spans="1:6" s="2" customFormat="1" x14ac:dyDescent="0.25">
      <c r="A90" s="2" t="s">
        <v>1978</v>
      </c>
      <c r="B90" s="3">
        <v>5</v>
      </c>
      <c r="C90" s="3">
        <v>1350</v>
      </c>
      <c r="D90" s="2" t="s">
        <v>789</v>
      </c>
      <c r="E90" s="2" t="s">
        <v>1979</v>
      </c>
      <c r="F90" s="36" t="s">
        <v>1980</v>
      </c>
    </row>
    <row r="91" spans="1:6" s="2" customFormat="1" ht="30" x14ac:dyDescent="0.25">
      <c r="A91" s="9" t="s">
        <v>1727</v>
      </c>
      <c r="B91" s="6">
        <f>4-2-2</f>
        <v>0</v>
      </c>
      <c r="C91" s="3">
        <v>2032</v>
      </c>
      <c r="D91" s="2" t="s">
        <v>1728</v>
      </c>
      <c r="E91" s="10" t="s">
        <v>1729</v>
      </c>
      <c r="F91" s="36" t="s">
        <v>1730</v>
      </c>
    </row>
    <row r="92" spans="1:6" s="2" customFormat="1" ht="60" x14ac:dyDescent="0.25">
      <c r="A92" s="2" t="s">
        <v>49</v>
      </c>
      <c r="B92" s="3">
        <v>4</v>
      </c>
      <c r="C92" s="3" t="s">
        <v>27</v>
      </c>
      <c r="D92" s="5" t="s">
        <v>50</v>
      </c>
      <c r="E92" s="5" t="s">
        <v>51</v>
      </c>
      <c r="F92" s="36" t="s">
        <v>52</v>
      </c>
    </row>
    <row r="93" spans="1:6" s="2" customFormat="1" x14ac:dyDescent="0.25">
      <c r="A93" s="2" t="s">
        <v>825</v>
      </c>
      <c r="B93" s="6">
        <f>1000-700-300</f>
        <v>0</v>
      </c>
      <c r="C93" s="3" t="s">
        <v>27</v>
      </c>
      <c r="D93" s="5" t="s">
        <v>827</v>
      </c>
      <c r="E93" s="5" t="s">
        <v>828</v>
      </c>
      <c r="F93" s="36" t="s">
        <v>826</v>
      </c>
    </row>
    <row r="94" spans="1:6" s="2" customFormat="1" x14ac:dyDescent="0.25">
      <c r="A94" s="5" t="s">
        <v>1203</v>
      </c>
      <c r="B94" s="6">
        <f>8-8</f>
        <v>0</v>
      </c>
      <c r="C94" s="3" t="s">
        <v>27</v>
      </c>
      <c r="D94" s="2" t="s">
        <v>187</v>
      </c>
      <c r="E94" s="5" t="s">
        <v>731</v>
      </c>
      <c r="F94" s="36" t="s">
        <v>732</v>
      </c>
    </row>
    <row r="95" spans="1:6" s="2" customFormat="1" x14ac:dyDescent="0.25">
      <c r="A95" s="5" t="s">
        <v>1204</v>
      </c>
      <c r="B95" s="3">
        <v>2</v>
      </c>
      <c r="C95" s="3" t="s">
        <v>27</v>
      </c>
      <c r="D95" s="2" t="s">
        <v>187</v>
      </c>
      <c r="E95" s="5" t="s">
        <v>1205</v>
      </c>
      <c r="F95" s="36"/>
    </row>
    <row r="96" spans="1:6" s="2" customFormat="1" x14ac:dyDescent="0.25">
      <c r="A96" s="5" t="s">
        <v>1202</v>
      </c>
      <c r="B96" s="3">
        <v>35</v>
      </c>
      <c r="C96" s="3" t="s">
        <v>27</v>
      </c>
      <c r="D96" s="2" t="s">
        <v>187</v>
      </c>
      <c r="E96" s="5" t="s">
        <v>1139</v>
      </c>
      <c r="F96" s="36"/>
    </row>
    <row r="97" spans="1:6" s="2" customFormat="1" x14ac:dyDescent="0.25">
      <c r="A97" s="5" t="s">
        <v>1198</v>
      </c>
      <c r="B97" s="3">
        <v>2</v>
      </c>
      <c r="C97" s="3" t="s">
        <v>27</v>
      </c>
      <c r="D97" s="2" t="s">
        <v>187</v>
      </c>
      <c r="E97" s="5" t="s">
        <v>1199</v>
      </c>
      <c r="F97" s="36"/>
    </row>
    <row r="98" spans="1:6" s="2" customFormat="1" x14ac:dyDescent="0.25">
      <c r="A98" s="5" t="s">
        <v>1200</v>
      </c>
      <c r="B98" s="3">
        <f>87-10</f>
        <v>77</v>
      </c>
      <c r="C98" s="3" t="s">
        <v>234</v>
      </c>
      <c r="D98" s="2" t="s">
        <v>187</v>
      </c>
      <c r="E98" s="5" t="s">
        <v>1235</v>
      </c>
      <c r="F98" s="36" t="s">
        <v>235</v>
      </c>
    </row>
    <row r="99" spans="1:6" s="2" customFormat="1" x14ac:dyDescent="0.25">
      <c r="A99" s="2" t="s">
        <v>2245</v>
      </c>
      <c r="B99" s="6">
        <f>25-25</f>
        <v>0</v>
      </c>
      <c r="C99" s="3">
        <v>2249</v>
      </c>
      <c r="D99" s="5" t="s">
        <v>2246</v>
      </c>
      <c r="E99" s="5" t="s">
        <v>2247</v>
      </c>
      <c r="F99" s="36" t="s">
        <v>2248</v>
      </c>
    </row>
    <row r="100" spans="1:6" s="2" customFormat="1" x14ac:dyDescent="0.25">
      <c r="A100" s="2" t="s">
        <v>2245</v>
      </c>
      <c r="B100" s="3">
        <v>1</v>
      </c>
      <c r="C100" s="3">
        <v>2249</v>
      </c>
      <c r="D100" s="5" t="s">
        <v>2246</v>
      </c>
      <c r="E100" s="5" t="s">
        <v>2247</v>
      </c>
      <c r="F100" s="36" t="s">
        <v>2248</v>
      </c>
    </row>
    <row r="101" spans="1:6" s="2" customFormat="1" x14ac:dyDescent="0.25">
      <c r="A101" s="5" t="s">
        <v>1201</v>
      </c>
      <c r="B101" s="6">
        <f>10-9-1</f>
        <v>0</v>
      </c>
      <c r="C101" s="3" t="s">
        <v>27</v>
      </c>
      <c r="D101" s="2" t="s">
        <v>187</v>
      </c>
      <c r="E101" s="5" t="s">
        <v>787</v>
      </c>
      <c r="F101" s="36" t="s">
        <v>786</v>
      </c>
    </row>
    <row r="102" spans="1:6" s="2" customFormat="1" x14ac:dyDescent="0.25">
      <c r="A102" s="11" t="s">
        <v>3336</v>
      </c>
      <c r="B102" s="3">
        <v>7</v>
      </c>
      <c r="C102" s="3">
        <v>2405</v>
      </c>
      <c r="D102" s="2" t="s">
        <v>1685</v>
      </c>
      <c r="E102" s="5" t="s">
        <v>3338</v>
      </c>
      <c r="F102" s="36" t="s">
        <v>3337</v>
      </c>
    </row>
    <row r="103" spans="1:6" s="2" customFormat="1" x14ac:dyDescent="0.25">
      <c r="A103" s="11" t="s">
        <v>3424</v>
      </c>
      <c r="B103" s="3">
        <v>2</v>
      </c>
      <c r="C103" s="3">
        <v>2233</v>
      </c>
      <c r="D103" s="2" t="s">
        <v>1685</v>
      </c>
      <c r="E103" s="5" t="s">
        <v>3425</v>
      </c>
      <c r="F103" s="36" t="s">
        <v>3426</v>
      </c>
    </row>
    <row r="104" spans="1:6" s="2" customFormat="1" ht="30" x14ac:dyDescent="0.25">
      <c r="A104" s="7" t="s">
        <v>2703</v>
      </c>
      <c r="B104" s="3">
        <f>14-5-4-2</f>
        <v>3</v>
      </c>
      <c r="C104" s="3">
        <v>2245</v>
      </c>
      <c r="D104" s="5" t="s">
        <v>2702</v>
      </c>
      <c r="E104" s="5" t="s">
        <v>2172</v>
      </c>
      <c r="F104" s="36" t="s">
        <v>2173</v>
      </c>
    </row>
    <row r="105" spans="1:6" s="2" customFormat="1" ht="30" x14ac:dyDescent="0.25">
      <c r="A105" s="7" t="s">
        <v>2703</v>
      </c>
      <c r="B105" s="3">
        <v>30</v>
      </c>
      <c r="C105" s="3">
        <v>2245</v>
      </c>
      <c r="D105" s="5" t="s">
        <v>2702</v>
      </c>
      <c r="E105" s="5" t="s">
        <v>2172</v>
      </c>
      <c r="F105" s="36" t="s">
        <v>2173</v>
      </c>
    </row>
    <row r="106" spans="1:6" s="2" customFormat="1" ht="30" x14ac:dyDescent="0.25">
      <c r="A106" s="7" t="s">
        <v>2704</v>
      </c>
      <c r="B106" s="3">
        <f>6-4</f>
        <v>2</v>
      </c>
      <c r="C106" s="3">
        <v>2203</v>
      </c>
      <c r="D106" s="5" t="s">
        <v>2702</v>
      </c>
      <c r="E106" s="5" t="s">
        <v>2174</v>
      </c>
      <c r="F106" s="36" t="s">
        <v>2173</v>
      </c>
    </row>
    <row r="107" spans="1:6" s="2" customFormat="1" ht="30" x14ac:dyDescent="0.25">
      <c r="A107" s="7" t="s">
        <v>2704</v>
      </c>
      <c r="B107" s="3">
        <v>10</v>
      </c>
      <c r="C107" s="3">
        <v>2321</v>
      </c>
      <c r="D107" s="5" t="s">
        <v>2702</v>
      </c>
      <c r="E107" s="5" t="s">
        <v>2174</v>
      </c>
      <c r="F107" s="36" t="s">
        <v>2173</v>
      </c>
    </row>
    <row r="108" spans="1:6" s="2" customFormat="1" ht="30" x14ac:dyDescent="0.25">
      <c r="A108" s="7" t="s">
        <v>2705</v>
      </c>
      <c r="B108" s="6">
        <f>10-10</f>
        <v>0</v>
      </c>
      <c r="C108" s="3">
        <v>2309</v>
      </c>
      <c r="D108" s="5" t="s">
        <v>2702</v>
      </c>
      <c r="E108" s="5" t="s">
        <v>2174</v>
      </c>
      <c r="F108" s="36" t="s">
        <v>2173</v>
      </c>
    </row>
    <row r="109" spans="1:6" s="2" customFormat="1" ht="30" x14ac:dyDescent="0.25">
      <c r="A109" s="7" t="s">
        <v>2715</v>
      </c>
      <c r="B109" s="3">
        <v>3</v>
      </c>
      <c r="C109" s="3">
        <v>2151</v>
      </c>
      <c r="D109" s="5" t="s">
        <v>2702</v>
      </c>
      <c r="E109" s="5" t="s">
        <v>2716</v>
      </c>
      <c r="F109" s="36" t="s">
        <v>2173</v>
      </c>
    </row>
    <row r="110" spans="1:6" s="2" customFormat="1" ht="30" x14ac:dyDescent="0.25">
      <c r="A110" s="7" t="s">
        <v>2715</v>
      </c>
      <c r="B110" s="3">
        <v>10</v>
      </c>
      <c r="C110" s="3">
        <v>2314</v>
      </c>
      <c r="D110" s="5" t="s">
        <v>2702</v>
      </c>
      <c r="E110" s="5" t="s">
        <v>2716</v>
      </c>
      <c r="F110" s="36" t="s">
        <v>2173</v>
      </c>
    </row>
    <row r="111" spans="1:6" s="2" customFormat="1" ht="30" x14ac:dyDescent="0.25">
      <c r="A111" s="7" t="s">
        <v>2717</v>
      </c>
      <c r="B111" s="3">
        <v>3</v>
      </c>
      <c r="C111" s="3">
        <v>2142</v>
      </c>
      <c r="D111" s="5" t="s">
        <v>2702</v>
      </c>
      <c r="E111" s="5" t="s">
        <v>2718</v>
      </c>
      <c r="F111" s="36" t="s">
        <v>2173</v>
      </c>
    </row>
    <row r="112" spans="1:6" s="2" customFormat="1" x14ac:dyDescent="0.25">
      <c r="A112" s="11" t="s">
        <v>3154</v>
      </c>
      <c r="B112" s="3">
        <v>60</v>
      </c>
      <c r="C112" s="3">
        <v>2350</v>
      </c>
      <c r="D112" s="2" t="s">
        <v>1685</v>
      </c>
      <c r="E112" s="5" t="s">
        <v>3152</v>
      </c>
      <c r="F112" s="36" t="s">
        <v>3153</v>
      </c>
    </row>
    <row r="113" spans="1:6" s="2" customFormat="1" ht="30" x14ac:dyDescent="0.25">
      <c r="A113" s="8" t="s">
        <v>2650</v>
      </c>
      <c r="B113" s="3">
        <f>40-1-1-1-3</f>
        <v>34</v>
      </c>
      <c r="C113" s="3">
        <v>2248</v>
      </c>
      <c r="D113" s="2" t="s">
        <v>898</v>
      </c>
      <c r="E113" s="5" t="s">
        <v>2651</v>
      </c>
      <c r="F113" s="36" t="s">
        <v>2652</v>
      </c>
    </row>
    <row r="114" spans="1:6" s="2" customFormat="1" x14ac:dyDescent="0.25">
      <c r="A114" s="8" t="s">
        <v>3681</v>
      </c>
      <c r="B114" s="3">
        <v>1</v>
      </c>
      <c r="C114" s="3">
        <v>2112</v>
      </c>
      <c r="D114" s="2" t="s">
        <v>898</v>
      </c>
      <c r="E114" s="5" t="s">
        <v>3682</v>
      </c>
      <c r="F114" s="36" t="s">
        <v>3683</v>
      </c>
    </row>
    <row r="115" spans="1:6" s="2" customFormat="1" x14ac:dyDescent="0.25">
      <c r="A115" s="8" t="s">
        <v>3583</v>
      </c>
      <c r="B115" s="3">
        <v>100</v>
      </c>
      <c r="C115" s="3">
        <v>21430</v>
      </c>
      <c r="D115" s="2" t="s">
        <v>898</v>
      </c>
      <c r="E115" s="5" t="s">
        <v>3584</v>
      </c>
      <c r="F115" s="36" t="s">
        <v>3585</v>
      </c>
    </row>
    <row r="116" spans="1:6" s="2" customFormat="1" x14ac:dyDescent="0.25">
      <c r="A116" s="11" t="s">
        <v>901</v>
      </c>
      <c r="B116" s="3">
        <v>2</v>
      </c>
      <c r="C116" s="3" t="s">
        <v>27</v>
      </c>
      <c r="D116" s="2" t="s">
        <v>898</v>
      </c>
      <c r="E116" s="5" t="s">
        <v>900</v>
      </c>
      <c r="F116" s="36" t="s">
        <v>899</v>
      </c>
    </row>
    <row r="117" spans="1:6" s="2" customFormat="1" x14ac:dyDescent="0.25">
      <c r="A117" s="11" t="s">
        <v>3710</v>
      </c>
      <c r="B117" s="3">
        <v>4</v>
      </c>
      <c r="C117" s="3">
        <v>2248</v>
      </c>
      <c r="D117" s="2" t="s">
        <v>898</v>
      </c>
      <c r="E117" s="5" t="s">
        <v>3711</v>
      </c>
      <c r="F117" s="36" t="s">
        <v>3712</v>
      </c>
    </row>
    <row r="118" spans="1:6" s="2" customFormat="1" x14ac:dyDescent="0.25">
      <c r="A118" s="11" t="s">
        <v>909</v>
      </c>
      <c r="B118" s="3">
        <v>7</v>
      </c>
      <c r="C118" s="3" t="s">
        <v>27</v>
      </c>
      <c r="D118" s="2" t="s">
        <v>898</v>
      </c>
      <c r="E118" s="5" t="s">
        <v>910</v>
      </c>
      <c r="F118" s="36" t="s">
        <v>911</v>
      </c>
    </row>
    <row r="119" spans="1:6" s="2" customFormat="1" x14ac:dyDescent="0.25">
      <c r="A119" s="11" t="s">
        <v>3155</v>
      </c>
      <c r="B119" s="3">
        <v>5</v>
      </c>
      <c r="C119" s="3">
        <v>1244</v>
      </c>
      <c r="D119" s="2" t="s">
        <v>1685</v>
      </c>
      <c r="E119" s="5" t="s">
        <v>1684</v>
      </c>
      <c r="F119" s="36" t="s">
        <v>1686</v>
      </c>
    </row>
    <row r="120" spans="1:6" s="2" customFormat="1" x14ac:dyDescent="0.25">
      <c r="A120" s="11" t="s">
        <v>3416</v>
      </c>
      <c r="B120" s="3">
        <v>15</v>
      </c>
      <c r="C120" s="3" t="s">
        <v>3417</v>
      </c>
      <c r="D120" s="2" t="s">
        <v>1685</v>
      </c>
      <c r="E120" s="5" t="s">
        <v>3418</v>
      </c>
      <c r="F120" s="36" t="s">
        <v>3419</v>
      </c>
    </row>
    <row r="121" spans="1:6" s="2" customFormat="1" ht="30" x14ac:dyDescent="0.25">
      <c r="A121" s="12" t="s">
        <v>2329</v>
      </c>
      <c r="B121" s="3">
        <v>2</v>
      </c>
      <c r="C121" s="3">
        <v>2010</v>
      </c>
      <c r="D121" s="2" t="s">
        <v>789</v>
      </c>
      <c r="E121" s="5" t="s">
        <v>2331</v>
      </c>
      <c r="F121" s="36" t="s">
        <v>2332</v>
      </c>
    </row>
    <row r="122" spans="1:6" s="2" customFormat="1" ht="45" x14ac:dyDescent="0.25">
      <c r="A122" s="12" t="s">
        <v>1783</v>
      </c>
      <c r="B122" s="3">
        <v>5</v>
      </c>
      <c r="C122" s="3">
        <v>2142</v>
      </c>
      <c r="D122" s="5" t="s">
        <v>1784</v>
      </c>
      <c r="E122" s="5"/>
      <c r="F122" s="36" t="s">
        <v>1785</v>
      </c>
    </row>
    <row r="123" spans="1:6" s="2" customFormat="1" x14ac:dyDescent="0.25">
      <c r="A123" s="2" t="s">
        <v>1186</v>
      </c>
      <c r="B123" s="3">
        <v>5</v>
      </c>
      <c r="C123" s="3">
        <v>2049</v>
      </c>
      <c r="E123" s="2" t="s">
        <v>1185</v>
      </c>
      <c r="F123" s="36"/>
    </row>
    <row r="124" spans="1:6" s="2" customFormat="1" x14ac:dyDescent="0.25">
      <c r="A124" s="2" t="s">
        <v>3167</v>
      </c>
      <c r="B124" s="3">
        <v>9</v>
      </c>
      <c r="C124" s="3">
        <v>2324</v>
      </c>
      <c r="D124" s="2" t="s">
        <v>509</v>
      </c>
      <c r="E124" s="2" t="s">
        <v>3168</v>
      </c>
      <c r="F124" s="36" t="s">
        <v>2817</v>
      </c>
    </row>
    <row r="125" spans="1:6" s="2" customFormat="1" x14ac:dyDescent="0.25">
      <c r="A125" s="2" t="s">
        <v>2815</v>
      </c>
      <c r="B125" s="3">
        <v>2</v>
      </c>
      <c r="C125" s="3">
        <v>2150</v>
      </c>
      <c r="D125" s="2" t="s">
        <v>509</v>
      </c>
      <c r="E125" s="2" t="s">
        <v>2816</v>
      </c>
      <c r="F125" s="36" t="s">
        <v>2817</v>
      </c>
    </row>
    <row r="126" spans="1:6" s="2" customFormat="1" x14ac:dyDescent="0.25">
      <c r="A126" s="11" t="s">
        <v>1192</v>
      </c>
      <c r="B126" s="3">
        <v>100</v>
      </c>
      <c r="C126" s="3">
        <v>1938</v>
      </c>
      <c r="D126" s="2" t="s">
        <v>744</v>
      </c>
      <c r="E126" s="5" t="s">
        <v>1193</v>
      </c>
      <c r="F126" s="36"/>
    </row>
    <row r="127" spans="1:6" s="2" customFormat="1" ht="30" x14ac:dyDescent="0.25">
      <c r="A127" s="5" t="s">
        <v>3577</v>
      </c>
      <c r="B127" s="3">
        <v>2</v>
      </c>
      <c r="C127" s="3">
        <v>2411</v>
      </c>
      <c r="D127" s="5" t="s">
        <v>213</v>
      </c>
      <c r="E127" s="5" t="s">
        <v>3578</v>
      </c>
      <c r="F127" s="36"/>
    </row>
    <row r="128" spans="1:6" s="2" customFormat="1" x14ac:dyDescent="0.25">
      <c r="A128" s="5" t="s">
        <v>3083</v>
      </c>
      <c r="B128" s="6">
        <f>7-7</f>
        <v>0</v>
      </c>
      <c r="C128" s="3">
        <v>1822</v>
      </c>
      <c r="D128" s="2" t="s">
        <v>70</v>
      </c>
      <c r="E128" s="5"/>
      <c r="F128" s="36"/>
    </row>
    <row r="129" spans="1:6" s="2" customFormat="1" x14ac:dyDescent="0.25">
      <c r="A129" s="5" t="s">
        <v>1067</v>
      </c>
      <c r="B129" s="3">
        <f>22-7-4</f>
        <v>11</v>
      </c>
      <c r="C129" s="3">
        <v>2402</v>
      </c>
      <c r="D129" s="2" t="s">
        <v>70</v>
      </c>
      <c r="E129" s="5" t="s">
        <v>1068</v>
      </c>
      <c r="F129" s="36" t="s">
        <v>2696</v>
      </c>
    </row>
    <row r="130" spans="1:6" s="2" customFormat="1" x14ac:dyDescent="0.25">
      <c r="A130" s="5" t="s">
        <v>1067</v>
      </c>
      <c r="B130" s="3">
        <f>296-96</f>
        <v>200</v>
      </c>
      <c r="C130" s="3">
        <v>2408</v>
      </c>
      <c r="D130" s="2" t="s">
        <v>70</v>
      </c>
      <c r="E130" s="5" t="s">
        <v>1068</v>
      </c>
      <c r="F130" s="36" t="s">
        <v>2696</v>
      </c>
    </row>
    <row r="131" spans="1:6" s="2" customFormat="1" x14ac:dyDescent="0.25">
      <c r="A131" s="5" t="s">
        <v>1899</v>
      </c>
      <c r="B131" s="3">
        <v>190</v>
      </c>
      <c r="C131" s="3">
        <v>2134</v>
      </c>
      <c r="D131" s="2" t="s">
        <v>70</v>
      </c>
      <c r="E131" s="5" t="s">
        <v>1900</v>
      </c>
      <c r="F131" s="36" t="s">
        <v>1901</v>
      </c>
    </row>
    <row r="132" spans="1:6" s="2" customFormat="1" x14ac:dyDescent="0.25">
      <c r="A132" s="5" t="s">
        <v>2094</v>
      </c>
      <c r="B132" s="3">
        <v>5</v>
      </c>
      <c r="C132" s="3" t="s">
        <v>3109</v>
      </c>
      <c r="D132" s="2" t="s">
        <v>70</v>
      </c>
      <c r="E132" s="5" t="s">
        <v>2095</v>
      </c>
      <c r="F132" s="36" t="s">
        <v>2096</v>
      </c>
    </row>
    <row r="133" spans="1:6" s="2" customFormat="1" x14ac:dyDescent="0.25">
      <c r="A133" s="5" t="s">
        <v>3487</v>
      </c>
      <c r="B133" s="3">
        <f>8-2</f>
        <v>6</v>
      </c>
      <c r="C133" s="3">
        <v>2131</v>
      </c>
      <c r="D133" s="2" t="s">
        <v>70</v>
      </c>
      <c r="E133" s="5" t="s">
        <v>3488</v>
      </c>
      <c r="F133" s="36" t="s">
        <v>3489</v>
      </c>
    </row>
    <row r="134" spans="1:6" s="2" customFormat="1" x14ac:dyDescent="0.25">
      <c r="A134" s="5" t="s">
        <v>3386</v>
      </c>
      <c r="B134" s="6">
        <v>26</v>
      </c>
      <c r="C134" s="3" t="s">
        <v>3387</v>
      </c>
      <c r="D134" s="2" t="s">
        <v>70</v>
      </c>
      <c r="E134" s="5" t="s">
        <v>3388</v>
      </c>
      <c r="F134" s="36" t="s">
        <v>3389</v>
      </c>
    </row>
    <row r="135" spans="1:6" s="2" customFormat="1" x14ac:dyDescent="0.25">
      <c r="A135" s="5" t="s">
        <v>3430</v>
      </c>
      <c r="B135" s="3">
        <v>4</v>
      </c>
      <c r="C135" s="3">
        <v>2328</v>
      </c>
      <c r="D135" s="2" t="s">
        <v>70</v>
      </c>
      <c r="E135" s="5" t="s">
        <v>3431</v>
      </c>
      <c r="F135" s="36" t="s">
        <v>3389</v>
      </c>
    </row>
    <row r="136" spans="1:6" s="2" customFormat="1" x14ac:dyDescent="0.25">
      <c r="A136" s="5" t="s">
        <v>3430</v>
      </c>
      <c r="B136" s="3">
        <v>28</v>
      </c>
      <c r="C136" s="3">
        <v>2328</v>
      </c>
      <c r="D136" s="2" t="s">
        <v>70</v>
      </c>
      <c r="E136" s="5" t="s">
        <v>3431</v>
      </c>
      <c r="F136" s="36" t="s">
        <v>3389</v>
      </c>
    </row>
    <row r="137" spans="1:6" s="2" customFormat="1" x14ac:dyDescent="0.25">
      <c r="A137" s="5" t="s">
        <v>3278</v>
      </c>
      <c r="B137" s="3">
        <v>25</v>
      </c>
      <c r="C137" s="3">
        <v>2426</v>
      </c>
      <c r="D137" s="2" t="s">
        <v>70</v>
      </c>
      <c r="E137" s="5" t="s">
        <v>3279</v>
      </c>
      <c r="F137" s="36" t="s">
        <v>3280</v>
      </c>
    </row>
    <row r="138" spans="1:6" s="2" customFormat="1" x14ac:dyDescent="0.25">
      <c r="A138" s="5" t="s">
        <v>1831</v>
      </c>
      <c r="B138" s="6">
        <f>6200-6200</f>
        <v>0</v>
      </c>
      <c r="C138" s="3">
        <v>2125</v>
      </c>
      <c r="D138" s="2" t="s">
        <v>70</v>
      </c>
      <c r="E138" s="5" t="s">
        <v>1832</v>
      </c>
      <c r="F138" s="36" t="s">
        <v>1833</v>
      </c>
    </row>
    <row r="139" spans="1:6" s="2" customFormat="1" x14ac:dyDescent="0.25">
      <c r="A139" s="5" t="s">
        <v>1652</v>
      </c>
      <c r="B139" s="3">
        <f>37-1-28-2</f>
        <v>6</v>
      </c>
      <c r="C139" s="3">
        <v>2231</v>
      </c>
      <c r="D139" s="2" t="s">
        <v>70</v>
      </c>
      <c r="E139" s="5" t="s">
        <v>1653</v>
      </c>
      <c r="F139" s="36" t="s">
        <v>1654</v>
      </c>
    </row>
    <row r="140" spans="1:6" s="2" customFormat="1" x14ac:dyDescent="0.25">
      <c r="A140" s="5" t="s">
        <v>1652</v>
      </c>
      <c r="B140" s="3">
        <f>16-3-1-2-4</f>
        <v>6</v>
      </c>
      <c r="C140" s="3">
        <v>2231</v>
      </c>
      <c r="D140" s="2" t="s">
        <v>70</v>
      </c>
      <c r="E140" s="5" t="s">
        <v>1653</v>
      </c>
      <c r="F140" s="36" t="s">
        <v>1654</v>
      </c>
    </row>
    <row r="141" spans="1:6" s="2" customFormat="1" x14ac:dyDescent="0.25">
      <c r="A141" s="5" t="s">
        <v>1652</v>
      </c>
      <c r="B141" s="3">
        <v>200</v>
      </c>
      <c r="C141" s="3">
        <v>2237</v>
      </c>
      <c r="D141" s="2" t="s">
        <v>70</v>
      </c>
      <c r="E141" s="5" t="s">
        <v>1653</v>
      </c>
      <c r="F141" s="36" t="s">
        <v>1654</v>
      </c>
    </row>
    <row r="142" spans="1:6" s="2" customFormat="1" x14ac:dyDescent="0.25">
      <c r="A142" s="5" t="s">
        <v>1834</v>
      </c>
      <c r="B142" s="3">
        <v>2</v>
      </c>
      <c r="C142" s="3">
        <v>1649</v>
      </c>
      <c r="D142" s="2" t="s">
        <v>70</v>
      </c>
      <c r="E142" s="5" t="s">
        <v>1835</v>
      </c>
      <c r="F142" s="36" t="s">
        <v>1836</v>
      </c>
    </row>
    <row r="143" spans="1:6" s="2" customFormat="1" x14ac:dyDescent="0.25">
      <c r="A143" s="5" t="s">
        <v>1834</v>
      </c>
      <c r="B143" s="3">
        <f>64-50</f>
        <v>14</v>
      </c>
      <c r="C143" s="3">
        <v>1649</v>
      </c>
      <c r="D143" s="2" t="s">
        <v>70</v>
      </c>
      <c r="E143" s="5" t="s">
        <v>1835</v>
      </c>
      <c r="F143" s="36" t="s">
        <v>1836</v>
      </c>
    </row>
    <row r="144" spans="1:6" s="2" customFormat="1" x14ac:dyDescent="0.25">
      <c r="A144" s="5" t="s">
        <v>1834</v>
      </c>
      <c r="B144" s="6">
        <f>243</f>
        <v>243</v>
      </c>
      <c r="C144" s="3">
        <v>2019</v>
      </c>
      <c r="D144" s="2" t="s">
        <v>70</v>
      </c>
      <c r="E144" s="5" t="s">
        <v>1835</v>
      </c>
      <c r="F144" s="36" t="s">
        <v>1836</v>
      </c>
    </row>
    <row r="145" spans="1:6" s="2" customFormat="1" x14ac:dyDescent="0.25">
      <c r="A145" s="5" t="s">
        <v>1168</v>
      </c>
      <c r="B145" s="3">
        <v>3</v>
      </c>
      <c r="C145" s="3">
        <v>1742</v>
      </c>
      <c r="D145" s="2" t="s">
        <v>70</v>
      </c>
      <c r="E145" s="5" t="s">
        <v>1169</v>
      </c>
      <c r="F145" s="36"/>
    </row>
    <row r="146" spans="1:6" s="2" customFormat="1" x14ac:dyDescent="0.25">
      <c r="A146" s="5" t="s">
        <v>3359</v>
      </c>
      <c r="B146" s="3">
        <f>20-5</f>
        <v>15</v>
      </c>
      <c r="C146" s="3">
        <v>1632</v>
      </c>
      <c r="D146" s="2" t="s">
        <v>70</v>
      </c>
      <c r="E146" s="5" t="s">
        <v>3360</v>
      </c>
      <c r="F146" s="36" t="s">
        <v>3361</v>
      </c>
    </row>
    <row r="147" spans="1:6" s="2" customFormat="1" x14ac:dyDescent="0.25">
      <c r="A147" s="5" t="s">
        <v>3444</v>
      </c>
      <c r="B147" s="3">
        <v>264</v>
      </c>
      <c r="C147" s="3">
        <v>2206</v>
      </c>
      <c r="D147" s="2" t="s">
        <v>70</v>
      </c>
      <c r="E147" s="5" t="s">
        <v>3445</v>
      </c>
      <c r="F147" s="36" t="s">
        <v>3446</v>
      </c>
    </row>
    <row r="148" spans="1:6" s="2" customFormat="1" x14ac:dyDescent="0.25">
      <c r="A148" s="5" t="s">
        <v>1798</v>
      </c>
      <c r="B148" s="3">
        <v>2</v>
      </c>
      <c r="C148" s="3"/>
      <c r="D148" s="2" t="s">
        <v>70</v>
      </c>
      <c r="E148" s="5" t="s">
        <v>1799</v>
      </c>
      <c r="F148" s="36" t="s">
        <v>1800</v>
      </c>
    </row>
    <row r="149" spans="1:6" s="2" customFormat="1" x14ac:dyDescent="0.25">
      <c r="A149" s="5" t="s">
        <v>2775</v>
      </c>
      <c r="B149" s="3">
        <v>4</v>
      </c>
      <c r="C149" s="3">
        <v>2128</v>
      </c>
      <c r="D149" s="2" t="s">
        <v>70</v>
      </c>
      <c r="E149" s="5" t="s">
        <v>2776</v>
      </c>
      <c r="F149" s="36" t="s">
        <v>2777</v>
      </c>
    </row>
    <row r="150" spans="1:6" s="2" customFormat="1" ht="30" x14ac:dyDescent="0.25">
      <c r="A150" s="5" t="s">
        <v>3674</v>
      </c>
      <c r="B150" s="3">
        <f>11-5</f>
        <v>6</v>
      </c>
      <c r="C150" s="3" t="s">
        <v>3675</v>
      </c>
      <c r="D150" s="2" t="s">
        <v>3589</v>
      </c>
      <c r="E150" s="5" t="s">
        <v>3676</v>
      </c>
      <c r="F150" s="36" t="s">
        <v>3677</v>
      </c>
    </row>
    <row r="151" spans="1:6" s="2" customFormat="1" ht="30" x14ac:dyDescent="0.25">
      <c r="A151" s="5" t="s">
        <v>3226</v>
      </c>
      <c r="B151" s="3">
        <f>84-84</f>
        <v>0</v>
      </c>
      <c r="C151" s="3">
        <v>2111</v>
      </c>
      <c r="D151" s="2" t="s">
        <v>70</v>
      </c>
      <c r="E151" s="5" t="s">
        <v>3227</v>
      </c>
      <c r="F151" s="36" t="s">
        <v>3228</v>
      </c>
    </row>
    <row r="152" spans="1:6" s="2" customFormat="1" x14ac:dyDescent="0.25">
      <c r="A152" s="5" t="s">
        <v>404</v>
      </c>
      <c r="B152" s="3">
        <f>102-80</f>
        <v>22</v>
      </c>
      <c r="C152" s="3" t="s">
        <v>405</v>
      </c>
      <c r="D152" s="2" t="s">
        <v>70</v>
      </c>
      <c r="E152" s="5" t="s">
        <v>407</v>
      </c>
      <c r="F152" s="36" t="s">
        <v>406</v>
      </c>
    </row>
    <row r="153" spans="1:6" s="2" customFormat="1" x14ac:dyDescent="0.25">
      <c r="A153" s="5" t="s">
        <v>1366</v>
      </c>
      <c r="B153" s="6">
        <f>100-100</f>
        <v>0</v>
      </c>
      <c r="C153" s="3"/>
      <c r="D153" s="2" t="s">
        <v>70</v>
      </c>
      <c r="E153" s="5" t="s">
        <v>1367</v>
      </c>
      <c r="F153" s="36"/>
    </row>
    <row r="154" spans="1:6" s="2" customFormat="1" x14ac:dyDescent="0.25">
      <c r="A154" s="2" t="s">
        <v>1189</v>
      </c>
      <c r="B154" s="3">
        <f>25+5</f>
        <v>30</v>
      </c>
      <c r="C154" s="3">
        <v>1804</v>
      </c>
      <c r="D154" s="2" t="s">
        <v>1191</v>
      </c>
      <c r="E154" s="5" t="s">
        <v>1190</v>
      </c>
      <c r="F154" s="36"/>
    </row>
    <row r="155" spans="1:6" s="2" customFormat="1" x14ac:dyDescent="0.25">
      <c r="A155" s="5" t="s">
        <v>1165</v>
      </c>
      <c r="B155" s="3">
        <v>10</v>
      </c>
      <c r="C155" s="3">
        <v>1910</v>
      </c>
      <c r="D155" s="2" t="s">
        <v>208</v>
      </c>
      <c r="E155" s="5" t="s">
        <v>1166</v>
      </c>
      <c r="F155" s="36" t="s">
        <v>1167</v>
      </c>
    </row>
    <row r="156" spans="1:6" s="2" customFormat="1" x14ac:dyDescent="0.25">
      <c r="A156" s="2" t="s">
        <v>96</v>
      </c>
      <c r="B156" s="3">
        <f>360-17</f>
        <v>343</v>
      </c>
      <c r="C156" s="4" t="s">
        <v>97</v>
      </c>
      <c r="D156" s="2" t="s">
        <v>70</v>
      </c>
      <c r="E156" s="2" t="s">
        <v>98</v>
      </c>
      <c r="F156" s="36" t="s">
        <v>99</v>
      </c>
    </row>
    <row r="157" spans="1:6" s="2" customFormat="1" x14ac:dyDescent="0.25">
      <c r="A157" s="2" t="s">
        <v>3705</v>
      </c>
      <c r="B157" s="3">
        <v>1</v>
      </c>
      <c r="C157" s="4" t="s">
        <v>3706</v>
      </c>
      <c r="D157" s="2" t="s">
        <v>70</v>
      </c>
      <c r="E157" s="2" t="s">
        <v>3707</v>
      </c>
      <c r="F157" s="36" t="s">
        <v>3708</v>
      </c>
    </row>
    <row r="158" spans="1:6" s="2" customFormat="1" x14ac:dyDescent="0.25">
      <c r="A158" s="2" t="s">
        <v>2097</v>
      </c>
      <c r="B158" s="3">
        <v>20</v>
      </c>
      <c r="C158" s="4" t="s">
        <v>2098</v>
      </c>
      <c r="D158" s="2" t="s">
        <v>37</v>
      </c>
      <c r="E158" s="2" t="s">
        <v>2102</v>
      </c>
      <c r="F158" s="36" t="s">
        <v>2099</v>
      </c>
    </row>
    <row r="159" spans="1:6" s="2" customFormat="1" x14ac:dyDescent="0.25">
      <c r="A159" s="2" t="s">
        <v>36</v>
      </c>
      <c r="B159" s="3">
        <v>6</v>
      </c>
      <c r="C159" s="3">
        <v>1030</v>
      </c>
      <c r="D159" s="2" t="s">
        <v>37</v>
      </c>
      <c r="E159" s="2" t="s">
        <v>38</v>
      </c>
      <c r="F159" s="36" t="s">
        <v>35</v>
      </c>
    </row>
    <row r="160" spans="1:6" s="2" customFormat="1" x14ac:dyDescent="0.25">
      <c r="A160" s="5" t="s">
        <v>65</v>
      </c>
      <c r="B160" s="3">
        <v>1</v>
      </c>
      <c r="C160" s="3">
        <v>2014</v>
      </c>
      <c r="D160" s="5" t="s">
        <v>70</v>
      </c>
      <c r="E160" s="2" t="s">
        <v>67</v>
      </c>
      <c r="F160" s="36" t="s">
        <v>68</v>
      </c>
    </row>
    <row r="161" spans="1:6" s="2" customFormat="1" x14ac:dyDescent="0.25">
      <c r="A161" s="5" t="s">
        <v>1404</v>
      </c>
      <c r="B161" s="3">
        <f>150-18</f>
        <v>132</v>
      </c>
      <c r="C161" s="3">
        <v>2022</v>
      </c>
      <c r="D161" s="5" t="s">
        <v>70</v>
      </c>
      <c r="E161" s="2" t="s">
        <v>1406</v>
      </c>
      <c r="F161" s="36" t="s">
        <v>1405</v>
      </c>
    </row>
    <row r="162" spans="1:6" s="2" customFormat="1" x14ac:dyDescent="0.25">
      <c r="A162" s="5" t="s">
        <v>1792</v>
      </c>
      <c r="B162" s="3">
        <v>1</v>
      </c>
      <c r="C162" s="3">
        <v>2220</v>
      </c>
      <c r="D162" s="5" t="s">
        <v>1000</v>
      </c>
      <c r="E162" s="2" t="s">
        <v>1001</v>
      </c>
      <c r="F162" s="36" t="s">
        <v>1002</v>
      </c>
    </row>
    <row r="163" spans="1:6" s="2" customFormat="1" x14ac:dyDescent="0.25">
      <c r="A163" s="5" t="s">
        <v>1792</v>
      </c>
      <c r="B163" s="3">
        <v>20</v>
      </c>
      <c r="C163" s="3">
        <v>2210</v>
      </c>
      <c r="D163" s="5" t="s">
        <v>1000</v>
      </c>
      <c r="E163" s="2" t="s">
        <v>1001</v>
      </c>
      <c r="F163" s="36" t="s">
        <v>1002</v>
      </c>
    </row>
    <row r="164" spans="1:6" s="2" customFormat="1" x14ac:dyDescent="0.25">
      <c r="A164" s="5" t="s">
        <v>1257</v>
      </c>
      <c r="B164" s="6">
        <v>3</v>
      </c>
      <c r="C164" s="3">
        <v>2015</v>
      </c>
      <c r="D164" s="5" t="s">
        <v>1000</v>
      </c>
      <c r="E164" s="2" t="s">
        <v>1001</v>
      </c>
      <c r="F164" s="36" t="s">
        <v>1002</v>
      </c>
    </row>
    <row r="165" spans="1:6" s="2" customFormat="1" x14ac:dyDescent="0.25">
      <c r="A165" s="5" t="s">
        <v>1257</v>
      </c>
      <c r="B165" s="6">
        <v>2</v>
      </c>
      <c r="C165" s="3">
        <v>2035</v>
      </c>
      <c r="D165" s="5" t="s">
        <v>1000</v>
      </c>
      <c r="E165" s="2" t="s">
        <v>1001</v>
      </c>
      <c r="F165" s="36" t="s">
        <v>1002</v>
      </c>
    </row>
    <row r="166" spans="1:6" s="2" customFormat="1" x14ac:dyDescent="0.25">
      <c r="A166" s="5" t="s">
        <v>1257</v>
      </c>
      <c r="B166" s="6">
        <v>7</v>
      </c>
      <c r="C166" s="3">
        <v>2035</v>
      </c>
      <c r="D166" s="5" t="s">
        <v>1000</v>
      </c>
      <c r="E166" s="2" t="s">
        <v>1001</v>
      </c>
      <c r="F166" s="36" t="s">
        <v>1002</v>
      </c>
    </row>
    <row r="167" spans="1:6" s="2" customFormat="1" x14ac:dyDescent="0.25">
      <c r="A167" s="5" t="s">
        <v>1257</v>
      </c>
      <c r="B167" s="6">
        <f>51-8-5</f>
        <v>38</v>
      </c>
      <c r="C167" s="3">
        <v>2210</v>
      </c>
      <c r="D167" s="5" t="s">
        <v>1000</v>
      </c>
      <c r="E167" s="2" t="s">
        <v>1001</v>
      </c>
      <c r="F167" s="36" t="s">
        <v>1002</v>
      </c>
    </row>
    <row r="168" spans="1:6" s="2" customFormat="1" x14ac:dyDescent="0.25">
      <c r="A168" s="5" t="s">
        <v>1257</v>
      </c>
      <c r="B168" s="6">
        <v>8</v>
      </c>
      <c r="C168" s="3">
        <v>2210</v>
      </c>
      <c r="D168" s="5" t="s">
        <v>1000</v>
      </c>
      <c r="E168" s="2" t="s">
        <v>1001</v>
      </c>
      <c r="F168" s="36" t="s">
        <v>1002</v>
      </c>
    </row>
    <row r="169" spans="1:6" s="2" customFormat="1" ht="55.9" customHeight="1" x14ac:dyDescent="0.25">
      <c r="A169" s="5" t="s">
        <v>1257</v>
      </c>
      <c r="B169" s="6">
        <v>4</v>
      </c>
      <c r="C169" s="3" t="s">
        <v>3618</v>
      </c>
      <c r="D169" s="5" t="s">
        <v>1000</v>
      </c>
      <c r="E169" s="2" t="s">
        <v>1001</v>
      </c>
      <c r="F169" s="36" t="s">
        <v>1002</v>
      </c>
    </row>
    <row r="170" spans="1:6" s="2" customFormat="1" x14ac:dyDescent="0.25">
      <c r="A170" s="5" t="s">
        <v>1257</v>
      </c>
      <c r="B170" s="6">
        <v>10</v>
      </c>
      <c r="C170" s="3">
        <v>2210</v>
      </c>
      <c r="D170" s="5" t="s">
        <v>1000</v>
      </c>
      <c r="E170" s="2" t="s">
        <v>1001</v>
      </c>
      <c r="F170" s="36" t="s">
        <v>1002</v>
      </c>
    </row>
    <row r="171" spans="1:6" s="2" customFormat="1" x14ac:dyDescent="0.25">
      <c r="A171" s="5" t="s">
        <v>678</v>
      </c>
      <c r="B171" s="3">
        <v>10</v>
      </c>
      <c r="C171" s="3"/>
      <c r="D171" s="5" t="s">
        <v>679</v>
      </c>
      <c r="E171" s="2" t="s">
        <v>680</v>
      </c>
      <c r="F171" s="36" t="s">
        <v>752</v>
      </c>
    </row>
    <row r="172" spans="1:6" s="2" customFormat="1" x14ac:dyDescent="0.25">
      <c r="A172" s="5" t="s">
        <v>3074</v>
      </c>
      <c r="B172" s="3">
        <v>6</v>
      </c>
      <c r="C172" s="3">
        <v>2137</v>
      </c>
      <c r="D172" s="5" t="s">
        <v>2786</v>
      </c>
      <c r="E172" s="5" t="s">
        <v>2791</v>
      </c>
      <c r="F172" s="36" t="s">
        <v>2788</v>
      </c>
    </row>
    <row r="173" spans="1:6" s="2" customFormat="1" x14ac:dyDescent="0.25">
      <c r="A173" s="5" t="s">
        <v>2789</v>
      </c>
      <c r="B173" s="3">
        <v>12</v>
      </c>
      <c r="C173" s="3">
        <v>2141</v>
      </c>
      <c r="D173" s="5" t="s">
        <v>2786</v>
      </c>
      <c r="E173" s="5" t="s">
        <v>2790</v>
      </c>
      <c r="F173" s="36" t="s">
        <v>2788</v>
      </c>
    </row>
    <row r="174" spans="1:6" s="2" customFormat="1" x14ac:dyDescent="0.25">
      <c r="A174" s="5" t="s">
        <v>2785</v>
      </c>
      <c r="B174" s="3">
        <v>12</v>
      </c>
      <c r="C174" s="3">
        <v>2123</v>
      </c>
      <c r="D174" s="5" t="s">
        <v>2786</v>
      </c>
      <c r="E174" s="5" t="s">
        <v>2787</v>
      </c>
      <c r="F174" s="36" t="s">
        <v>2788</v>
      </c>
    </row>
    <row r="175" spans="1:6" s="2" customFormat="1" x14ac:dyDescent="0.25">
      <c r="A175" s="5" t="s">
        <v>2317</v>
      </c>
      <c r="B175" s="3">
        <v>7</v>
      </c>
      <c r="C175" s="3">
        <v>1721</v>
      </c>
      <c r="D175" s="5" t="s">
        <v>82</v>
      </c>
      <c r="E175" s="5" t="s">
        <v>2318</v>
      </c>
      <c r="F175" s="36" t="s">
        <v>2319</v>
      </c>
    </row>
    <row r="176" spans="1:6" s="2" customFormat="1" x14ac:dyDescent="0.25">
      <c r="A176" s="5" t="s">
        <v>3627</v>
      </c>
      <c r="B176" s="3">
        <v>4</v>
      </c>
      <c r="C176" s="3">
        <v>2245</v>
      </c>
      <c r="D176" s="5" t="s">
        <v>3619</v>
      </c>
      <c r="E176" s="5" t="s">
        <v>3620</v>
      </c>
      <c r="F176" s="36" t="s">
        <v>3621</v>
      </c>
    </row>
    <row r="177" spans="1:6" s="2" customFormat="1" ht="30" x14ac:dyDescent="0.25">
      <c r="A177" s="5" t="s">
        <v>2249</v>
      </c>
      <c r="B177" s="3">
        <v>5</v>
      </c>
      <c r="C177" s="3">
        <v>2138</v>
      </c>
      <c r="D177" s="5" t="s">
        <v>2250</v>
      </c>
      <c r="E177" s="5" t="s">
        <v>2251</v>
      </c>
      <c r="F177" s="36" t="s">
        <v>2252</v>
      </c>
    </row>
    <row r="178" spans="1:6" s="2" customFormat="1" x14ac:dyDescent="0.25">
      <c r="A178" s="5" t="s">
        <v>2600</v>
      </c>
      <c r="B178" s="3">
        <v>4</v>
      </c>
      <c r="C178" s="3">
        <v>2302</v>
      </c>
      <c r="D178" s="5" t="s">
        <v>2601</v>
      </c>
      <c r="E178" s="5" t="s">
        <v>2602</v>
      </c>
      <c r="F178" s="36" t="s">
        <v>2603</v>
      </c>
    </row>
    <row r="179" spans="1:6" s="2" customFormat="1" x14ac:dyDescent="0.25">
      <c r="A179" s="5" t="s">
        <v>1176</v>
      </c>
      <c r="B179" s="3">
        <v>10</v>
      </c>
      <c r="C179" s="3">
        <v>2002</v>
      </c>
      <c r="D179" s="5" t="s">
        <v>1178</v>
      </c>
      <c r="E179" s="5" t="s">
        <v>1177</v>
      </c>
      <c r="F179" s="36"/>
    </row>
    <row r="180" spans="1:6" s="2" customFormat="1" x14ac:dyDescent="0.25">
      <c r="A180" s="5" t="s">
        <v>3503</v>
      </c>
      <c r="B180" s="6">
        <f>1</f>
        <v>1</v>
      </c>
      <c r="C180" s="3">
        <v>2114</v>
      </c>
      <c r="D180" s="5" t="s">
        <v>1178</v>
      </c>
      <c r="E180" s="5" t="s">
        <v>3504</v>
      </c>
      <c r="F180" s="36" t="s">
        <v>3505</v>
      </c>
    </row>
    <row r="181" spans="1:6" s="2" customFormat="1" x14ac:dyDescent="0.25">
      <c r="A181" s="5" t="s">
        <v>3432</v>
      </c>
      <c r="B181" s="3">
        <f>1000-8-4-35-16+16</f>
        <v>953</v>
      </c>
      <c r="C181" s="3">
        <v>2327</v>
      </c>
      <c r="D181" s="5" t="s">
        <v>1178</v>
      </c>
      <c r="E181" s="5" t="s">
        <v>3433</v>
      </c>
      <c r="F181" s="36" t="s">
        <v>3434</v>
      </c>
    </row>
    <row r="182" spans="1:6" s="2" customFormat="1" x14ac:dyDescent="0.25">
      <c r="A182" s="5" t="s">
        <v>3432</v>
      </c>
      <c r="B182" s="6">
        <v>36</v>
      </c>
      <c r="C182" s="3">
        <v>2031</v>
      </c>
      <c r="D182" s="5" t="s">
        <v>1178</v>
      </c>
      <c r="E182" s="5" t="s">
        <v>3433</v>
      </c>
      <c r="F182" s="36" t="s">
        <v>3434</v>
      </c>
    </row>
    <row r="183" spans="1:6" s="2" customFormat="1" x14ac:dyDescent="0.25">
      <c r="A183" s="5" t="s">
        <v>2778</v>
      </c>
      <c r="B183" s="3">
        <v>4</v>
      </c>
      <c r="C183" s="3">
        <v>2222</v>
      </c>
      <c r="D183" s="5" t="s">
        <v>1178</v>
      </c>
      <c r="E183" s="5" t="s">
        <v>2779</v>
      </c>
      <c r="F183" s="36" t="s">
        <v>2780</v>
      </c>
    </row>
    <row r="184" spans="1:6" s="2" customFormat="1" ht="45" x14ac:dyDescent="0.25">
      <c r="A184" s="5" t="s">
        <v>3506</v>
      </c>
      <c r="B184" s="3">
        <v>3</v>
      </c>
      <c r="C184" s="3">
        <v>2246</v>
      </c>
      <c r="D184" s="5" t="s">
        <v>3507</v>
      </c>
      <c r="E184" s="5" t="s">
        <v>3508</v>
      </c>
      <c r="F184" s="36" t="s">
        <v>3509</v>
      </c>
    </row>
    <row r="185" spans="1:6" s="2" customFormat="1" ht="45" x14ac:dyDescent="0.25">
      <c r="A185" s="5" t="s">
        <v>3506</v>
      </c>
      <c r="B185" s="3">
        <f>36-6</f>
        <v>30</v>
      </c>
      <c r="C185" s="3">
        <v>2343</v>
      </c>
      <c r="D185" s="5" t="s">
        <v>3507</v>
      </c>
      <c r="E185" s="5" t="s">
        <v>3508</v>
      </c>
      <c r="F185" s="36" t="s">
        <v>3509</v>
      </c>
    </row>
    <row r="186" spans="1:6" s="2" customFormat="1" x14ac:dyDescent="0.25">
      <c r="A186" s="5" t="s">
        <v>859</v>
      </c>
      <c r="B186" s="3">
        <v>3</v>
      </c>
      <c r="C186" s="13" t="s">
        <v>751</v>
      </c>
      <c r="D186" s="5" t="s">
        <v>860</v>
      </c>
      <c r="E186" s="2" t="s">
        <v>2855</v>
      </c>
      <c r="F186" s="36" t="s">
        <v>861</v>
      </c>
    </row>
    <row r="187" spans="1:6" s="2" customFormat="1" x14ac:dyDescent="0.25">
      <c r="A187" s="5" t="s">
        <v>3404</v>
      </c>
      <c r="B187" s="3">
        <v>4</v>
      </c>
      <c r="C187" s="3">
        <v>2306</v>
      </c>
      <c r="D187" s="5" t="s">
        <v>3406</v>
      </c>
      <c r="E187" s="2" t="s">
        <v>3405</v>
      </c>
      <c r="F187" s="36" t="s">
        <v>3407</v>
      </c>
    </row>
    <row r="188" spans="1:6" s="2" customFormat="1" x14ac:dyDescent="0.25">
      <c r="A188" s="2" t="s">
        <v>149</v>
      </c>
      <c r="B188" s="3">
        <v>893</v>
      </c>
      <c r="C188" s="3" t="s">
        <v>150</v>
      </c>
      <c r="D188" s="2" t="s">
        <v>148</v>
      </c>
      <c r="E188" s="2" t="s">
        <v>151</v>
      </c>
      <c r="F188" s="36"/>
    </row>
    <row r="189" spans="1:6" s="2" customFormat="1" x14ac:dyDescent="0.25">
      <c r="A189" s="2" t="s">
        <v>2269</v>
      </c>
      <c r="B189" s="3">
        <v>1</v>
      </c>
      <c r="C189" s="3">
        <v>2135</v>
      </c>
      <c r="D189" s="2" t="s">
        <v>148</v>
      </c>
      <c r="E189" s="2" t="s">
        <v>2270</v>
      </c>
      <c r="F189" s="36" t="s">
        <v>2271</v>
      </c>
    </row>
    <row r="190" spans="1:6" s="2" customFormat="1" x14ac:dyDescent="0.25">
      <c r="A190" s="2" t="s">
        <v>355</v>
      </c>
      <c r="B190" s="3">
        <v>3650</v>
      </c>
      <c r="C190" s="3">
        <v>1525</v>
      </c>
      <c r="D190" s="2" t="s">
        <v>148</v>
      </c>
      <c r="E190" s="2" t="s">
        <v>207</v>
      </c>
      <c r="F190" s="36"/>
    </row>
    <row r="191" spans="1:6" s="2" customFormat="1" x14ac:dyDescent="0.25">
      <c r="A191" s="2" t="s">
        <v>357</v>
      </c>
      <c r="B191" s="6">
        <f>1000-1000</f>
        <v>0</v>
      </c>
      <c r="C191" s="3">
        <v>1608</v>
      </c>
      <c r="D191" s="2" t="s">
        <v>148</v>
      </c>
      <c r="E191" s="2" t="s">
        <v>356</v>
      </c>
      <c r="F191" s="36"/>
    </row>
    <row r="192" spans="1:6" s="2" customFormat="1" x14ac:dyDescent="0.25">
      <c r="A192" s="2" t="s">
        <v>1309</v>
      </c>
      <c r="B192" s="6">
        <f>7-7</f>
        <v>0</v>
      </c>
      <c r="C192" s="3">
        <v>2128</v>
      </c>
      <c r="D192" s="2" t="s">
        <v>148</v>
      </c>
      <c r="E192" s="2" t="s">
        <v>1310</v>
      </c>
      <c r="F192" s="36"/>
    </row>
    <row r="193" spans="1:6" s="2" customFormat="1" x14ac:dyDescent="0.25">
      <c r="A193" s="2" t="s">
        <v>3493</v>
      </c>
      <c r="B193" s="6">
        <f>15-15</f>
        <v>0</v>
      </c>
      <c r="C193" s="3">
        <v>1643</v>
      </c>
      <c r="D193" s="2" t="s">
        <v>148</v>
      </c>
      <c r="E193" s="2" t="s">
        <v>3494</v>
      </c>
      <c r="F193" s="36" t="s">
        <v>3495</v>
      </c>
    </row>
    <row r="194" spans="1:6" s="2" customFormat="1" x14ac:dyDescent="0.25">
      <c r="A194" s="2" t="s">
        <v>3561</v>
      </c>
      <c r="B194" s="3">
        <v>15</v>
      </c>
      <c r="C194" s="3">
        <v>2310</v>
      </c>
      <c r="D194" s="2" t="s">
        <v>148</v>
      </c>
      <c r="E194" s="2" t="s">
        <v>3562</v>
      </c>
      <c r="F194" s="36" t="s">
        <v>3563</v>
      </c>
    </row>
    <row r="195" spans="1:6" s="2" customFormat="1" x14ac:dyDescent="0.25">
      <c r="A195" s="2" t="s">
        <v>2734</v>
      </c>
      <c r="B195" s="3">
        <v>1</v>
      </c>
      <c r="C195" s="3">
        <v>2227</v>
      </c>
      <c r="D195" s="2" t="s">
        <v>148</v>
      </c>
      <c r="E195" s="2" t="s">
        <v>2735</v>
      </c>
      <c r="F195" s="36" t="s">
        <v>2736</v>
      </c>
    </row>
    <row r="196" spans="1:6" s="2" customFormat="1" x14ac:dyDescent="0.25">
      <c r="A196" s="2" t="s">
        <v>3581</v>
      </c>
      <c r="B196" s="3">
        <f>400-224</f>
        <v>176</v>
      </c>
      <c r="C196" s="3">
        <v>1422</v>
      </c>
      <c r="D196" s="2" t="s">
        <v>148</v>
      </c>
      <c r="E196" s="2" t="s">
        <v>3582</v>
      </c>
      <c r="F196" s="36"/>
    </row>
    <row r="197" spans="1:6" s="2" customFormat="1" x14ac:dyDescent="0.25">
      <c r="A197" s="2" t="s">
        <v>2223</v>
      </c>
      <c r="B197" s="6">
        <f>1-1</f>
        <v>0</v>
      </c>
      <c r="C197" s="3">
        <v>2032</v>
      </c>
      <c r="D197" s="2" t="s">
        <v>148</v>
      </c>
      <c r="E197" s="2" t="s">
        <v>2224</v>
      </c>
      <c r="F197" s="36"/>
    </row>
    <row r="198" spans="1:6" s="2" customFormat="1" x14ac:dyDescent="0.25">
      <c r="A198" s="2" t="s">
        <v>822</v>
      </c>
      <c r="B198" s="6">
        <f>50-25-10-2-13</f>
        <v>0</v>
      </c>
      <c r="C198" s="3">
        <v>1909</v>
      </c>
      <c r="D198" s="2" t="s">
        <v>148</v>
      </c>
      <c r="E198" s="2" t="s">
        <v>823</v>
      </c>
      <c r="F198" s="36" t="s">
        <v>824</v>
      </c>
    </row>
    <row r="199" spans="1:6" s="2" customFormat="1" x14ac:dyDescent="0.25">
      <c r="A199" s="2" t="s">
        <v>3598</v>
      </c>
      <c r="B199" s="3">
        <v>150</v>
      </c>
      <c r="C199" s="3">
        <v>2248</v>
      </c>
      <c r="D199" s="2" t="s">
        <v>148</v>
      </c>
      <c r="E199" s="2" t="s">
        <v>3599</v>
      </c>
      <c r="F199" s="36" t="s">
        <v>824</v>
      </c>
    </row>
    <row r="200" spans="1:6" s="2" customFormat="1" x14ac:dyDescent="0.25">
      <c r="A200" s="2" t="s">
        <v>3596</v>
      </c>
      <c r="B200" s="3">
        <v>100</v>
      </c>
      <c r="C200" s="3">
        <v>2317</v>
      </c>
      <c r="D200" s="2" t="s">
        <v>148</v>
      </c>
      <c r="E200" s="5" t="s">
        <v>3597</v>
      </c>
      <c r="F200" s="36" t="s">
        <v>824</v>
      </c>
    </row>
    <row r="201" spans="1:6" s="2" customFormat="1" x14ac:dyDescent="0.25">
      <c r="A201" s="2" t="s">
        <v>1620</v>
      </c>
      <c r="B201" s="3">
        <v>1</v>
      </c>
      <c r="C201" s="3">
        <v>2146</v>
      </c>
      <c r="D201" s="2" t="s">
        <v>148</v>
      </c>
      <c r="E201" s="2" t="s">
        <v>1621</v>
      </c>
      <c r="F201" s="36"/>
    </row>
    <row r="202" spans="1:6" s="2" customFormat="1" x14ac:dyDescent="0.25">
      <c r="A202" s="2" t="s">
        <v>1578</v>
      </c>
      <c r="B202" s="3">
        <v>18</v>
      </c>
      <c r="C202" s="3">
        <v>1810</v>
      </c>
      <c r="D202" s="2" t="s">
        <v>1078</v>
      </c>
      <c r="E202" s="2" t="s">
        <v>1579</v>
      </c>
      <c r="F202" s="36" t="s">
        <v>1580</v>
      </c>
    </row>
    <row r="203" spans="1:6" s="2" customFormat="1" x14ac:dyDescent="0.25">
      <c r="A203" s="2" t="s">
        <v>3190</v>
      </c>
      <c r="B203" s="3">
        <v>1</v>
      </c>
      <c r="C203" s="3">
        <v>2343</v>
      </c>
      <c r="D203" s="2" t="s">
        <v>2351</v>
      </c>
      <c r="E203" s="2" t="s">
        <v>3191</v>
      </c>
      <c r="F203" s="36" t="s">
        <v>3192</v>
      </c>
    </row>
    <row r="204" spans="1:6" s="2" customFormat="1" x14ac:dyDescent="0.25">
      <c r="A204" s="2" t="s">
        <v>3000</v>
      </c>
      <c r="B204" s="3">
        <v>2</v>
      </c>
      <c r="C204" s="3">
        <v>2151</v>
      </c>
      <c r="D204" s="2" t="s">
        <v>2351</v>
      </c>
      <c r="E204" s="2" t="s">
        <v>3001</v>
      </c>
      <c r="F204" s="36" t="s">
        <v>3002</v>
      </c>
    </row>
    <row r="205" spans="1:6" s="2" customFormat="1" x14ac:dyDescent="0.25">
      <c r="A205" s="2" t="s">
        <v>3000</v>
      </c>
      <c r="B205" s="3">
        <v>144</v>
      </c>
      <c r="C205" s="3">
        <v>2151</v>
      </c>
      <c r="D205" s="2" t="s">
        <v>2351</v>
      </c>
      <c r="E205" s="2" t="s">
        <v>3001</v>
      </c>
      <c r="F205" s="36" t="s">
        <v>3002</v>
      </c>
    </row>
    <row r="206" spans="1:6" s="2" customFormat="1" x14ac:dyDescent="0.25">
      <c r="A206" s="2" t="s">
        <v>62</v>
      </c>
      <c r="B206" s="3">
        <v>80</v>
      </c>
      <c r="C206" s="3" t="s">
        <v>27</v>
      </c>
      <c r="D206" s="2" t="s">
        <v>63</v>
      </c>
      <c r="E206" s="2" t="s">
        <v>66</v>
      </c>
      <c r="F206" s="36" t="s">
        <v>64</v>
      </c>
    </row>
    <row r="207" spans="1:6" s="2" customFormat="1" x14ac:dyDescent="0.25">
      <c r="A207" s="2" t="s">
        <v>1445</v>
      </c>
      <c r="B207" s="6">
        <f>16-2-14</f>
        <v>0</v>
      </c>
      <c r="C207" s="3">
        <v>1950</v>
      </c>
      <c r="F207" s="36"/>
    </row>
    <row r="208" spans="1:6" s="2" customFormat="1" x14ac:dyDescent="0.25">
      <c r="A208" s="2" t="s">
        <v>1777</v>
      </c>
      <c r="B208" s="3">
        <v>18</v>
      </c>
      <c r="C208" s="3">
        <v>2121</v>
      </c>
      <c r="D208" s="2" t="s">
        <v>602</v>
      </c>
      <c r="E208" s="2" t="s">
        <v>1778</v>
      </c>
      <c r="F208" s="36" t="s">
        <v>1779</v>
      </c>
    </row>
    <row r="209" spans="1:6" s="2" customFormat="1" x14ac:dyDescent="0.25">
      <c r="A209" s="2" t="s">
        <v>145</v>
      </c>
      <c r="B209" s="3">
        <v>890</v>
      </c>
      <c r="C209" s="4" t="s">
        <v>97</v>
      </c>
      <c r="D209" s="2" t="s">
        <v>138</v>
      </c>
      <c r="E209" s="2" t="s">
        <v>146</v>
      </c>
      <c r="F209" s="36" t="s">
        <v>147</v>
      </c>
    </row>
    <row r="210" spans="1:6" s="2" customFormat="1" x14ac:dyDescent="0.25">
      <c r="A210" s="2" t="s">
        <v>3297</v>
      </c>
      <c r="B210" s="3">
        <v>1</v>
      </c>
      <c r="C210" s="4" t="s">
        <v>3298</v>
      </c>
      <c r="D210" s="2" t="s">
        <v>602</v>
      </c>
      <c r="E210" s="2" t="s">
        <v>3299</v>
      </c>
      <c r="F210" s="36" t="s">
        <v>3300</v>
      </c>
    </row>
    <row r="211" spans="1:6" s="2" customFormat="1" x14ac:dyDescent="0.25">
      <c r="A211" s="2" t="s">
        <v>3370</v>
      </c>
      <c r="B211" s="6">
        <f>244-244</f>
        <v>0</v>
      </c>
      <c r="C211" s="4" t="s">
        <v>3371</v>
      </c>
      <c r="D211" s="2" t="s">
        <v>602</v>
      </c>
      <c r="E211" s="2" t="s">
        <v>3372</v>
      </c>
      <c r="F211" s="36" t="s">
        <v>3373</v>
      </c>
    </row>
    <row r="212" spans="1:6" s="2" customFormat="1" x14ac:dyDescent="0.25">
      <c r="A212" s="2" t="s">
        <v>275</v>
      </c>
      <c r="B212" s="6">
        <f>400-400</f>
        <v>0</v>
      </c>
      <c r="C212" s="4"/>
      <c r="D212" s="2" t="s">
        <v>20</v>
      </c>
      <c r="E212" s="2" t="s">
        <v>276</v>
      </c>
      <c r="F212" s="36" t="s">
        <v>277</v>
      </c>
    </row>
    <row r="213" spans="1:6" s="2" customFormat="1" x14ac:dyDescent="0.25">
      <c r="A213" s="2" t="s">
        <v>116</v>
      </c>
      <c r="B213" s="6">
        <f>1051-1051</f>
        <v>0</v>
      </c>
      <c r="C213" s="4" t="s">
        <v>120</v>
      </c>
      <c r="D213" s="2" t="s">
        <v>20</v>
      </c>
      <c r="E213" s="2" t="s">
        <v>2340</v>
      </c>
      <c r="F213" s="36" t="s">
        <v>121</v>
      </c>
    </row>
    <row r="214" spans="1:6" s="2" customFormat="1" x14ac:dyDescent="0.25">
      <c r="A214" s="2" t="s">
        <v>1303</v>
      </c>
      <c r="B214" s="3">
        <v>6</v>
      </c>
      <c r="C214" s="4" t="s">
        <v>1304</v>
      </c>
      <c r="D214" s="2" t="s">
        <v>63</v>
      </c>
      <c r="E214" s="2" t="s">
        <v>2341</v>
      </c>
      <c r="F214" s="36"/>
    </row>
    <row r="215" spans="1:6" s="2" customFormat="1" x14ac:dyDescent="0.25">
      <c r="A215" s="2" t="s">
        <v>853</v>
      </c>
      <c r="B215" s="3">
        <v>2029</v>
      </c>
      <c r="C215" s="4" t="s">
        <v>849</v>
      </c>
      <c r="D215" s="2" t="s">
        <v>20</v>
      </c>
      <c r="E215" s="5" t="s">
        <v>2342</v>
      </c>
      <c r="F215" s="36" t="s">
        <v>854</v>
      </c>
    </row>
    <row r="216" spans="1:6" s="2" customFormat="1" x14ac:dyDescent="0.25">
      <c r="A216" s="2" t="s">
        <v>115</v>
      </c>
      <c r="B216" s="6">
        <f>453-453</f>
        <v>0</v>
      </c>
      <c r="C216" s="4" t="s">
        <v>122</v>
      </c>
      <c r="D216" s="2" t="s">
        <v>20</v>
      </c>
      <c r="E216" s="2" t="s">
        <v>2340</v>
      </c>
      <c r="F216" s="36" t="s">
        <v>123</v>
      </c>
    </row>
    <row r="217" spans="1:6" s="2" customFormat="1" x14ac:dyDescent="0.25">
      <c r="A217" s="2" t="s">
        <v>3435</v>
      </c>
      <c r="B217" s="3">
        <v>17</v>
      </c>
      <c r="C217" s="4" t="s">
        <v>3436</v>
      </c>
      <c r="D217" s="2" t="s">
        <v>2794</v>
      </c>
      <c r="E217" s="2" t="s">
        <v>3437</v>
      </c>
      <c r="F217" s="36" t="s">
        <v>3438</v>
      </c>
    </row>
    <row r="218" spans="1:6" s="2" customFormat="1" x14ac:dyDescent="0.25">
      <c r="A218" s="2" t="s">
        <v>2047</v>
      </c>
      <c r="B218" s="6">
        <f>700-700</f>
        <v>0</v>
      </c>
      <c r="C218" s="4" t="s">
        <v>2046</v>
      </c>
      <c r="D218" s="2" t="s">
        <v>20</v>
      </c>
      <c r="E218" s="2" t="s">
        <v>2343</v>
      </c>
      <c r="F218" s="36" t="s">
        <v>2048</v>
      </c>
    </row>
    <row r="219" spans="1:6" s="2" customFormat="1" x14ac:dyDescent="0.25">
      <c r="A219" s="2" t="s">
        <v>3449</v>
      </c>
      <c r="B219" s="3">
        <v>4</v>
      </c>
      <c r="C219" s="4" t="s">
        <v>3450</v>
      </c>
      <c r="D219" s="2" t="s">
        <v>602</v>
      </c>
      <c r="E219" s="2" t="s">
        <v>3451</v>
      </c>
      <c r="F219" s="36" t="s">
        <v>3452</v>
      </c>
    </row>
    <row r="220" spans="1:6" s="2" customFormat="1" x14ac:dyDescent="0.25">
      <c r="A220" s="2" t="s">
        <v>19</v>
      </c>
      <c r="B220" s="3">
        <v>3000</v>
      </c>
      <c r="C220" s="3">
        <v>1221</v>
      </c>
      <c r="D220" s="2" t="s">
        <v>20</v>
      </c>
      <c r="E220" s="2" t="s">
        <v>2344</v>
      </c>
      <c r="F220" s="36" t="s">
        <v>21</v>
      </c>
    </row>
    <row r="221" spans="1:6" s="2" customFormat="1" x14ac:dyDescent="0.25">
      <c r="A221" s="2" t="s">
        <v>223</v>
      </c>
      <c r="B221" s="6">
        <f>4873-4873</f>
        <v>0</v>
      </c>
      <c r="C221" s="4" t="s">
        <v>109</v>
      </c>
      <c r="D221" s="2" t="s">
        <v>108</v>
      </c>
      <c r="E221" s="2" t="s">
        <v>2345</v>
      </c>
      <c r="F221" s="36" t="s">
        <v>110</v>
      </c>
    </row>
    <row r="222" spans="1:6" s="2" customFormat="1" x14ac:dyDescent="0.25">
      <c r="A222" s="2" t="s">
        <v>3021</v>
      </c>
      <c r="B222" s="3">
        <v>2</v>
      </c>
      <c r="C222" s="4" t="s">
        <v>2098</v>
      </c>
      <c r="D222" s="2" t="s">
        <v>108</v>
      </c>
      <c r="E222" s="2" t="s">
        <v>3022</v>
      </c>
      <c r="F222" s="36" t="s">
        <v>3023</v>
      </c>
    </row>
    <row r="223" spans="1:6" s="2" customFormat="1" x14ac:dyDescent="0.25">
      <c r="A223" s="2" t="s">
        <v>117</v>
      </c>
      <c r="B223" s="6">
        <f>2946-2946</f>
        <v>0</v>
      </c>
      <c r="C223" s="4" t="s">
        <v>118</v>
      </c>
      <c r="D223" s="2" t="s">
        <v>108</v>
      </c>
      <c r="E223" s="2" t="s">
        <v>2346</v>
      </c>
      <c r="F223" s="36" t="s">
        <v>119</v>
      </c>
    </row>
    <row r="224" spans="1:6" s="2" customFormat="1" x14ac:dyDescent="0.25">
      <c r="A224" s="2" t="s">
        <v>595</v>
      </c>
      <c r="B224" s="3">
        <v>75</v>
      </c>
      <c r="C224" s="4" t="s">
        <v>214</v>
      </c>
      <c r="D224" s="2" t="s">
        <v>602</v>
      </c>
      <c r="E224" s="2" t="s">
        <v>2347</v>
      </c>
      <c r="F224" s="36" t="s">
        <v>603</v>
      </c>
    </row>
    <row r="225" spans="1:7" s="2" customFormat="1" x14ac:dyDescent="0.25">
      <c r="A225" s="2" t="s">
        <v>1539</v>
      </c>
      <c r="B225" s="3">
        <v>1</v>
      </c>
      <c r="C225" s="4" t="s">
        <v>1540</v>
      </c>
      <c r="D225" s="2" t="s">
        <v>1542</v>
      </c>
      <c r="E225" s="2" t="s">
        <v>1541</v>
      </c>
      <c r="F225" s="36"/>
    </row>
    <row r="226" spans="1:7" s="2" customFormat="1" x14ac:dyDescent="0.25">
      <c r="A226" s="2" t="s">
        <v>384</v>
      </c>
      <c r="B226" s="3">
        <v>10</v>
      </c>
      <c r="C226" s="4" t="s">
        <v>214</v>
      </c>
      <c r="D226" s="2" t="s">
        <v>386</v>
      </c>
      <c r="E226" s="2" t="s">
        <v>385</v>
      </c>
      <c r="F226" s="36" t="s">
        <v>387</v>
      </c>
    </row>
    <row r="227" spans="1:7" s="2" customFormat="1" x14ac:dyDescent="0.25">
      <c r="A227" s="2" t="s">
        <v>3547</v>
      </c>
      <c r="B227" s="3">
        <v>4</v>
      </c>
      <c r="C227" s="4" t="s">
        <v>3548</v>
      </c>
      <c r="D227" s="2" t="s">
        <v>1217</v>
      </c>
      <c r="E227" s="2" t="s">
        <v>3549</v>
      </c>
      <c r="F227" s="36" t="s">
        <v>3550</v>
      </c>
    </row>
    <row r="228" spans="1:7" s="2" customFormat="1" x14ac:dyDescent="0.25">
      <c r="A228" s="2" t="s">
        <v>1216</v>
      </c>
      <c r="B228" s="6">
        <f>23-23</f>
        <v>0</v>
      </c>
      <c r="C228" s="4"/>
      <c r="D228" s="2" t="s">
        <v>1217</v>
      </c>
      <c r="E228" s="2" t="s">
        <v>2366</v>
      </c>
      <c r="F228" s="36"/>
    </row>
    <row r="229" spans="1:7" s="2" customFormat="1" x14ac:dyDescent="0.25">
      <c r="A229" s="2" t="s">
        <v>2739</v>
      </c>
      <c r="B229" s="3">
        <f>17-3</f>
        <v>14</v>
      </c>
      <c r="C229" s="4" t="s">
        <v>2740</v>
      </c>
      <c r="D229" s="2" t="s">
        <v>863</v>
      </c>
      <c r="E229" s="2" t="s">
        <v>2741</v>
      </c>
      <c r="F229" s="36" t="s">
        <v>2742</v>
      </c>
    </row>
    <row r="230" spans="1:7" s="2" customFormat="1" x14ac:dyDescent="0.25">
      <c r="A230" s="2" t="s">
        <v>1543</v>
      </c>
      <c r="B230" s="6">
        <f>50-50</f>
        <v>0</v>
      </c>
      <c r="C230" s="4" t="s">
        <v>3220</v>
      </c>
      <c r="D230" s="2" t="s">
        <v>863</v>
      </c>
      <c r="E230" s="2" t="s">
        <v>2367</v>
      </c>
      <c r="F230" s="36" t="s">
        <v>1545</v>
      </c>
      <c r="G230" s="12"/>
    </row>
    <row r="231" spans="1:7" s="2" customFormat="1" x14ac:dyDescent="0.25">
      <c r="A231" s="2" t="s">
        <v>2641</v>
      </c>
      <c r="B231" s="3">
        <v>30</v>
      </c>
      <c r="C231" s="4" t="s">
        <v>2642</v>
      </c>
      <c r="D231" s="2" t="s">
        <v>863</v>
      </c>
      <c r="E231" s="2" t="s">
        <v>2643</v>
      </c>
      <c r="F231" s="36" t="s">
        <v>1545</v>
      </c>
      <c r="G231" s="12"/>
    </row>
    <row r="232" spans="1:7" s="2" customFormat="1" x14ac:dyDescent="0.25">
      <c r="A232" s="2" t="s">
        <v>3309</v>
      </c>
      <c r="B232" s="3">
        <f>6-1</f>
        <v>5</v>
      </c>
      <c r="C232" s="4" t="s">
        <v>3310</v>
      </c>
      <c r="D232" s="2" t="s">
        <v>863</v>
      </c>
      <c r="E232" s="2" t="s">
        <v>3311</v>
      </c>
      <c r="F232" s="36" t="s">
        <v>3312</v>
      </c>
      <c r="G232" s="12"/>
    </row>
    <row r="233" spans="1:7" s="2" customFormat="1" x14ac:dyDescent="0.25">
      <c r="A233" s="2" t="s">
        <v>371</v>
      </c>
      <c r="B233" s="3">
        <v>3</v>
      </c>
      <c r="C233" s="4" t="s">
        <v>27</v>
      </c>
      <c r="E233" s="2" t="s">
        <v>370</v>
      </c>
      <c r="F233" s="36"/>
    </row>
    <row r="234" spans="1:7" s="2" customFormat="1" x14ac:dyDescent="0.25">
      <c r="A234" s="2" t="s">
        <v>3362</v>
      </c>
      <c r="B234" s="3">
        <v>40</v>
      </c>
      <c r="C234" s="4" t="s">
        <v>3364</v>
      </c>
      <c r="E234" s="2" t="s">
        <v>3363</v>
      </c>
      <c r="F234" s="36" t="s">
        <v>3146</v>
      </c>
    </row>
    <row r="235" spans="1:7" s="2" customFormat="1" x14ac:dyDescent="0.25">
      <c r="A235" s="2" t="s">
        <v>3145</v>
      </c>
      <c r="B235" s="3">
        <v>10</v>
      </c>
      <c r="C235" s="4" t="s">
        <v>3148</v>
      </c>
      <c r="E235" s="2" t="s">
        <v>3147</v>
      </c>
      <c r="F235" s="36" t="s">
        <v>3146</v>
      </c>
    </row>
    <row r="236" spans="1:7" s="2" customFormat="1" x14ac:dyDescent="0.25">
      <c r="A236" s="2" t="s">
        <v>3366</v>
      </c>
      <c r="B236" s="3">
        <f>124-30-10-10-1</f>
        <v>73</v>
      </c>
      <c r="C236" s="4" t="s">
        <v>2098</v>
      </c>
      <c r="E236" s="2" t="s">
        <v>2750</v>
      </c>
      <c r="F236" s="36"/>
    </row>
    <row r="237" spans="1:7" s="2" customFormat="1" x14ac:dyDescent="0.25">
      <c r="A237" s="2" t="s">
        <v>3567</v>
      </c>
      <c r="B237" s="6">
        <f>1-1</f>
        <v>0</v>
      </c>
      <c r="C237" s="4" t="s">
        <v>2281</v>
      </c>
      <c r="F237" s="36"/>
    </row>
    <row r="238" spans="1:7" s="2" customFormat="1" x14ac:dyDescent="0.25">
      <c r="A238" s="2" t="s">
        <v>1638</v>
      </c>
      <c r="B238" s="3">
        <f>91-5-28-2-2-10-12-3-2-5-20-2+2-2</f>
        <v>0</v>
      </c>
      <c r="C238" s="4" t="s">
        <v>1639</v>
      </c>
      <c r="E238" s="2" t="s">
        <v>1061</v>
      </c>
      <c r="F238" s="36"/>
    </row>
    <row r="239" spans="1:7" s="2" customFormat="1" x14ac:dyDescent="0.25">
      <c r="A239" s="2" t="s">
        <v>1638</v>
      </c>
      <c r="B239" s="3">
        <f>34-2-3-6-11-6</f>
        <v>6</v>
      </c>
      <c r="C239" s="4" t="s">
        <v>3512</v>
      </c>
      <c r="E239" s="2" t="s">
        <v>1061</v>
      </c>
      <c r="F239" s="36"/>
    </row>
    <row r="240" spans="1:7" s="2" customFormat="1" x14ac:dyDescent="0.25">
      <c r="A240" s="2" t="s">
        <v>1638</v>
      </c>
      <c r="B240" s="3">
        <v>50</v>
      </c>
      <c r="C240" s="4" t="s">
        <v>3662</v>
      </c>
      <c r="E240" s="2" t="s">
        <v>1061</v>
      </c>
      <c r="F240" s="36"/>
    </row>
    <row r="241" spans="1:6" s="2" customFormat="1" x14ac:dyDescent="0.25">
      <c r="A241" s="2" t="s">
        <v>3365</v>
      </c>
      <c r="B241" s="3">
        <f>95-15-5-10-20-10-7</f>
        <v>28</v>
      </c>
      <c r="C241" s="4" t="s">
        <v>1241</v>
      </c>
      <c r="E241" s="2" t="s">
        <v>1240</v>
      </c>
      <c r="F241" s="36"/>
    </row>
    <row r="242" spans="1:6" s="2" customFormat="1" x14ac:dyDescent="0.25">
      <c r="A242" s="2" t="s">
        <v>3084</v>
      </c>
      <c r="B242" s="3">
        <f>35-2</f>
        <v>33</v>
      </c>
      <c r="C242" s="4" t="s">
        <v>2819</v>
      </c>
      <c r="E242" s="2" t="s">
        <v>1062</v>
      </c>
      <c r="F242" s="36"/>
    </row>
    <row r="243" spans="1:6" s="2" customFormat="1" x14ac:dyDescent="0.25">
      <c r="A243" s="2" t="s">
        <v>3098</v>
      </c>
      <c r="B243" s="3">
        <v>30</v>
      </c>
      <c r="C243" s="4" t="s">
        <v>214</v>
      </c>
      <c r="D243" s="2" t="s">
        <v>602</v>
      </c>
      <c r="E243" s="2" t="s">
        <v>2348</v>
      </c>
      <c r="F243" s="36" t="s">
        <v>845</v>
      </c>
    </row>
    <row r="244" spans="1:6" s="2" customFormat="1" x14ac:dyDescent="0.25">
      <c r="A244" s="2" t="s">
        <v>460</v>
      </c>
      <c r="B244" s="3">
        <v>1</v>
      </c>
      <c r="C244" s="4" t="s">
        <v>214</v>
      </c>
      <c r="D244" s="2" t="s">
        <v>244</v>
      </c>
      <c r="E244" s="2" t="s">
        <v>461</v>
      </c>
      <c r="F244" s="36" t="s">
        <v>462</v>
      </c>
    </row>
    <row r="245" spans="1:6" s="2" customFormat="1" x14ac:dyDescent="0.25">
      <c r="A245" s="2" t="s">
        <v>2165</v>
      </c>
      <c r="B245" s="3">
        <f>27000-6000</f>
        <v>21000</v>
      </c>
      <c r="C245" s="4" t="s">
        <v>2995</v>
      </c>
      <c r="D245" s="2" t="s">
        <v>244</v>
      </c>
      <c r="E245" s="2" t="s">
        <v>2167</v>
      </c>
      <c r="F245" s="36" t="s">
        <v>1559</v>
      </c>
    </row>
    <row r="246" spans="1:6" s="2" customFormat="1" x14ac:dyDescent="0.25">
      <c r="A246" s="2" t="s">
        <v>1548</v>
      </c>
      <c r="B246" s="6">
        <f>5-5</f>
        <v>0</v>
      </c>
      <c r="C246" s="4" t="s">
        <v>1549</v>
      </c>
      <c r="D246" s="2" t="s">
        <v>394</v>
      </c>
      <c r="E246" s="2" t="s">
        <v>1550</v>
      </c>
      <c r="F246" s="36" t="s">
        <v>1551</v>
      </c>
    </row>
    <row r="247" spans="1:6" s="2" customFormat="1" x14ac:dyDescent="0.25">
      <c r="A247" s="2" t="s">
        <v>2838</v>
      </c>
      <c r="B247" s="3">
        <v>1</v>
      </c>
      <c r="C247" s="4" t="s">
        <v>2839</v>
      </c>
      <c r="D247" s="2" t="s">
        <v>394</v>
      </c>
      <c r="E247" s="2" t="s">
        <v>2840</v>
      </c>
      <c r="F247" s="36" t="s">
        <v>851</v>
      </c>
    </row>
    <row r="248" spans="1:6" s="2" customFormat="1" x14ac:dyDescent="0.25">
      <c r="A248" s="2" t="s">
        <v>852</v>
      </c>
      <c r="B248" s="3">
        <v>3990</v>
      </c>
      <c r="C248" s="4" t="s">
        <v>849</v>
      </c>
      <c r="D248" s="2" t="s">
        <v>20</v>
      </c>
      <c r="E248" s="5" t="s">
        <v>850</v>
      </c>
      <c r="F248" s="36" t="s">
        <v>851</v>
      </c>
    </row>
    <row r="249" spans="1:6" s="2" customFormat="1" x14ac:dyDescent="0.25">
      <c r="A249" s="2" t="s">
        <v>3025</v>
      </c>
      <c r="B249" s="3">
        <v>84</v>
      </c>
      <c r="C249" s="4" t="s">
        <v>3026</v>
      </c>
      <c r="D249" s="2" t="s">
        <v>244</v>
      </c>
      <c r="E249" s="5" t="s">
        <v>3027</v>
      </c>
      <c r="F249" s="36" t="s">
        <v>3028</v>
      </c>
    </row>
    <row r="250" spans="1:6" s="2" customFormat="1" x14ac:dyDescent="0.25">
      <c r="A250" s="2" t="s">
        <v>503</v>
      </c>
      <c r="B250" s="3">
        <v>13</v>
      </c>
      <c r="C250" s="4" t="s">
        <v>214</v>
      </c>
      <c r="D250" s="2" t="s">
        <v>213</v>
      </c>
      <c r="E250" s="2" t="s">
        <v>504</v>
      </c>
      <c r="F250" s="36" t="s">
        <v>505</v>
      </c>
    </row>
    <row r="251" spans="1:6" s="2" customFormat="1" x14ac:dyDescent="0.25">
      <c r="A251" s="2" t="s">
        <v>503</v>
      </c>
      <c r="B251" s="3">
        <v>50</v>
      </c>
      <c r="C251" s="4" t="s">
        <v>1677</v>
      </c>
      <c r="E251" s="2" t="s">
        <v>504</v>
      </c>
      <c r="F251" s="36" t="s">
        <v>505</v>
      </c>
    </row>
    <row r="252" spans="1:6" s="2" customFormat="1" x14ac:dyDescent="0.25">
      <c r="A252" s="2" t="s">
        <v>503</v>
      </c>
      <c r="B252" s="3">
        <v>74</v>
      </c>
      <c r="C252" s="4" t="s">
        <v>1677</v>
      </c>
      <c r="E252" s="2" t="s">
        <v>504</v>
      </c>
      <c r="F252" s="36" t="s">
        <v>505</v>
      </c>
    </row>
    <row r="253" spans="1:6" s="2" customFormat="1" x14ac:dyDescent="0.25">
      <c r="A253" s="2" t="s">
        <v>1793</v>
      </c>
      <c r="B253" s="3">
        <v>30</v>
      </c>
      <c r="C253" s="4" t="s">
        <v>1794</v>
      </c>
      <c r="E253" s="2" t="s">
        <v>504</v>
      </c>
      <c r="F253" s="36"/>
    </row>
    <row r="254" spans="1:6" s="2" customFormat="1" x14ac:dyDescent="0.25">
      <c r="A254" s="2" t="s">
        <v>503</v>
      </c>
      <c r="B254" s="3">
        <v>65</v>
      </c>
      <c r="C254" s="4" t="s">
        <v>2166</v>
      </c>
      <c r="E254" s="2" t="s">
        <v>504</v>
      </c>
      <c r="F254" s="36"/>
    </row>
    <row r="255" spans="1:6" s="2" customFormat="1" x14ac:dyDescent="0.25">
      <c r="A255" s="2" t="s">
        <v>3132</v>
      </c>
      <c r="B255" s="3">
        <v>221</v>
      </c>
      <c r="C255" s="4" t="s">
        <v>3076</v>
      </c>
      <c r="D255" s="2" t="s">
        <v>3077</v>
      </c>
      <c r="E255" s="5" t="s">
        <v>504</v>
      </c>
      <c r="F255" s="36"/>
    </row>
    <row r="256" spans="1:6" s="2" customFormat="1" x14ac:dyDescent="0.25">
      <c r="A256" s="2" t="s">
        <v>1529</v>
      </c>
      <c r="B256" s="3">
        <v>779</v>
      </c>
      <c r="C256" s="4" t="s">
        <v>1530</v>
      </c>
      <c r="D256" s="2" t="s">
        <v>1532</v>
      </c>
      <c r="E256" s="2" t="s">
        <v>1531</v>
      </c>
      <c r="F256" s="36"/>
    </row>
    <row r="257" spans="1:6" s="2" customFormat="1" x14ac:dyDescent="0.25">
      <c r="A257" s="2" t="s">
        <v>3656</v>
      </c>
      <c r="B257" s="3">
        <v>1</v>
      </c>
      <c r="C257" s="4" t="s">
        <v>2819</v>
      </c>
      <c r="D257" s="2" t="s">
        <v>394</v>
      </c>
      <c r="E257" s="2" t="s">
        <v>3657</v>
      </c>
      <c r="F257" s="36" t="s">
        <v>3658</v>
      </c>
    </row>
    <row r="258" spans="1:6" s="2" customFormat="1" x14ac:dyDescent="0.25">
      <c r="A258" s="2" t="s">
        <v>3733</v>
      </c>
      <c r="B258" s="3">
        <v>6</v>
      </c>
      <c r="C258" s="4" t="s">
        <v>3734</v>
      </c>
      <c r="D258" s="2" t="s">
        <v>394</v>
      </c>
      <c r="E258" s="2" t="s">
        <v>3735</v>
      </c>
      <c r="F258" s="36" t="s">
        <v>3658</v>
      </c>
    </row>
    <row r="259" spans="1:6" s="2" customFormat="1" x14ac:dyDescent="0.25">
      <c r="A259" s="2" t="s">
        <v>1556</v>
      </c>
      <c r="B259" s="3">
        <v>3</v>
      </c>
      <c r="C259" s="4" t="s">
        <v>1557</v>
      </c>
      <c r="E259" s="2" t="s">
        <v>1555</v>
      </c>
      <c r="F259" s="36"/>
    </row>
    <row r="260" spans="1:6" s="2" customFormat="1" x14ac:dyDescent="0.25">
      <c r="A260" s="2" t="s">
        <v>2688</v>
      </c>
      <c r="B260" s="3">
        <v>2880</v>
      </c>
      <c r="C260" s="4" t="s">
        <v>2689</v>
      </c>
      <c r="D260" s="2" t="s">
        <v>2690</v>
      </c>
      <c r="E260" s="2" t="s">
        <v>2691</v>
      </c>
      <c r="F260" s="36" t="s">
        <v>2692</v>
      </c>
    </row>
    <row r="261" spans="1:6" s="2" customFormat="1" x14ac:dyDescent="0.25">
      <c r="A261" s="2" t="s">
        <v>2684</v>
      </c>
      <c r="B261" s="3">
        <v>23</v>
      </c>
      <c r="C261" s="4" t="s">
        <v>2587</v>
      </c>
      <c r="D261" s="2" t="s">
        <v>1341</v>
      </c>
      <c r="E261" s="2" t="s">
        <v>2685</v>
      </c>
      <c r="F261" s="36"/>
    </row>
    <row r="262" spans="1:6" s="2" customFormat="1" x14ac:dyDescent="0.25">
      <c r="A262" s="2" t="s">
        <v>1346</v>
      </c>
      <c r="B262" s="3">
        <v>3</v>
      </c>
      <c r="C262" s="4" t="s">
        <v>1343</v>
      </c>
      <c r="D262" s="2" t="s">
        <v>1341</v>
      </c>
      <c r="E262" s="2" t="s">
        <v>1347</v>
      </c>
      <c r="F262" s="36"/>
    </row>
    <row r="263" spans="1:6" s="2" customFormat="1" x14ac:dyDescent="0.25">
      <c r="A263" s="2" t="s">
        <v>1344</v>
      </c>
      <c r="B263" s="3">
        <v>3</v>
      </c>
      <c r="C263" s="4" t="s">
        <v>1343</v>
      </c>
      <c r="D263" s="2" t="s">
        <v>1341</v>
      </c>
      <c r="E263" s="2" t="s">
        <v>1345</v>
      </c>
      <c r="F263" s="36"/>
    </row>
    <row r="264" spans="1:6" s="2" customFormat="1" x14ac:dyDescent="0.25">
      <c r="A264" s="2" t="s">
        <v>1340</v>
      </c>
      <c r="B264" s="3">
        <v>8</v>
      </c>
      <c r="C264" s="4" t="s">
        <v>1343</v>
      </c>
      <c r="D264" s="2" t="s">
        <v>1341</v>
      </c>
      <c r="E264" s="2" t="s">
        <v>1342</v>
      </c>
      <c r="F264" s="36"/>
    </row>
    <row r="265" spans="1:6" s="2" customFormat="1" x14ac:dyDescent="0.25">
      <c r="A265" s="2" t="s">
        <v>2681</v>
      </c>
      <c r="B265" s="3">
        <v>1</v>
      </c>
      <c r="C265" s="4" t="s">
        <v>2682</v>
      </c>
      <c r="D265" s="2" t="s">
        <v>1341</v>
      </c>
      <c r="E265" s="2" t="s">
        <v>2683</v>
      </c>
      <c r="F265" s="36"/>
    </row>
    <row r="266" spans="1:6" s="2" customFormat="1" x14ac:dyDescent="0.25">
      <c r="A266" s="2" t="s">
        <v>3748</v>
      </c>
      <c r="B266" s="3">
        <v>338</v>
      </c>
      <c r="C266" s="4" t="s">
        <v>3749</v>
      </c>
      <c r="D266" s="2" t="s">
        <v>2158</v>
      </c>
      <c r="E266" s="2" t="s">
        <v>3750</v>
      </c>
      <c r="F266" s="36" t="s">
        <v>3751</v>
      </c>
    </row>
    <row r="267" spans="1:6" s="2" customFormat="1" x14ac:dyDescent="0.25">
      <c r="A267" s="2" t="s">
        <v>2103</v>
      </c>
      <c r="B267" s="6">
        <f>3-3</f>
        <v>0</v>
      </c>
      <c r="C267" s="4" t="s">
        <v>2104</v>
      </c>
      <c r="D267" s="2" t="s">
        <v>2106</v>
      </c>
      <c r="E267" s="2" t="s">
        <v>2105</v>
      </c>
      <c r="F267" s="36" t="s">
        <v>2107</v>
      </c>
    </row>
    <row r="268" spans="1:6" s="2" customFormat="1" x14ac:dyDescent="0.25">
      <c r="A268" s="2" t="s">
        <v>3044</v>
      </c>
      <c r="B268" s="3">
        <f>1-1</f>
        <v>0</v>
      </c>
      <c r="C268" s="4" t="s">
        <v>3125</v>
      </c>
      <c r="D268" s="2" t="s">
        <v>3047</v>
      </c>
      <c r="E268" s="2" t="s">
        <v>3046</v>
      </c>
      <c r="F268" s="36" t="s">
        <v>3048</v>
      </c>
    </row>
    <row r="269" spans="1:6" s="2" customFormat="1" x14ac:dyDescent="0.25">
      <c r="A269" s="2" t="s">
        <v>3044</v>
      </c>
      <c r="B269" s="3">
        <f>1-1</f>
        <v>0</v>
      </c>
      <c r="C269" s="4" t="s">
        <v>3125</v>
      </c>
      <c r="D269" s="2" t="s">
        <v>3047</v>
      </c>
      <c r="E269" s="2" t="s">
        <v>3046</v>
      </c>
      <c r="F269" s="36" t="s">
        <v>3048</v>
      </c>
    </row>
    <row r="270" spans="1:6" s="2" customFormat="1" x14ac:dyDescent="0.25">
      <c r="A270" s="2" t="s">
        <v>3044</v>
      </c>
      <c r="B270" s="6">
        <v>6</v>
      </c>
      <c r="C270" s="4" t="s">
        <v>3045</v>
      </c>
      <c r="D270" s="2" t="s">
        <v>3047</v>
      </c>
      <c r="E270" s="2" t="s">
        <v>3046</v>
      </c>
      <c r="F270" s="36" t="s">
        <v>3048</v>
      </c>
    </row>
    <row r="271" spans="1:6" s="2" customFormat="1" x14ac:dyDescent="0.25">
      <c r="A271" s="2" t="s">
        <v>3044</v>
      </c>
      <c r="B271" s="6">
        <v>4</v>
      </c>
      <c r="C271" s="4" t="s">
        <v>3607</v>
      </c>
      <c r="D271" s="2" t="s">
        <v>3047</v>
      </c>
      <c r="E271" s="2" t="s">
        <v>3046</v>
      </c>
      <c r="F271" s="36" t="s">
        <v>3048</v>
      </c>
    </row>
    <row r="272" spans="1:6" s="2" customFormat="1" x14ac:dyDescent="0.25">
      <c r="A272" s="2" t="s">
        <v>3044</v>
      </c>
      <c r="B272" s="6">
        <v>12</v>
      </c>
      <c r="C272" s="4" t="s">
        <v>3607</v>
      </c>
      <c r="D272" s="2" t="s">
        <v>3047</v>
      </c>
      <c r="E272" s="2" t="s">
        <v>3046</v>
      </c>
      <c r="F272" s="36" t="s">
        <v>3048</v>
      </c>
    </row>
    <row r="273" spans="1:6" s="2" customFormat="1" x14ac:dyDescent="0.25">
      <c r="A273" s="2" t="s">
        <v>2571</v>
      </c>
      <c r="B273" s="3">
        <v>30</v>
      </c>
      <c r="C273" s="4" t="s">
        <v>2328</v>
      </c>
      <c r="E273" s="2" t="s">
        <v>2327</v>
      </c>
      <c r="F273" s="36"/>
    </row>
    <row r="274" spans="1:6" s="2" customFormat="1" x14ac:dyDescent="0.25">
      <c r="A274" s="2" t="s">
        <v>1963</v>
      </c>
      <c r="B274" s="3">
        <v>110</v>
      </c>
      <c r="C274" s="4" t="s">
        <v>1964</v>
      </c>
      <c r="D274" s="2" t="s">
        <v>1265</v>
      </c>
      <c r="E274" s="2" t="s">
        <v>2639</v>
      </c>
      <c r="F274" s="36" t="s">
        <v>1965</v>
      </c>
    </row>
    <row r="275" spans="1:6" s="2" customFormat="1" x14ac:dyDescent="0.25">
      <c r="A275" s="2" t="s">
        <v>2636</v>
      </c>
      <c r="B275" s="3">
        <v>14</v>
      </c>
      <c r="C275" s="4" t="s">
        <v>2637</v>
      </c>
      <c r="D275" s="2" t="s">
        <v>1265</v>
      </c>
      <c r="E275" s="2" t="s">
        <v>2638</v>
      </c>
      <c r="F275" s="36" t="s">
        <v>2640</v>
      </c>
    </row>
    <row r="276" spans="1:6" s="2" customFormat="1" x14ac:dyDescent="0.25">
      <c r="A276" s="2" t="s">
        <v>3062</v>
      </c>
      <c r="B276" s="3">
        <v>99</v>
      </c>
      <c r="C276" s="4" t="s">
        <v>743</v>
      </c>
      <c r="D276" s="2" t="s">
        <v>3063</v>
      </c>
      <c r="E276" s="2" t="s">
        <v>1242</v>
      </c>
      <c r="F276" s="36" t="s">
        <v>1243</v>
      </c>
    </row>
    <row r="277" spans="1:6" s="2" customFormat="1" x14ac:dyDescent="0.25">
      <c r="A277" s="2" t="s">
        <v>2253</v>
      </c>
      <c r="B277" s="3">
        <f>28-28</f>
        <v>0</v>
      </c>
      <c r="C277" s="4" t="s">
        <v>2254</v>
      </c>
      <c r="D277" s="2" t="s">
        <v>37</v>
      </c>
      <c r="E277" s="2" t="s">
        <v>2255</v>
      </c>
      <c r="F277" s="36" t="s">
        <v>2256</v>
      </c>
    </row>
    <row r="278" spans="1:6" s="2" customFormat="1" x14ac:dyDescent="0.25">
      <c r="A278" s="2" t="s">
        <v>1054</v>
      </c>
      <c r="B278" s="14">
        <v>5</v>
      </c>
      <c r="C278" s="3">
        <v>1934</v>
      </c>
      <c r="D278" s="2" t="s">
        <v>208</v>
      </c>
      <c r="E278" s="2" t="s">
        <v>1055</v>
      </c>
      <c r="F278" s="36" t="s">
        <v>1460</v>
      </c>
    </row>
    <row r="279" spans="1:6" s="2" customFormat="1" x14ac:dyDescent="0.25">
      <c r="A279" s="2" t="s">
        <v>1457</v>
      </c>
      <c r="B279" s="14">
        <v>15</v>
      </c>
      <c r="C279" s="3">
        <v>2015</v>
      </c>
      <c r="D279" s="2" t="s">
        <v>208</v>
      </c>
      <c r="E279" s="2" t="s">
        <v>1458</v>
      </c>
      <c r="F279" s="36" t="s">
        <v>1459</v>
      </c>
    </row>
    <row r="280" spans="1:6" s="2" customFormat="1" x14ac:dyDescent="0.25">
      <c r="A280" s="2" t="s">
        <v>981</v>
      </c>
      <c r="B280" s="15">
        <f>14-14</f>
        <v>0</v>
      </c>
      <c r="C280" s="3">
        <v>1813</v>
      </c>
      <c r="D280" s="2" t="s">
        <v>208</v>
      </c>
      <c r="E280" s="2" t="s">
        <v>983</v>
      </c>
      <c r="F280" s="36" t="s">
        <v>984</v>
      </c>
    </row>
    <row r="281" spans="1:6" s="2" customFormat="1" x14ac:dyDescent="0.25">
      <c r="A281" s="2" t="s">
        <v>982</v>
      </c>
      <c r="B281" s="15">
        <f>14-14</f>
        <v>0</v>
      </c>
      <c r="C281" s="3">
        <v>1948</v>
      </c>
      <c r="D281" s="2" t="s">
        <v>208</v>
      </c>
      <c r="E281" s="2" t="s">
        <v>985</v>
      </c>
      <c r="F281" s="36" t="s">
        <v>986</v>
      </c>
    </row>
    <row r="282" spans="1:6" s="2" customFormat="1" x14ac:dyDescent="0.25">
      <c r="A282" s="2" t="s">
        <v>1427</v>
      </c>
      <c r="B282" s="15">
        <f>14-14</f>
        <v>0</v>
      </c>
      <c r="C282" s="3">
        <v>1849</v>
      </c>
      <c r="D282" s="2" t="s">
        <v>208</v>
      </c>
      <c r="E282" s="5" t="s">
        <v>987</v>
      </c>
      <c r="F282" s="36" t="s">
        <v>988</v>
      </c>
    </row>
    <row r="283" spans="1:6" s="2" customFormat="1" ht="30" x14ac:dyDescent="0.25">
      <c r="A283" s="2" t="s">
        <v>2205</v>
      </c>
      <c r="B283" s="6">
        <f>3-3</f>
        <v>0</v>
      </c>
      <c r="C283" s="3">
        <v>1742</v>
      </c>
      <c r="D283" s="2" t="s">
        <v>1265</v>
      </c>
      <c r="E283" s="5" t="s">
        <v>2206</v>
      </c>
      <c r="F283" s="36" t="s">
        <v>2207</v>
      </c>
    </row>
    <row r="284" spans="1:6" s="2" customFormat="1" x14ac:dyDescent="0.25">
      <c r="A284" s="2" t="s">
        <v>2570</v>
      </c>
      <c r="B284" s="3">
        <v>620</v>
      </c>
      <c r="C284" s="3">
        <v>2215</v>
      </c>
      <c r="D284" s="2" t="s">
        <v>2573</v>
      </c>
      <c r="E284" s="5" t="s">
        <v>2572</v>
      </c>
      <c r="F284" s="36" t="s">
        <v>2574</v>
      </c>
    </row>
    <row r="285" spans="1:6" s="2" customFormat="1" x14ac:dyDescent="0.25">
      <c r="A285" s="2" t="s">
        <v>1100</v>
      </c>
      <c r="B285" s="15">
        <f>7-7</f>
        <v>0</v>
      </c>
      <c r="C285" s="3">
        <v>1812</v>
      </c>
      <c r="D285" s="2" t="s">
        <v>1101</v>
      </c>
      <c r="E285" s="5" t="s">
        <v>1102</v>
      </c>
      <c r="F285" s="36"/>
    </row>
    <row r="286" spans="1:6" s="2" customFormat="1" x14ac:dyDescent="0.25">
      <c r="A286" s="2" t="s">
        <v>1981</v>
      </c>
      <c r="B286" s="14">
        <v>2</v>
      </c>
      <c r="C286" s="3">
        <v>1712</v>
      </c>
      <c r="D286" s="2" t="s">
        <v>366</v>
      </c>
      <c r="E286" s="5" t="s">
        <v>1982</v>
      </c>
      <c r="F286" s="36" t="s">
        <v>1983</v>
      </c>
    </row>
    <row r="287" spans="1:6" s="2" customFormat="1" x14ac:dyDescent="0.25">
      <c r="A287" s="2" t="s">
        <v>1984</v>
      </c>
      <c r="B287" s="14">
        <v>4</v>
      </c>
      <c r="C287" s="3">
        <v>2133</v>
      </c>
      <c r="D287" s="2" t="s">
        <v>366</v>
      </c>
      <c r="E287" s="5" t="s">
        <v>1985</v>
      </c>
      <c r="F287" s="36" t="s">
        <v>1983</v>
      </c>
    </row>
    <row r="288" spans="1:6" s="2" customFormat="1" x14ac:dyDescent="0.25">
      <c r="A288" s="2" t="s">
        <v>2554</v>
      </c>
      <c r="B288" s="14">
        <v>401</v>
      </c>
      <c r="C288" s="3">
        <v>1219</v>
      </c>
      <c r="D288" s="2" t="s">
        <v>2556</v>
      </c>
      <c r="E288" s="5" t="s">
        <v>2555</v>
      </c>
      <c r="F288" s="36" t="s">
        <v>2557</v>
      </c>
    </row>
    <row r="289" spans="1:6" s="2" customFormat="1" x14ac:dyDescent="0.25">
      <c r="A289" s="2" t="s">
        <v>1058</v>
      </c>
      <c r="B289" s="14">
        <v>11</v>
      </c>
      <c r="C289" s="13" t="s">
        <v>751</v>
      </c>
      <c r="D289" s="2" t="s">
        <v>1065</v>
      </c>
      <c r="E289" s="5" t="s">
        <v>1066</v>
      </c>
      <c r="F289" s="36"/>
    </row>
    <row r="290" spans="1:6" s="2" customFormat="1" x14ac:dyDescent="0.25">
      <c r="A290" s="2" t="s">
        <v>1389</v>
      </c>
      <c r="B290" s="14">
        <v>109</v>
      </c>
      <c r="C290" s="13" t="s">
        <v>751</v>
      </c>
      <c r="E290" s="5" t="s">
        <v>1390</v>
      </c>
      <c r="F290" s="36"/>
    </row>
    <row r="291" spans="1:6" s="2" customFormat="1" x14ac:dyDescent="0.25">
      <c r="A291" s="2" t="s">
        <v>1389</v>
      </c>
      <c r="B291" s="14">
        <v>150</v>
      </c>
      <c r="C291" s="13" t="s">
        <v>751</v>
      </c>
      <c r="E291" s="5" t="s">
        <v>1390</v>
      </c>
      <c r="F291" s="36"/>
    </row>
    <row r="292" spans="1:6" s="2" customFormat="1" x14ac:dyDescent="0.25">
      <c r="A292" s="5" t="s">
        <v>316</v>
      </c>
      <c r="B292" s="3">
        <v>8</v>
      </c>
      <c r="C292" s="3" t="s">
        <v>317</v>
      </c>
      <c r="D292" s="7" t="s">
        <v>318</v>
      </c>
      <c r="F292" s="36"/>
    </row>
    <row r="293" spans="1:6" s="2" customFormat="1" x14ac:dyDescent="0.25">
      <c r="A293" s="5" t="s">
        <v>3471</v>
      </c>
      <c r="B293" s="3">
        <v>2</v>
      </c>
      <c r="C293" s="3">
        <v>2416</v>
      </c>
      <c r="D293" s="7" t="s">
        <v>3473</v>
      </c>
      <c r="E293" s="2" t="s">
        <v>3472</v>
      </c>
      <c r="F293" s="36"/>
    </row>
    <row r="294" spans="1:6" s="2" customFormat="1" x14ac:dyDescent="0.25">
      <c r="A294" s="5" t="s">
        <v>3318</v>
      </c>
      <c r="B294" s="3">
        <v>2</v>
      </c>
      <c r="C294" s="3">
        <v>2216</v>
      </c>
      <c r="D294" s="7" t="s">
        <v>5</v>
      </c>
      <c r="E294" s="2" t="s">
        <v>3319</v>
      </c>
      <c r="F294" s="36" t="s">
        <v>3320</v>
      </c>
    </row>
    <row r="295" spans="1:6" s="2" customFormat="1" x14ac:dyDescent="0.25">
      <c r="A295" s="5" t="s">
        <v>3608</v>
      </c>
      <c r="B295" s="3">
        <v>1</v>
      </c>
      <c r="C295" s="3"/>
      <c r="D295" s="7"/>
      <c r="E295" s="36" t="s">
        <v>3609</v>
      </c>
      <c r="F295" s="36" t="s">
        <v>3610</v>
      </c>
    </row>
    <row r="296" spans="1:6" s="2" customFormat="1" x14ac:dyDescent="0.25">
      <c r="A296" s="5" t="s">
        <v>1327</v>
      </c>
      <c r="B296" s="3">
        <f>5-2-2</f>
        <v>1</v>
      </c>
      <c r="C296" s="3">
        <v>1947</v>
      </c>
      <c r="D296" s="7" t="s">
        <v>1329</v>
      </c>
      <c r="E296" s="2" t="s">
        <v>1328</v>
      </c>
      <c r="F296" s="36"/>
    </row>
    <row r="297" spans="1:6" s="2" customFormat="1" x14ac:dyDescent="0.25">
      <c r="A297" s="5" t="s">
        <v>3600</v>
      </c>
      <c r="B297" s="3">
        <v>2</v>
      </c>
      <c r="C297" s="3">
        <v>2312</v>
      </c>
      <c r="D297" s="7" t="s">
        <v>76</v>
      </c>
      <c r="E297" s="2" t="s">
        <v>3601</v>
      </c>
      <c r="F297" s="36" t="s">
        <v>3602</v>
      </c>
    </row>
    <row r="298" spans="1:6" s="2" customFormat="1" x14ac:dyDescent="0.25">
      <c r="A298" s="5" t="s">
        <v>1452</v>
      </c>
      <c r="B298" s="3">
        <f>1645-273-680</f>
        <v>692</v>
      </c>
      <c r="C298" s="3">
        <v>2104</v>
      </c>
      <c r="D298" s="7" t="s">
        <v>76</v>
      </c>
      <c r="E298" s="2" t="s">
        <v>1453</v>
      </c>
      <c r="F298" s="36" t="s">
        <v>1454</v>
      </c>
    </row>
    <row r="299" spans="1:6" s="2" customFormat="1" x14ac:dyDescent="0.25">
      <c r="A299" s="5" t="s">
        <v>1584</v>
      </c>
      <c r="B299" s="6">
        <f>90-90</f>
        <v>0</v>
      </c>
      <c r="C299" s="3">
        <v>2130</v>
      </c>
      <c r="D299" s="7" t="s">
        <v>76</v>
      </c>
      <c r="E299" s="2" t="s">
        <v>1585</v>
      </c>
      <c r="F299" s="36" t="s">
        <v>1586</v>
      </c>
    </row>
    <row r="300" spans="1:6" s="2" customFormat="1" ht="30" x14ac:dyDescent="0.25">
      <c r="A300" s="2" t="s">
        <v>721</v>
      </c>
      <c r="B300" s="14">
        <f>25-6</f>
        <v>19</v>
      </c>
      <c r="C300" s="3">
        <v>1536</v>
      </c>
      <c r="D300" s="5" t="s">
        <v>724</v>
      </c>
      <c r="E300" s="2" t="s">
        <v>723</v>
      </c>
      <c r="F300" s="36" t="s">
        <v>722</v>
      </c>
    </row>
    <row r="301" spans="1:6" s="2" customFormat="1" ht="30" x14ac:dyDescent="0.25">
      <c r="A301" s="2" t="s">
        <v>721</v>
      </c>
      <c r="B301" s="14">
        <v>17</v>
      </c>
      <c r="C301" s="3">
        <v>1536</v>
      </c>
      <c r="D301" s="5" t="s">
        <v>724</v>
      </c>
      <c r="E301" s="2" t="s">
        <v>723</v>
      </c>
      <c r="F301" s="36" t="s">
        <v>722</v>
      </c>
    </row>
    <row r="302" spans="1:6" s="2" customFormat="1" x14ac:dyDescent="0.25">
      <c r="A302" s="2" t="s">
        <v>1358</v>
      </c>
      <c r="B302" s="14">
        <v>1</v>
      </c>
      <c r="C302" s="3"/>
      <c r="D302" s="5" t="s">
        <v>1360</v>
      </c>
      <c r="E302" s="2" t="s">
        <v>1359</v>
      </c>
      <c r="F302" s="36" t="s">
        <v>1361</v>
      </c>
    </row>
    <row r="303" spans="1:6" s="2" customFormat="1" x14ac:dyDescent="0.25">
      <c r="A303" s="2" t="s">
        <v>2313</v>
      </c>
      <c r="B303" s="14">
        <v>1</v>
      </c>
      <c r="C303" s="3">
        <v>2149</v>
      </c>
      <c r="D303" s="5" t="s">
        <v>1360</v>
      </c>
      <c r="E303" s="2" t="s">
        <v>2314</v>
      </c>
      <c r="F303" s="36" t="s">
        <v>1361</v>
      </c>
    </row>
    <row r="304" spans="1:6" s="2" customFormat="1" x14ac:dyDescent="0.25">
      <c r="A304" s="2" t="s">
        <v>3068</v>
      </c>
      <c r="B304" s="14">
        <v>1</v>
      </c>
      <c r="C304" s="3"/>
      <c r="D304" s="5" t="s">
        <v>1360</v>
      </c>
      <c r="E304" s="2" t="s">
        <v>3138</v>
      </c>
      <c r="F304" s="36" t="s">
        <v>1361</v>
      </c>
    </row>
    <row r="305" spans="1:6" s="2" customFormat="1" x14ac:dyDescent="0.25">
      <c r="A305" s="2" t="s">
        <v>2659</v>
      </c>
      <c r="B305" s="14">
        <v>1</v>
      </c>
      <c r="C305" s="3">
        <v>2306</v>
      </c>
      <c r="D305" s="5" t="s">
        <v>2660</v>
      </c>
      <c r="E305" s="2" t="s">
        <v>2661</v>
      </c>
      <c r="F305" s="36" t="s">
        <v>2662</v>
      </c>
    </row>
    <row r="306" spans="1:6" s="2" customFormat="1" x14ac:dyDescent="0.25">
      <c r="A306" s="2" t="s">
        <v>3713</v>
      </c>
      <c r="B306" s="14">
        <v>121</v>
      </c>
      <c r="C306" s="3">
        <v>2337</v>
      </c>
      <c r="D306" s="5" t="s">
        <v>2660</v>
      </c>
      <c r="E306" s="2" t="s">
        <v>3714</v>
      </c>
      <c r="F306" s="36" t="s">
        <v>3715</v>
      </c>
    </row>
    <row r="307" spans="1:6" s="2" customFormat="1" x14ac:dyDescent="0.25">
      <c r="A307" s="2" t="s">
        <v>3088</v>
      </c>
      <c r="B307" s="14">
        <v>1</v>
      </c>
      <c r="C307" s="3">
        <v>2204</v>
      </c>
      <c r="D307" s="5"/>
      <c r="E307" s="2" t="s">
        <v>3089</v>
      </c>
      <c r="F307" s="36"/>
    </row>
    <row r="308" spans="1:6" s="2" customFormat="1" x14ac:dyDescent="0.25">
      <c r="A308" s="2" t="s">
        <v>2678</v>
      </c>
      <c r="B308" s="14">
        <v>4</v>
      </c>
      <c r="C308" s="3">
        <v>2129</v>
      </c>
      <c r="D308" s="2" t="s">
        <v>315</v>
      </c>
      <c r="E308" s="2" t="s">
        <v>2679</v>
      </c>
      <c r="F308" s="36" t="s">
        <v>2680</v>
      </c>
    </row>
    <row r="309" spans="1:6" s="2" customFormat="1" x14ac:dyDescent="0.25">
      <c r="A309" s="2" t="s">
        <v>2564</v>
      </c>
      <c r="B309" s="14">
        <v>15</v>
      </c>
      <c r="C309" s="3">
        <v>2116</v>
      </c>
      <c r="D309" s="2" t="s">
        <v>315</v>
      </c>
      <c r="E309" s="2" t="s">
        <v>2565</v>
      </c>
      <c r="F309" s="36" t="s">
        <v>2566</v>
      </c>
    </row>
    <row r="310" spans="1:6" s="2" customFormat="1" x14ac:dyDescent="0.25">
      <c r="A310" s="7" t="s">
        <v>1140</v>
      </c>
      <c r="B310" s="3">
        <f>3+2-4</f>
        <v>1</v>
      </c>
      <c r="C310" s="3" t="s">
        <v>473</v>
      </c>
      <c r="D310" s="2" t="s">
        <v>315</v>
      </c>
      <c r="E310" s="2" t="s">
        <v>1333</v>
      </c>
      <c r="F310" s="36"/>
    </row>
    <row r="311" spans="1:6" s="2" customFormat="1" x14ac:dyDescent="0.25">
      <c r="A311" s="7" t="s">
        <v>1020</v>
      </c>
      <c r="B311" s="6">
        <f>6-2-2-2</f>
        <v>0</v>
      </c>
      <c r="C311" s="3" t="s">
        <v>473</v>
      </c>
      <c r="D311" s="2" t="s">
        <v>315</v>
      </c>
      <c r="E311" s="2" t="s">
        <v>966</v>
      </c>
      <c r="F311" s="36"/>
    </row>
    <row r="312" spans="1:6" s="2" customFormat="1" x14ac:dyDescent="0.25">
      <c r="A312" s="7" t="s">
        <v>1161</v>
      </c>
      <c r="B312" s="3">
        <v>1</v>
      </c>
      <c r="C312" s="3" t="s">
        <v>473</v>
      </c>
      <c r="D312" s="2" t="s">
        <v>315</v>
      </c>
      <c r="E312" s="2" t="s">
        <v>1163</v>
      </c>
      <c r="F312" s="36"/>
    </row>
    <row r="313" spans="1:6" s="2" customFormat="1" x14ac:dyDescent="0.25">
      <c r="A313" s="7" t="s">
        <v>1143</v>
      </c>
      <c r="B313" s="6">
        <f>3-3</f>
        <v>0</v>
      </c>
      <c r="C313" s="3" t="s">
        <v>473</v>
      </c>
      <c r="D313" s="2" t="s">
        <v>315</v>
      </c>
      <c r="E313" s="2" t="s">
        <v>1334</v>
      </c>
      <c r="F313" s="36"/>
    </row>
    <row r="314" spans="1:6" s="2" customFormat="1" x14ac:dyDescent="0.25">
      <c r="A314" s="7" t="s">
        <v>1064</v>
      </c>
      <c r="B314" s="6">
        <f>3-1-2</f>
        <v>0</v>
      </c>
      <c r="C314" s="3" t="s">
        <v>473</v>
      </c>
      <c r="D314" s="2" t="s">
        <v>315</v>
      </c>
      <c r="E314" s="2" t="s">
        <v>1144</v>
      </c>
      <c r="F314" s="36"/>
    </row>
    <row r="315" spans="1:6" s="2" customFormat="1" x14ac:dyDescent="0.25">
      <c r="A315" s="12" t="s">
        <v>1019</v>
      </c>
      <c r="B315" s="6">
        <f>1-1</f>
        <v>0</v>
      </c>
      <c r="C315" s="3" t="s">
        <v>473</v>
      </c>
      <c r="D315" s="2" t="s">
        <v>315</v>
      </c>
      <c r="E315" s="2" t="s">
        <v>965</v>
      </c>
      <c r="F315" s="36"/>
    </row>
    <row r="316" spans="1:6" s="2" customFormat="1" x14ac:dyDescent="0.25">
      <c r="A316" s="12" t="s">
        <v>1141</v>
      </c>
      <c r="B316" s="6">
        <f>1-1</f>
        <v>0</v>
      </c>
      <c r="C316" s="3" t="s">
        <v>473</v>
      </c>
      <c r="D316" s="2" t="s">
        <v>315</v>
      </c>
      <c r="E316" s="2" t="s">
        <v>1142</v>
      </c>
      <c r="F316" s="36"/>
    </row>
    <row r="317" spans="1:6" s="2" customFormat="1" x14ac:dyDescent="0.25">
      <c r="A317" s="7" t="s">
        <v>1162</v>
      </c>
      <c r="B317" s="6">
        <f>1-1</f>
        <v>0</v>
      </c>
      <c r="C317" s="3" t="s">
        <v>473</v>
      </c>
      <c r="D317" s="2" t="s">
        <v>315</v>
      </c>
      <c r="E317" s="2" t="s">
        <v>1356</v>
      </c>
      <c r="F317" s="36"/>
    </row>
    <row r="318" spans="1:6" s="2" customFormat="1" x14ac:dyDescent="0.25">
      <c r="A318" s="7" t="s">
        <v>1353</v>
      </c>
      <c r="B318" s="6">
        <f>1-1</f>
        <v>0</v>
      </c>
      <c r="C318" s="3" t="s">
        <v>473</v>
      </c>
      <c r="D318" s="2" t="s">
        <v>315</v>
      </c>
      <c r="E318" s="2" t="s">
        <v>1355</v>
      </c>
      <c r="F318" s="36"/>
    </row>
    <row r="319" spans="1:6" s="2" customFormat="1" x14ac:dyDescent="0.25">
      <c r="A319" s="12" t="s">
        <v>1136</v>
      </c>
      <c r="B319" s="6">
        <f>1-1</f>
        <v>0</v>
      </c>
      <c r="C319" s="3" t="s">
        <v>473</v>
      </c>
      <c r="D319" s="2" t="s">
        <v>315</v>
      </c>
      <c r="E319" s="2" t="s">
        <v>1164</v>
      </c>
      <c r="F319" s="36"/>
    </row>
    <row r="320" spans="1:6" s="2" customFormat="1" x14ac:dyDescent="0.25">
      <c r="A320" s="12" t="s">
        <v>957</v>
      </c>
      <c r="B320" s="6">
        <f>11-7-1-3</f>
        <v>0</v>
      </c>
      <c r="C320" s="3" t="s">
        <v>473</v>
      </c>
      <c r="D320" s="2" t="s">
        <v>315</v>
      </c>
      <c r="E320" s="2" t="s">
        <v>956</v>
      </c>
      <c r="F320" s="36"/>
    </row>
    <row r="321" spans="1:6" s="2" customFormat="1" x14ac:dyDescent="0.25">
      <c r="A321" s="12" t="s">
        <v>954</v>
      </c>
      <c r="B321" s="6">
        <f>1-1</f>
        <v>0</v>
      </c>
      <c r="C321" s="3" t="s">
        <v>473</v>
      </c>
      <c r="D321" s="2" t="s">
        <v>315</v>
      </c>
      <c r="E321" s="2" t="s">
        <v>955</v>
      </c>
      <c r="F321" s="36"/>
    </row>
    <row r="322" spans="1:6" s="2" customFormat="1" x14ac:dyDescent="0.25">
      <c r="A322" s="7" t="s">
        <v>1354</v>
      </c>
      <c r="B322" s="6">
        <f>1-1</f>
        <v>0</v>
      </c>
      <c r="C322" s="3" t="s">
        <v>473</v>
      </c>
      <c r="D322" s="2" t="s">
        <v>315</v>
      </c>
      <c r="E322" s="2" t="s">
        <v>1357</v>
      </c>
      <c r="F322" s="36"/>
    </row>
    <row r="323" spans="1:6" s="2" customFormat="1" x14ac:dyDescent="0.25">
      <c r="A323" s="12" t="s">
        <v>498</v>
      </c>
      <c r="B323" s="6">
        <f>10-1-3-3-2-1</f>
        <v>0</v>
      </c>
      <c r="C323" s="3">
        <v>2009</v>
      </c>
      <c r="D323" s="2" t="s">
        <v>315</v>
      </c>
      <c r="E323" s="2" t="s">
        <v>499</v>
      </c>
      <c r="F323" s="36"/>
    </row>
    <row r="324" spans="1:6" s="2" customFormat="1" x14ac:dyDescent="0.25">
      <c r="A324" s="5" t="s">
        <v>1472</v>
      </c>
      <c r="B324" s="3">
        <f>5-1</f>
        <v>4</v>
      </c>
      <c r="C324" s="3" t="s">
        <v>473</v>
      </c>
      <c r="D324" s="2" t="s">
        <v>315</v>
      </c>
      <c r="E324" s="2" t="s">
        <v>1473</v>
      </c>
      <c r="F324" s="36"/>
    </row>
    <row r="325" spans="1:6" s="2" customFormat="1" x14ac:dyDescent="0.25">
      <c r="A325" s="5" t="s">
        <v>1472</v>
      </c>
      <c r="B325" s="3">
        <v>6</v>
      </c>
      <c r="C325" s="3" t="s">
        <v>473</v>
      </c>
      <c r="D325" s="2" t="s">
        <v>315</v>
      </c>
      <c r="E325" s="2" t="s">
        <v>1473</v>
      </c>
      <c r="F325" s="36"/>
    </row>
    <row r="326" spans="1:6" s="2" customFormat="1" x14ac:dyDescent="0.25">
      <c r="A326" s="5" t="s">
        <v>972</v>
      </c>
      <c r="B326" s="3">
        <f>1+5+3-7</f>
        <v>2</v>
      </c>
      <c r="C326" s="3" t="s">
        <v>473</v>
      </c>
      <c r="D326" s="2" t="s">
        <v>315</v>
      </c>
      <c r="E326" s="2" t="s">
        <v>974</v>
      </c>
      <c r="F326" s="36"/>
    </row>
    <row r="327" spans="1:6" s="2" customFormat="1" x14ac:dyDescent="0.25">
      <c r="A327" s="5" t="s">
        <v>973</v>
      </c>
      <c r="B327" s="6">
        <f>1-1</f>
        <v>0</v>
      </c>
      <c r="C327" s="3" t="s">
        <v>473</v>
      </c>
      <c r="D327" s="2" t="s">
        <v>315</v>
      </c>
      <c r="E327" s="2" t="s">
        <v>975</v>
      </c>
    </row>
    <row r="328" spans="1:6" s="2" customFormat="1" x14ac:dyDescent="0.25">
      <c r="A328" s="12" t="s">
        <v>1305</v>
      </c>
      <c r="B328" s="6">
        <f>3-3</f>
        <v>0</v>
      </c>
      <c r="C328" s="3" t="s">
        <v>473</v>
      </c>
      <c r="D328" s="2" t="s">
        <v>315</v>
      </c>
      <c r="E328" s="2" t="s">
        <v>1307</v>
      </c>
    </row>
    <row r="329" spans="1:6" s="2" customFormat="1" x14ac:dyDescent="0.25">
      <c r="A329" s="12" t="s">
        <v>3313</v>
      </c>
      <c r="B329" s="3">
        <v>18</v>
      </c>
      <c r="C329" s="3">
        <v>2401</v>
      </c>
      <c r="D329" s="2" t="s">
        <v>315</v>
      </c>
      <c r="E329" s="2" t="s">
        <v>3314</v>
      </c>
      <c r="F329" s="36" t="s">
        <v>3315</v>
      </c>
    </row>
    <row r="330" spans="1:6" s="2" customFormat="1" x14ac:dyDescent="0.25">
      <c r="A330" s="5" t="s">
        <v>1306</v>
      </c>
      <c r="B330" s="6">
        <f>1-1</f>
        <v>0</v>
      </c>
      <c r="C330" s="3" t="s">
        <v>473</v>
      </c>
      <c r="D330" s="2" t="s">
        <v>315</v>
      </c>
      <c r="E330" s="2" t="s">
        <v>1308</v>
      </c>
      <c r="F330" s="36" t="s">
        <v>703</v>
      </c>
    </row>
    <row r="331" spans="1:6" s="2" customFormat="1" x14ac:dyDescent="0.25">
      <c r="A331" s="16" t="s">
        <v>1148</v>
      </c>
      <c r="B331" s="17">
        <v>10</v>
      </c>
      <c r="C331" s="3" t="s">
        <v>473</v>
      </c>
      <c r="D331" s="2" t="s">
        <v>315</v>
      </c>
      <c r="E331" s="2" t="s">
        <v>705</v>
      </c>
      <c r="F331" s="36" t="s">
        <v>971</v>
      </c>
    </row>
    <row r="332" spans="1:6" s="2" customFormat="1" x14ac:dyDescent="0.25">
      <c r="A332" s="7" t="s">
        <v>704</v>
      </c>
      <c r="B332" s="3">
        <f>12+3-2-2-5-3</f>
        <v>3</v>
      </c>
      <c r="C332" s="3">
        <v>1908</v>
      </c>
      <c r="D332" s="2" t="s">
        <v>315</v>
      </c>
      <c r="E332" s="2" t="s">
        <v>705</v>
      </c>
      <c r="F332" s="36" t="s">
        <v>703</v>
      </c>
    </row>
    <row r="333" spans="1:6" s="2" customFormat="1" x14ac:dyDescent="0.25">
      <c r="A333" s="7" t="s">
        <v>704</v>
      </c>
      <c r="B333" s="3">
        <v>2</v>
      </c>
      <c r="C333" s="3">
        <v>2321</v>
      </c>
      <c r="D333" s="2" t="s">
        <v>315</v>
      </c>
      <c r="E333" s="2" t="s">
        <v>705</v>
      </c>
      <c r="F333" s="36" t="s">
        <v>703</v>
      </c>
    </row>
    <row r="334" spans="1:6" s="2" customFormat="1" ht="30" x14ac:dyDescent="0.25">
      <c r="A334" s="12" t="s">
        <v>1490</v>
      </c>
      <c r="B334" s="3">
        <v>4</v>
      </c>
      <c r="C334" s="3" t="s">
        <v>473</v>
      </c>
      <c r="D334" s="2" t="s">
        <v>315</v>
      </c>
      <c r="E334" s="2" t="s">
        <v>1492</v>
      </c>
      <c r="F334" s="36"/>
    </row>
    <row r="335" spans="1:6" s="2" customFormat="1" ht="30" x14ac:dyDescent="0.25">
      <c r="A335" s="12" t="s">
        <v>1491</v>
      </c>
      <c r="B335" s="3">
        <f>20-4</f>
        <v>16</v>
      </c>
      <c r="C335" s="3" t="s">
        <v>473</v>
      </c>
      <c r="D335" s="2" t="s">
        <v>315</v>
      </c>
      <c r="E335" s="2" t="s">
        <v>1493</v>
      </c>
      <c r="F335" s="36"/>
    </row>
    <row r="336" spans="1:6" s="2" customFormat="1" ht="30" x14ac:dyDescent="0.25">
      <c r="A336" s="12" t="s">
        <v>2141</v>
      </c>
      <c r="B336" s="3">
        <v>1</v>
      </c>
      <c r="C336" s="3" t="s">
        <v>473</v>
      </c>
      <c r="D336" s="2" t="s">
        <v>315</v>
      </c>
      <c r="E336" s="2" t="s">
        <v>2143</v>
      </c>
      <c r="F336" s="36"/>
    </row>
    <row r="337" spans="1:6" s="2" customFormat="1" ht="30" x14ac:dyDescent="0.25">
      <c r="A337" s="12" t="s">
        <v>2142</v>
      </c>
      <c r="B337" s="3">
        <v>1</v>
      </c>
      <c r="C337" s="3" t="s">
        <v>473</v>
      </c>
      <c r="D337" s="2" t="s">
        <v>315</v>
      </c>
      <c r="E337" s="2" t="s">
        <v>1874</v>
      </c>
      <c r="F337" s="36" t="s">
        <v>1873</v>
      </c>
    </row>
    <row r="338" spans="1:6" s="2" customFormat="1" x14ac:dyDescent="0.25">
      <c r="A338" s="12" t="s">
        <v>700</v>
      </c>
      <c r="B338" s="3">
        <v>1</v>
      </c>
      <c r="C338" s="3" t="s">
        <v>473</v>
      </c>
      <c r="D338" s="2" t="s">
        <v>315</v>
      </c>
      <c r="E338" s="2" t="s">
        <v>698</v>
      </c>
      <c r="F338" s="36" t="s">
        <v>699</v>
      </c>
    </row>
    <row r="339" spans="1:6" s="2" customFormat="1" x14ac:dyDescent="0.25">
      <c r="A339" s="12" t="s">
        <v>701</v>
      </c>
      <c r="B339" s="3">
        <v>34</v>
      </c>
      <c r="C339" s="3" t="s">
        <v>473</v>
      </c>
      <c r="D339" s="2" t="s">
        <v>315</v>
      </c>
      <c r="E339" s="2" t="s">
        <v>702</v>
      </c>
      <c r="F339" s="36" t="s">
        <v>699</v>
      </c>
    </row>
    <row r="340" spans="1:6" s="2" customFormat="1" x14ac:dyDescent="0.25">
      <c r="A340" s="12" t="s">
        <v>2179</v>
      </c>
      <c r="B340" s="3">
        <v>3</v>
      </c>
      <c r="C340" s="3">
        <v>2136</v>
      </c>
      <c r="D340" s="2" t="s">
        <v>315</v>
      </c>
      <c r="E340" s="2" t="s">
        <v>2180</v>
      </c>
      <c r="F340" s="36" t="s">
        <v>2181</v>
      </c>
    </row>
    <row r="341" spans="1:6" s="2" customFormat="1" ht="30" x14ac:dyDescent="0.25">
      <c r="A341" s="5" t="s">
        <v>3719</v>
      </c>
      <c r="B341" s="3">
        <v>2</v>
      </c>
      <c r="C341" s="3" t="s">
        <v>214</v>
      </c>
      <c r="D341" s="2" t="s">
        <v>315</v>
      </c>
      <c r="E341" s="2" t="s">
        <v>979</v>
      </c>
      <c r="F341" s="36"/>
    </row>
    <row r="342" spans="1:6" s="2" customFormat="1" x14ac:dyDescent="0.25">
      <c r="A342" s="5" t="s">
        <v>3182</v>
      </c>
      <c r="B342" s="3">
        <v>1</v>
      </c>
      <c r="C342" s="3" t="s">
        <v>214</v>
      </c>
      <c r="D342" s="2" t="s">
        <v>315</v>
      </c>
      <c r="E342" s="2" t="s">
        <v>3181</v>
      </c>
      <c r="F342" s="36"/>
    </row>
    <row r="343" spans="1:6" s="2" customFormat="1" ht="30" x14ac:dyDescent="0.25">
      <c r="A343" s="5" t="s">
        <v>3720</v>
      </c>
      <c r="B343" s="6">
        <f>1-1</f>
        <v>0</v>
      </c>
      <c r="C343" s="3" t="s">
        <v>214</v>
      </c>
      <c r="D343" s="2" t="s">
        <v>315</v>
      </c>
      <c r="E343" s="5" t="s">
        <v>1116</v>
      </c>
      <c r="F343" s="36" t="s">
        <v>980</v>
      </c>
    </row>
    <row r="344" spans="1:6" s="2" customFormat="1" ht="30" x14ac:dyDescent="0.25">
      <c r="A344" s="5" t="s">
        <v>3721</v>
      </c>
      <c r="B344" s="6">
        <f>1-1</f>
        <v>0</v>
      </c>
      <c r="C344" s="3" t="s">
        <v>214</v>
      </c>
      <c r="D344" s="2" t="s">
        <v>315</v>
      </c>
      <c r="E344" s="5" t="s">
        <v>1117</v>
      </c>
      <c r="F344" s="36" t="s">
        <v>980</v>
      </c>
    </row>
    <row r="345" spans="1:6" s="2" customFormat="1" ht="30" x14ac:dyDescent="0.25">
      <c r="A345" s="5" t="s">
        <v>3722</v>
      </c>
      <c r="B345" s="3">
        <f>2-1</f>
        <v>1</v>
      </c>
      <c r="C345" s="3" t="s">
        <v>214</v>
      </c>
      <c r="D345" s="2" t="s">
        <v>315</v>
      </c>
      <c r="E345" s="2" t="s">
        <v>1115</v>
      </c>
      <c r="F345" s="36" t="s">
        <v>980</v>
      </c>
    </row>
    <row r="346" spans="1:6" s="2" customFormat="1" ht="30" x14ac:dyDescent="0.25">
      <c r="A346" s="5" t="s">
        <v>3723</v>
      </c>
      <c r="B346" s="3">
        <f>9+5+3</f>
        <v>17</v>
      </c>
      <c r="C346" s="3" t="s">
        <v>214</v>
      </c>
      <c r="D346" s="2" t="s">
        <v>315</v>
      </c>
      <c r="E346" s="5" t="s">
        <v>1118</v>
      </c>
      <c r="F346" s="36" t="s">
        <v>980</v>
      </c>
    </row>
    <row r="347" spans="1:6" s="2" customFormat="1" ht="30" x14ac:dyDescent="0.25">
      <c r="A347" s="5" t="s">
        <v>3724</v>
      </c>
      <c r="B347" s="3">
        <v>1</v>
      </c>
      <c r="C347" s="3" t="s">
        <v>214</v>
      </c>
      <c r="D347" s="2" t="s">
        <v>315</v>
      </c>
      <c r="E347" s="5" t="s">
        <v>3727</v>
      </c>
      <c r="F347" s="36" t="s">
        <v>3728</v>
      </c>
    </row>
    <row r="348" spans="1:6" s="2" customFormat="1" ht="30" x14ac:dyDescent="0.25">
      <c r="A348" s="5" t="s">
        <v>3725</v>
      </c>
      <c r="B348" s="3">
        <f>5-1</f>
        <v>4</v>
      </c>
      <c r="C348" s="3" t="s">
        <v>214</v>
      </c>
      <c r="D348" s="2" t="s">
        <v>315</v>
      </c>
      <c r="E348" s="5" t="s">
        <v>3726</v>
      </c>
      <c r="F348" s="36" t="s">
        <v>1223</v>
      </c>
    </row>
    <row r="349" spans="1:6" s="2" customFormat="1" x14ac:dyDescent="0.25">
      <c r="A349" s="5" t="s">
        <v>2294</v>
      </c>
      <c r="B349" s="3">
        <f>150-10</f>
        <v>140</v>
      </c>
      <c r="C349" s="3">
        <v>2126</v>
      </c>
      <c r="D349" s="2" t="s">
        <v>315</v>
      </c>
      <c r="E349" s="2" t="s">
        <v>2293</v>
      </c>
      <c r="F349" s="36" t="s">
        <v>2295</v>
      </c>
    </row>
    <row r="350" spans="1:6" s="2" customFormat="1" x14ac:dyDescent="0.25">
      <c r="A350" s="5" t="s">
        <v>925</v>
      </c>
      <c r="B350" s="6">
        <f>9-9</f>
        <v>0</v>
      </c>
      <c r="C350" s="3" t="s">
        <v>214</v>
      </c>
      <c r="D350" s="2" t="s">
        <v>315</v>
      </c>
      <c r="E350" s="2" t="s">
        <v>926</v>
      </c>
      <c r="F350" s="36" t="s">
        <v>927</v>
      </c>
    </row>
    <row r="351" spans="1:6" s="2" customFormat="1" ht="30" x14ac:dyDescent="0.25">
      <c r="A351" s="2" t="s">
        <v>692</v>
      </c>
      <c r="B351" s="3">
        <f>20</f>
        <v>20</v>
      </c>
      <c r="C351" s="3" t="s">
        <v>214</v>
      </c>
      <c r="D351" s="2" t="s">
        <v>315</v>
      </c>
      <c r="E351" s="5" t="s">
        <v>693</v>
      </c>
      <c r="F351" s="36" t="s">
        <v>694</v>
      </c>
    </row>
    <row r="352" spans="1:6" s="2" customFormat="1" ht="30" x14ac:dyDescent="0.25">
      <c r="A352" s="5" t="s">
        <v>1236</v>
      </c>
      <c r="B352" s="3">
        <f>5-1-3</f>
        <v>1</v>
      </c>
      <c r="C352" s="3" t="s">
        <v>214</v>
      </c>
      <c r="D352" s="2" t="s">
        <v>315</v>
      </c>
      <c r="E352" s="5" t="s">
        <v>773</v>
      </c>
      <c r="F352" s="36" t="s">
        <v>774</v>
      </c>
    </row>
    <row r="353" spans="1:6" s="2" customFormat="1" x14ac:dyDescent="0.25">
      <c r="A353" s="5" t="s">
        <v>2732</v>
      </c>
      <c r="B353" s="3">
        <v>7</v>
      </c>
      <c r="C353" s="3">
        <v>2131</v>
      </c>
      <c r="D353" s="2" t="s">
        <v>315</v>
      </c>
      <c r="E353" s="5" t="s">
        <v>2733</v>
      </c>
      <c r="F353" s="36"/>
    </row>
    <row r="354" spans="1:6" s="2" customFormat="1" x14ac:dyDescent="0.25">
      <c r="A354" s="5" t="s">
        <v>2731</v>
      </c>
      <c r="B354" s="3">
        <v>150</v>
      </c>
      <c r="C354" s="3">
        <v>2238</v>
      </c>
      <c r="D354" s="2" t="s">
        <v>315</v>
      </c>
      <c r="E354" s="5" t="s">
        <v>2291</v>
      </c>
      <c r="F354" s="36" t="s">
        <v>2292</v>
      </c>
    </row>
    <row r="355" spans="1:6" s="2" customFormat="1" ht="30" x14ac:dyDescent="0.25">
      <c r="A355" s="5" t="s">
        <v>1224</v>
      </c>
      <c r="B355" s="3">
        <v>2200</v>
      </c>
      <c r="C355" s="3" t="s">
        <v>214</v>
      </c>
      <c r="D355" s="2" t="s">
        <v>315</v>
      </c>
      <c r="E355" s="5" t="s">
        <v>1225</v>
      </c>
      <c r="F355" s="36" t="s">
        <v>1226</v>
      </c>
    </row>
    <row r="356" spans="1:6" s="2" customFormat="1" ht="30" x14ac:dyDescent="0.25">
      <c r="A356" s="12" t="s">
        <v>572</v>
      </c>
      <c r="B356" s="3">
        <v>84</v>
      </c>
      <c r="C356" s="3" t="s">
        <v>214</v>
      </c>
      <c r="D356" s="2" t="s">
        <v>315</v>
      </c>
      <c r="E356" s="2" t="s">
        <v>570</v>
      </c>
      <c r="F356" s="36" t="s">
        <v>571</v>
      </c>
    </row>
    <row r="357" spans="1:6" s="2" customFormat="1" ht="30" x14ac:dyDescent="0.25">
      <c r="A357" s="12" t="s">
        <v>573</v>
      </c>
      <c r="B357" s="3">
        <v>84</v>
      </c>
      <c r="C357" s="3" t="s">
        <v>214</v>
      </c>
      <c r="D357" s="2" t="s">
        <v>315</v>
      </c>
      <c r="E357" s="2" t="s">
        <v>574</v>
      </c>
      <c r="F357" s="36" t="s">
        <v>575</v>
      </c>
    </row>
    <row r="358" spans="1:6" s="2" customFormat="1" ht="30" x14ac:dyDescent="0.25">
      <c r="A358" s="12" t="s">
        <v>576</v>
      </c>
      <c r="B358" s="3">
        <v>84</v>
      </c>
      <c r="C358" s="3" t="s">
        <v>214</v>
      </c>
      <c r="D358" s="2" t="s">
        <v>315</v>
      </c>
      <c r="E358" s="2" t="s">
        <v>577</v>
      </c>
      <c r="F358" s="36" t="s">
        <v>578</v>
      </c>
    </row>
    <row r="359" spans="1:6" s="2" customFormat="1" ht="30" x14ac:dyDescent="0.25">
      <c r="A359" s="12" t="s">
        <v>3532</v>
      </c>
      <c r="B359" s="3">
        <v>10</v>
      </c>
      <c r="C359" s="3">
        <v>2319</v>
      </c>
      <c r="D359" s="2" t="s">
        <v>315</v>
      </c>
      <c r="E359" s="5" t="s">
        <v>3533</v>
      </c>
      <c r="F359" s="36" t="s">
        <v>3534</v>
      </c>
    </row>
    <row r="360" spans="1:6" s="2" customFormat="1" ht="45" x14ac:dyDescent="0.25">
      <c r="A360" s="12" t="s">
        <v>2698</v>
      </c>
      <c r="B360" s="6">
        <f>2268-600-1668</f>
        <v>0</v>
      </c>
      <c r="C360" s="3">
        <v>2302</v>
      </c>
      <c r="D360" s="2" t="s">
        <v>315</v>
      </c>
      <c r="E360" s="5" t="s">
        <v>2699</v>
      </c>
      <c r="F360" s="36" t="s">
        <v>579</v>
      </c>
    </row>
    <row r="361" spans="1:6" s="2" customFormat="1" x14ac:dyDescent="0.25">
      <c r="A361" s="12" t="s">
        <v>2700</v>
      </c>
      <c r="B361" s="3">
        <v>1</v>
      </c>
      <c r="C361" s="3">
        <v>2103</v>
      </c>
      <c r="D361" s="2" t="s">
        <v>315</v>
      </c>
      <c r="E361" s="5" t="s">
        <v>2701</v>
      </c>
      <c r="F361" s="36"/>
    </row>
    <row r="362" spans="1:6" s="2" customFormat="1" x14ac:dyDescent="0.25">
      <c r="A362" s="12" t="s">
        <v>1703</v>
      </c>
      <c r="B362" s="3">
        <f>1943-330-100-25-200-300</f>
        <v>988</v>
      </c>
      <c r="C362" s="3">
        <v>2101</v>
      </c>
      <c r="D362" s="2" t="s">
        <v>315</v>
      </c>
      <c r="E362" s="5" t="s">
        <v>1704</v>
      </c>
      <c r="F362" s="36" t="s">
        <v>1705</v>
      </c>
    </row>
    <row r="363" spans="1:6" s="2" customFormat="1" ht="30" x14ac:dyDescent="0.25">
      <c r="A363" s="12" t="s">
        <v>319</v>
      </c>
      <c r="B363" s="3">
        <f>3060-500-40</f>
        <v>2520</v>
      </c>
      <c r="C363" s="3" t="s">
        <v>214</v>
      </c>
      <c r="D363" s="2" t="s">
        <v>315</v>
      </c>
      <c r="F363" s="36"/>
    </row>
    <row r="364" spans="1:6" s="2" customFormat="1" x14ac:dyDescent="0.25">
      <c r="A364" s="12" t="s">
        <v>1815</v>
      </c>
      <c r="B364" s="3">
        <f>40-4</f>
        <v>36</v>
      </c>
      <c r="C364" s="3">
        <v>1519</v>
      </c>
      <c r="D364" s="2" t="s">
        <v>1037</v>
      </c>
      <c r="E364" s="2" t="s">
        <v>1816</v>
      </c>
      <c r="F364" s="36"/>
    </row>
    <row r="365" spans="1:6" s="2" customFormat="1" x14ac:dyDescent="0.25">
      <c r="A365" s="12" t="s">
        <v>2617</v>
      </c>
      <c r="B365" s="6">
        <f>3-3</f>
        <v>0</v>
      </c>
      <c r="C365" s="3">
        <v>1919</v>
      </c>
      <c r="D365" s="2" t="s">
        <v>208</v>
      </c>
      <c r="E365" s="2" t="s">
        <v>2618</v>
      </c>
      <c r="F365" s="36" t="s">
        <v>2619</v>
      </c>
    </row>
    <row r="366" spans="1:6" s="2" customFormat="1" x14ac:dyDescent="0.25">
      <c r="A366" s="12" t="s">
        <v>3122</v>
      </c>
      <c r="B366" s="14">
        <f>50-7-4-12</f>
        <v>27</v>
      </c>
      <c r="C366" s="3">
        <v>2219</v>
      </c>
      <c r="D366" s="2" t="s">
        <v>208</v>
      </c>
      <c r="E366" s="2" t="s">
        <v>3123</v>
      </c>
      <c r="F366" s="36" t="s">
        <v>3124</v>
      </c>
    </row>
    <row r="367" spans="1:6" s="2" customFormat="1" x14ac:dyDescent="0.25">
      <c r="A367" s="12" t="s">
        <v>3122</v>
      </c>
      <c r="B367" s="14">
        <v>4</v>
      </c>
      <c r="C367" s="3">
        <v>2231</v>
      </c>
      <c r="D367" s="2" t="s">
        <v>208</v>
      </c>
      <c r="E367" s="2" t="s">
        <v>3123</v>
      </c>
      <c r="F367" s="36" t="s">
        <v>3124</v>
      </c>
    </row>
    <row r="368" spans="1:6" s="2" customFormat="1" x14ac:dyDescent="0.25">
      <c r="A368" s="2" t="s">
        <v>769</v>
      </c>
      <c r="B368" s="14">
        <v>1</v>
      </c>
      <c r="C368" s="3" t="s">
        <v>751</v>
      </c>
      <c r="D368" s="5" t="s">
        <v>770</v>
      </c>
      <c r="E368" s="2" t="s">
        <v>771</v>
      </c>
      <c r="F368" s="36" t="s">
        <v>772</v>
      </c>
    </row>
    <row r="369" spans="1:6" s="2" customFormat="1" x14ac:dyDescent="0.25">
      <c r="A369" s="2" t="s">
        <v>484</v>
      </c>
      <c r="B369" s="14">
        <v>3000</v>
      </c>
      <c r="C369" s="3">
        <v>1729</v>
      </c>
      <c r="D369" s="2" t="s">
        <v>485</v>
      </c>
      <c r="E369" s="2" t="s">
        <v>486</v>
      </c>
      <c r="F369" s="36" t="s">
        <v>487</v>
      </c>
    </row>
    <row r="370" spans="1:6" s="2" customFormat="1" x14ac:dyDescent="0.25">
      <c r="A370" s="2" t="s">
        <v>1602</v>
      </c>
      <c r="B370" s="14">
        <v>23</v>
      </c>
      <c r="C370" s="3">
        <v>823</v>
      </c>
      <c r="D370" s="2" t="s">
        <v>1603</v>
      </c>
      <c r="E370" s="2" t="s">
        <v>1604</v>
      </c>
      <c r="F370" s="36"/>
    </row>
    <row r="371" spans="1:6" s="2" customFormat="1" x14ac:dyDescent="0.25">
      <c r="A371" s="2" t="s">
        <v>1391</v>
      </c>
      <c r="B371" s="14">
        <v>4</v>
      </c>
      <c r="C371" s="3">
        <v>2134</v>
      </c>
      <c r="E371" s="2" t="s">
        <v>1392</v>
      </c>
      <c r="F371" s="36"/>
    </row>
    <row r="372" spans="1:6" s="2" customFormat="1" ht="90" x14ac:dyDescent="0.25">
      <c r="A372" s="2" t="s">
        <v>2614</v>
      </c>
      <c r="B372" s="14">
        <v>3</v>
      </c>
      <c r="C372" s="3">
        <v>2115</v>
      </c>
      <c r="D372" s="2" t="s">
        <v>208</v>
      </c>
      <c r="E372" s="5" t="s">
        <v>2615</v>
      </c>
      <c r="F372" s="1" t="s">
        <v>2616</v>
      </c>
    </row>
    <row r="373" spans="1:6" s="2" customFormat="1" ht="30" x14ac:dyDescent="0.25">
      <c r="A373" s="5" t="s">
        <v>61</v>
      </c>
      <c r="B373" s="3">
        <v>400</v>
      </c>
      <c r="C373" s="3" t="s">
        <v>27</v>
      </c>
      <c r="D373" s="2" t="s">
        <v>60</v>
      </c>
      <c r="E373" s="2" t="s">
        <v>2856</v>
      </c>
      <c r="F373" s="36" t="s">
        <v>59</v>
      </c>
    </row>
    <row r="374" spans="1:6" s="2" customFormat="1" x14ac:dyDescent="0.25">
      <c r="A374" s="5" t="s">
        <v>1885</v>
      </c>
      <c r="B374" s="3">
        <f>299+1</f>
        <v>300</v>
      </c>
      <c r="C374" s="3">
        <v>2214</v>
      </c>
      <c r="D374" s="2" t="s">
        <v>1887</v>
      </c>
      <c r="E374" s="2" t="s">
        <v>1886</v>
      </c>
      <c r="F374" s="36" t="s">
        <v>1888</v>
      </c>
    </row>
    <row r="375" spans="1:6" s="2" customFormat="1" x14ac:dyDescent="0.25">
      <c r="A375" s="2" t="s">
        <v>520</v>
      </c>
      <c r="B375" s="3">
        <v>11</v>
      </c>
      <c r="C375" s="3" t="s">
        <v>214</v>
      </c>
      <c r="D375" s="2" t="s">
        <v>519</v>
      </c>
      <c r="E375" s="2" t="s">
        <v>517</v>
      </c>
      <c r="F375" s="36" t="s">
        <v>518</v>
      </c>
    </row>
    <row r="376" spans="1:6" s="2" customFormat="1" x14ac:dyDescent="0.25">
      <c r="A376" s="2" t="s">
        <v>1377</v>
      </c>
      <c r="B376" s="3">
        <v>1</v>
      </c>
      <c r="C376" s="3">
        <v>2007</v>
      </c>
      <c r="D376" s="2" t="s">
        <v>816</v>
      </c>
      <c r="E376" s="2" t="s">
        <v>2857</v>
      </c>
      <c r="F376" s="36"/>
    </row>
    <row r="377" spans="1:6" s="2" customFormat="1" x14ac:dyDescent="0.25">
      <c r="A377" s="2" t="s">
        <v>1636</v>
      </c>
      <c r="B377" s="3">
        <v>1870</v>
      </c>
      <c r="C377" s="3">
        <v>2110</v>
      </c>
      <c r="D377" s="2" t="s">
        <v>816</v>
      </c>
      <c r="E377" s="2" t="s">
        <v>2858</v>
      </c>
      <c r="F377" s="36" t="s">
        <v>1637</v>
      </c>
    </row>
    <row r="378" spans="1:6" s="2" customFormat="1" x14ac:dyDescent="0.25">
      <c r="A378" s="2" t="s">
        <v>1378</v>
      </c>
      <c r="B378" s="3">
        <v>13</v>
      </c>
      <c r="C378" s="3">
        <v>2001</v>
      </c>
      <c r="D378" s="2" t="s">
        <v>816</v>
      </c>
      <c r="E378" s="2" t="s">
        <v>2859</v>
      </c>
      <c r="F378" s="36"/>
    </row>
    <row r="379" spans="1:6" s="2" customFormat="1" x14ac:dyDescent="0.25">
      <c r="A379" s="18" t="s">
        <v>1080</v>
      </c>
      <c r="B379" s="3">
        <v>29</v>
      </c>
      <c r="C379" s="19" t="s">
        <v>743</v>
      </c>
      <c r="D379" s="18" t="s">
        <v>1081</v>
      </c>
      <c r="E379" s="18" t="s">
        <v>1082</v>
      </c>
      <c r="F379" s="36"/>
    </row>
    <row r="380" spans="1:6" s="2" customFormat="1" x14ac:dyDescent="0.25">
      <c r="A380" s="18" t="s">
        <v>1170</v>
      </c>
      <c r="B380" s="3">
        <v>3</v>
      </c>
      <c r="C380" s="19">
        <v>1725</v>
      </c>
      <c r="D380" s="2" t="s">
        <v>447</v>
      </c>
      <c r="E380" s="18"/>
      <c r="F380" s="36"/>
    </row>
    <row r="381" spans="1:6" s="2" customFormat="1" x14ac:dyDescent="0.25">
      <c r="A381" s="18" t="s">
        <v>3037</v>
      </c>
      <c r="B381" s="3">
        <f>4-2</f>
        <v>2</v>
      </c>
      <c r="C381" s="19">
        <v>1713</v>
      </c>
      <c r="D381" s="2" t="s">
        <v>447</v>
      </c>
      <c r="E381" s="20" t="s">
        <v>3038</v>
      </c>
      <c r="F381" s="36" t="s">
        <v>3039</v>
      </c>
    </row>
    <row r="382" spans="1:6" s="2" customFormat="1" x14ac:dyDescent="0.25">
      <c r="A382" s="18" t="s">
        <v>3037</v>
      </c>
      <c r="B382" s="3">
        <v>1</v>
      </c>
      <c r="C382" s="19">
        <v>2113</v>
      </c>
      <c r="D382" s="2" t="s">
        <v>447</v>
      </c>
      <c r="E382" s="20" t="s">
        <v>3038</v>
      </c>
      <c r="F382" s="36" t="s">
        <v>3039</v>
      </c>
    </row>
    <row r="383" spans="1:6" s="2" customFormat="1" x14ac:dyDescent="0.25">
      <c r="A383" s="18" t="s">
        <v>3037</v>
      </c>
      <c r="B383" s="3">
        <v>96</v>
      </c>
      <c r="C383" s="19" t="s">
        <v>3483</v>
      </c>
      <c r="D383" s="2" t="s">
        <v>447</v>
      </c>
      <c r="E383" s="20" t="s">
        <v>3038</v>
      </c>
      <c r="F383" s="36" t="s">
        <v>3039</v>
      </c>
    </row>
    <row r="384" spans="1:6" s="2" customFormat="1" x14ac:dyDescent="0.25">
      <c r="A384" s="18" t="s">
        <v>3037</v>
      </c>
      <c r="B384" s="3">
        <v>40</v>
      </c>
      <c r="C384" s="19">
        <v>1707</v>
      </c>
      <c r="D384" s="2" t="s">
        <v>447</v>
      </c>
      <c r="E384" s="20" t="s">
        <v>3038</v>
      </c>
      <c r="F384" s="36" t="s">
        <v>3039</v>
      </c>
    </row>
    <row r="385" spans="1:6" s="2" customFormat="1" x14ac:dyDescent="0.25">
      <c r="A385" s="18" t="s">
        <v>3037</v>
      </c>
      <c r="B385" s="6">
        <v>26</v>
      </c>
      <c r="C385" s="19" t="s">
        <v>3483</v>
      </c>
      <c r="D385" s="2" t="s">
        <v>447</v>
      </c>
      <c r="E385" s="20" t="s">
        <v>3038</v>
      </c>
      <c r="F385" s="36" t="s">
        <v>3039</v>
      </c>
    </row>
    <row r="386" spans="1:6" s="2" customFormat="1" x14ac:dyDescent="0.25">
      <c r="A386" s="5" t="s">
        <v>706</v>
      </c>
      <c r="B386" s="3">
        <v>4</v>
      </c>
      <c r="C386" s="3">
        <v>1437</v>
      </c>
      <c r="D386" s="2" t="s">
        <v>447</v>
      </c>
      <c r="E386" s="2" t="s">
        <v>708</v>
      </c>
      <c r="F386" s="36" t="s">
        <v>707</v>
      </c>
    </row>
    <row r="387" spans="1:6" s="2" customFormat="1" x14ac:dyDescent="0.25">
      <c r="A387" s="5" t="s">
        <v>706</v>
      </c>
      <c r="B387" s="3">
        <v>1</v>
      </c>
      <c r="C387" s="3">
        <v>2319</v>
      </c>
      <c r="D387" s="2" t="s">
        <v>447</v>
      </c>
      <c r="E387" s="2" t="s">
        <v>708</v>
      </c>
      <c r="F387" s="36" t="s">
        <v>707</v>
      </c>
    </row>
    <row r="388" spans="1:6" s="2" customFormat="1" x14ac:dyDescent="0.25">
      <c r="A388" s="2" t="s">
        <v>446</v>
      </c>
      <c r="B388" s="6">
        <v>3</v>
      </c>
      <c r="C388" s="3">
        <v>1531</v>
      </c>
      <c r="D388" s="2" t="s">
        <v>447</v>
      </c>
      <c r="E388" s="2" t="s">
        <v>448</v>
      </c>
      <c r="F388" s="36" t="s">
        <v>449</v>
      </c>
    </row>
    <row r="389" spans="1:6" s="2" customFormat="1" x14ac:dyDescent="0.25">
      <c r="A389" s="2" t="s">
        <v>1676</v>
      </c>
      <c r="B389" s="3">
        <f>10-2</f>
        <v>8</v>
      </c>
      <c r="C389" s="3">
        <v>1725</v>
      </c>
      <c r="D389" s="2" t="s">
        <v>1181</v>
      </c>
      <c r="E389" s="2" t="s">
        <v>1180</v>
      </c>
      <c r="F389" s="36" t="s">
        <v>3273</v>
      </c>
    </row>
    <row r="390" spans="1:6" s="2" customFormat="1" x14ac:dyDescent="0.25">
      <c r="A390" s="2" t="s">
        <v>1179</v>
      </c>
      <c r="B390" s="3">
        <v>46</v>
      </c>
      <c r="C390" s="3">
        <v>1901</v>
      </c>
      <c r="D390" s="2" t="s">
        <v>1181</v>
      </c>
      <c r="E390" s="2" t="s">
        <v>1180</v>
      </c>
      <c r="F390" s="36" t="s">
        <v>3274</v>
      </c>
    </row>
    <row r="391" spans="1:6" s="2" customFormat="1" x14ac:dyDescent="0.25">
      <c r="A391" s="2" t="s">
        <v>991</v>
      </c>
      <c r="B391" s="6">
        <f>265-5-50-10-5-10-1-108-76</f>
        <v>0</v>
      </c>
      <c r="C391" s="4"/>
      <c r="D391" s="2" t="s">
        <v>447</v>
      </c>
      <c r="E391" s="2" t="s">
        <v>993</v>
      </c>
      <c r="F391" s="36" t="s">
        <v>992</v>
      </c>
    </row>
    <row r="392" spans="1:6" s="2" customFormat="1" x14ac:dyDescent="0.25">
      <c r="A392" s="2" t="s">
        <v>3752</v>
      </c>
      <c r="B392" s="3">
        <v>54</v>
      </c>
      <c r="C392" s="4" t="s">
        <v>3753</v>
      </c>
      <c r="D392" s="2" t="s">
        <v>447</v>
      </c>
      <c r="E392" s="2" t="s">
        <v>3754</v>
      </c>
      <c r="F392" s="36" t="s">
        <v>3755</v>
      </c>
    </row>
    <row r="393" spans="1:6" s="2" customFormat="1" x14ac:dyDescent="0.25">
      <c r="A393" s="2" t="s">
        <v>1211</v>
      </c>
      <c r="B393" s="3">
        <f>3-2</f>
        <v>1</v>
      </c>
      <c r="C393" s="4" t="s">
        <v>3080</v>
      </c>
      <c r="D393" s="2" t="s">
        <v>447</v>
      </c>
      <c r="E393" s="2" t="s">
        <v>1212</v>
      </c>
      <c r="F393" s="36"/>
    </row>
    <row r="394" spans="1:6" s="2" customFormat="1" x14ac:dyDescent="0.25">
      <c r="A394" s="2" t="s">
        <v>1829</v>
      </c>
      <c r="B394" s="6">
        <f>1-1</f>
        <v>0</v>
      </c>
      <c r="C394" s="4" t="s">
        <v>1830</v>
      </c>
      <c r="D394" s="2" t="s">
        <v>447</v>
      </c>
      <c r="E394" s="2" t="s">
        <v>1212</v>
      </c>
      <c r="F394" s="36"/>
    </row>
    <row r="395" spans="1:6" s="2" customFormat="1" x14ac:dyDescent="0.25">
      <c r="A395" s="2" t="s">
        <v>3081</v>
      </c>
      <c r="B395" s="3">
        <f>8-3</f>
        <v>5</v>
      </c>
      <c r="C395" s="4" t="s">
        <v>3024</v>
      </c>
      <c r="D395" s="2" t="s">
        <v>447</v>
      </c>
      <c r="E395" s="2" t="s">
        <v>1005</v>
      </c>
      <c r="F395" s="36" t="s">
        <v>1006</v>
      </c>
    </row>
    <row r="396" spans="1:6" s="2" customFormat="1" x14ac:dyDescent="0.25">
      <c r="A396" s="2" t="s">
        <v>3081</v>
      </c>
      <c r="B396" s="3">
        <v>30</v>
      </c>
      <c r="C396" s="4" t="s">
        <v>3024</v>
      </c>
      <c r="D396" s="2" t="s">
        <v>447</v>
      </c>
      <c r="E396" s="2" t="s">
        <v>1005</v>
      </c>
      <c r="F396" s="36" t="s">
        <v>1006</v>
      </c>
    </row>
    <row r="397" spans="1:6" s="2" customFormat="1" x14ac:dyDescent="0.25">
      <c r="A397" s="2" t="s">
        <v>1003</v>
      </c>
      <c r="B397" s="3">
        <f>224+24-24-24-24-24-24-24-24-24-24-13-2</f>
        <v>17</v>
      </c>
      <c r="C397" s="4" t="s">
        <v>1004</v>
      </c>
      <c r="D397" s="2" t="s">
        <v>447</v>
      </c>
      <c r="E397" s="2" t="s">
        <v>1005</v>
      </c>
      <c r="F397" s="36" t="s">
        <v>1006</v>
      </c>
    </row>
    <row r="398" spans="1:6" s="2" customFormat="1" x14ac:dyDescent="0.25">
      <c r="A398" s="2" t="s">
        <v>1966</v>
      </c>
      <c r="B398" s="3">
        <v>10</v>
      </c>
      <c r="C398" s="4" t="s">
        <v>1733</v>
      </c>
      <c r="D398" s="2" t="s">
        <v>1968</v>
      </c>
      <c r="E398" s="2" t="s">
        <v>1967</v>
      </c>
      <c r="F398" s="36" t="s">
        <v>1969</v>
      </c>
    </row>
    <row r="399" spans="1:6" s="2" customFormat="1" x14ac:dyDescent="0.25">
      <c r="A399" s="2" t="s">
        <v>3240</v>
      </c>
      <c r="B399" s="3">
        <f>3900-15-205-618-16-2-20</f>
        <v>3024</v>
      </c>
      <c r="C399" s="4" t="s">
        <v>2307</v>
      </c>
      <c r="D399" s="2" t="s">
        <v>73</v>
      </c>
      <c r="E399" s="2" t="s">
        <v>3241</v>
      </c>
      <c r="F399" s="36" t="s">
        <v>3242</v>
      </c>
    </row>
    <row r="400" spans="1:6" s="2" customFormat="1" x14ac:dyDescent="0.25">
      <c r="A400" s="2" t="s">
        <v>3240</v>
      </c>
      <c r="B400" s="3">
        <v>1300</v>
      </c>
      <c r="C400" s="4" t="s">
        <v>2763</v>
      </c>
      <c r="D400" s="2" t="s">
        <v>73</v>
      </c>
      <c r="E400" s="2" t="s">
        <v>3241</v>
      </c>
      <c r="F400" s="36" t="s">
        <v>3242</v>
      </c>
    </row>
    <row r="401" spans="1:6" s="2" customFormat="1" x14ac:dyDescent="0.25">
      <c r="A401" s="2" t="s">
        <v>124</v>
      </c>
      <c r="B401" s="3">
        <v>2429</v>
      </c>
      <c r="C401" s="4" t="s">
        <v>125</v>
      </c>
      <c r="D401" s="2" t="s">
        <v>18</v>
      </c>
      <c r="E401" s="5" t="s">
        <v>127</v>
      </c>
      <c r="F401" s="36" t="s">
        <v>126</v>
      </c>
    </row>
    <row r="402" spans="1:6" s="2" customFormat="1" x14ac:dyDescent="0.25">
      <c r="A402" s="2" t="s">
        <v>3399</v>
      </c>
      <c r="B402" s="3">
        <v>4</v>
      </c>
      <c r="C402" s="4" t="s">
        <v>3400</v>
      </c>
      <c r="D402" s="2" t="s">
        <v>3401</v>
      </c>
      <c r="E402" s="5" t="s">
        <v>3402</v>
      </c>
      <c r="F402" s="36" t="s">
        <v>3403</v>
      </c>
    </row>
    <row r="403" spans="1:6" s="2" customFormat="1" x14ac:dyDescent="0.25">
      <c r="A403" s="2" t="s">
        <v>3102</v>
      </c>
      <c r="B403" s="6">
        <f>7-2-5</f>
        <v>0</v>
      </c>
      <c r="C403" s="4" t="s">
        <v>3103</v>
      </c>
      <c r="D403" s="2" t="s">
        <v>682</v>
      </c>
      <c r="E403" s="5" t="s">
        <v>3104</v>
      </c>
      <c r="F403" s="36" t="s">
        <v>3105</v>
      </c>
    </row>
    <row r="404" spans="1:6" s="2" customFormat="1" x14ac:dyDescent="0.25">
      <c r="A404" s="2" t="s">
        <v>2309</v>
      </c>
      <c r="B404" s="3">
        <v>129</v>
      </c>
      <c r="C404" s="4" t="s">
        <v>2310</v>
      </c>
      <c r="D404" s="2" t="s">
        <v>2306</v>
      </c>
      <c r="E404" s="5" t="s">
        <v>2311</v>
      </c>
      <c r="F404" s="36" t="s">
        <v>2312</v>
      </c>
    </row>
    <row r="405" spans="1:6" s="2" customFormat="1" x14ac:dyDescent="0.25">
      <c r="A405" s="2" t="s">
        <v>2304</v>
      </c>
      <c r="B405" s="3">
        <v>174</v>
      </c>
      <c r="C405" s="4" t="s">
        <v>2307</v>
      </c>
      <c r="D405" s="2" t="s">
        <v>2306</v>
      </c>
      <c r="E405" s="5" t="s">
        <v>2305</v>
      </c>
      <c r="F405" s="36" t="s">
        <v>2308</v>
      </c>
    </row>
    <row r="406" spans="1:6" s="2" customFormat="1" x14ac:dyDescent="0.25">
      <c r="A406" s="2" t="s">
        <v>3427</v>
      </c>
      <c r="B406" s="3">
        <v>10</v>
      </c>
      <c r="C406" s="4" t="s">
        <v>3428</v>
      </c>
      <c r="E406" s="5" t="s">
        <v>3429</v>
      </c>
      <c r="F406" s="36"/>
    </row>
    <row r="407" spans="1:6" s="2" customFormat="1" x14ac:dyDescent="0.25">
      <c r="A407" s="2" t="s">
        <v>3427</v>
      </c>
      <c r="B407" s="3">
        <v>20</v>
      </c>
      <c r="C407" s="4" t="s">
        <v>3428</v>
      </c>
      <c r="E407" s="5" t="s">
        <v>3429</v>
      </c>
      <c r="F407" s="36"/>
    </row>
    <row r="408" spans="1:6" s="2" customFormat="1" x14ac:dyDescent="0.25">
      <c r="A408" s="2" t="s">
        <v>3640</v>
      </c>
      <c r="B408" s="3">
        <v>4</v>
      </c>
      <c r="C408" s="4" t="s">
        <v>3641</v>
      </c>
      <c r="D408" s="2" t="s">
        <v>3642</v>
      </c>
      <c r="E408" s="5" t="s">
        <v>3643</v>
      </c>
      <c r="F408" s="36"/>
    </row>
    <row r="409" spans="1:6" s="2" customFormat="1" x14ac:dyDescent="0.25">
      <c r="A409" s="2" t="s">
        <v>3644</v>
      </c>
      <c r="B409" s="3">
        <v>10</v>
      </c>
      <c r="C409" s="4" t="s">
        <v>3641</v>
      </c>
      <c r="D409" s="2" t="s">
        <v>3642</v>
      </c>
      <c r="E409" s="5" t="s">
        <v>3645</v>
      </c>
      <c r="F409" s="36"/>
    </row>
    <row r="410" spans="1:6" s="2" customFormat="1" x14ac:dyDescent="0.25">
      <c r="A410" s="2" t="s">
        <v>3614</v>
      </c>
      <c r="B410" s="3">
        <v>8</v>
      </c>
      <c r="C410" s="4" t="s">
        <v>3616</v>
      </c>
      <c r="E410" s="5" t="s">
        <v>3615</v>
      </c>
      <c r="F410" s="36" t="s">
        <v>3617</v>
      </c>
    </row>
    <row r="411" spans="1:6" s="2" customFormat="1" x14ac:dyDescent="0.25">
      <c r="A411" s="2" t="s">
        <v>3614</v>
      </c>
      <c r="B411" s="3">
        <v>5</v>
      </c>
      <c r="C411" s="4" t="s">
        <v>3616</v>
      </c>
      <c r="E411" s="5" t="s">
        <v>3615</v>
      </c>
      <c r="F411" s="36" t="s">
        <v>3617</v>
      </c>
    </row>
    <row r="412" spans="1:6" s="2" customFormat="1" x14ac:dyDescent="0.25">
      <c r="A412" s="2" t="s">
        <v>3654</v>
      </c>
      <c r="B412" s="3">
        <v>1</v>
      </c>
      <c r="C412" s="4" t="s">
        <v>3641</v>
      </c>
      <c r="E412" s="5" t="s">
        <v>3655</v>
      </c>
      <c r="F412" s="36" t="s">
        <v>3617</v>
      </c>
    </row>
    <row r="413" spans="1:6" s="2" customFormat="1" x14ac:dyDescent="0.25">
      <c r="A413" s="2" t="s">
        <v>922</v>
      </c>
      <c r="B413" s="3">
        <v>2</v>
      </c>
      <c r="C413" s="3" t="s">
        <v>27</v>
      </c>
      <c r="D413" s="2" t="s">
        <v>923</v>
      </c>
      <c r="E413" s="2" t="s">
        <v>924</v>
      </c>
      <c r="F413" s="36"/>
    </row>
    <row r="414" spans="1:6" s="2" customFormat="1" x14ac:dyDescent="0.25">
      <c r="A414" s="2" t="s">
        <v>782</v>
      </c>
      <c r="B414" s="3">
        <v>5</v>
      </c>
      <c r="C414" s="3" t="s">
        <v>214</v>
      </c>
      <c r="D414" s="2" t="s">
        <v>781</v>
      </c>
      <c r="E414" s="2" t="s">
        <v>780</v>
      </c>
      <c r="F414" s="36" t="s">
        <v>783</v>
      </c>
    </row>
    <row r="415" spans="1:6" s="2" customFormat="1" x14ac:dyDescent="0.25">
      <c r="A415" s="2" t="s">
        <v>908</v>
      </c>
      <c r="B415" s="3">
        <v>80</v>
      </c>
      <c r="C415" s="3" t="s">
        <v>214</v>
      </c>
      <c r="D415" s="2" t="s">
        <v>491</v>
      </c>
      <c r="E415" s="2" t="s">
        <v>490</v>
      </c>
      <c r="F415" s="36" t="s">
        <v>489</v>
      </c>
    </row>
    <row r="416" spans="1:6" s="2" customFormat="1" x14ac:dyDescent="0.25">
      <c r="A416" s="2" t="s">
        <v>1804</v>
      </c>
      <c r="B416" s="3">
        <f>6-2</f>
        <v>4</v>
      </c>
      <c r="C416" s="3">
        <v>2203</v>
      </c>
      <c r="D416" s="2" t="s">
        <v>1802</v>
      </c>
      <c r="E416" s="2" t="s">
        <v>1803</v>
      </c>
      <c r="F416" s="36"/>
    </row>
    <row r="417" spans="1:8" s="2" customFormat="1" ht="45" x14ac:dyDescent="0.25">
      <c r="A417" s="2" t="s">
        <v>2577</v>
      </c>
      <c r="B417" s="3">
        <v>16</v>
      </c>
      <c r="C417" s="3">
        <v>2249</v>
      </c>
      <c r="D417" s="2" t="s">
        <v>2579</v>
      </c>
      <c r="E417" s="5" t="s">
        <v>2578</v>
      </c>
      <c r="F417" s="1" t="s">
        <v>2580</v>
      </c>
    </row>
    <row r="418" spans="1:8" s="2" customFormat="1" ht="45" x14ac:dyDescent="0.25">
      <c r="A418" s="2" t="s">
        <v>2577</v>
      </c>
      <c r="B418" s="3">
        <v>150</v>
      </c>
      <c r="C418" s="3">
        <v>2312</v>
      </c>
      <c r="D418" s="2" t="s">
        <v>2579</v>
      </c>
      <c r="E418" s="5" t="s">
        <v>2578</v>
      </c>
      <c r="F418" s="36" t="s">
        <v>2580</v>
      </c>
    </row>
    <row r="419" spans="1:8" s="2" customFormat="1" x14ac:dyDescent="0.25">
      <c r="A419" s="2" t="s">
        <v>3053</v>
      </c>
      <c r="B419" s="3">
        <v>11</v>
      </c>
      <c r="C419" s="3" t="s">
        <v>214</v>
      </c>
      <c r="D419" s="2" t="s">
        <v>101</v>
      </c>
      <c r="E419" s="2" t="s">
        <v>215</v>
      </c>
      <c r="F419" s="36" t="s">
        <v>369</v>
      </c>
    </row>
    <row r="420" spans="1:8" s="2" customFormat="1" ht="45" x14ac:dyDescent="0.25">
      <c r="A420" s="2" t="s">
        <v>3293</v>
      </c>
      <c r="B420" s="3">
        <v>400</v>
      </c>
      <c r="C420" s="3">
        <v>2320</v>
      </c>
      <c r="D420" s="5" t="s">
        <v>3294</v>
      </c>
      <c r="E420" s="2" t="s">
        <v>3296</v>
      </c>
      <c r="F420" s="36" t="s">
        <v>3295</v>
      </c>
    </row>
    <row r="421" spans="1:8" s="2" customFormat="1" x14ac:dyDescent="0.25">
      <c r="A421" s="2" t="s">
        <v>2335</v>
      </c>
      <c r="B421" s="3">
        <f>70-20-3-21</f>
        <v>26</v>
      </c>
      <c r="C421" s="3">
        <v>2401</v>
      </c>
      <c r="D421" s="2" t="s">
        <v>2337</v>
      </c>
      <c r="E421" s="2" t="s">
        <v>2336</v>
      </c>
      <c r="F421" s="36" t="s">
        <v>2338</v>
      </c>
    </row>
    <row r="422" spans="1:8" s="2" customFormat="1" x14ac:dyDescent="0.25">
      <c r="A422" s="2" t="s">
        <v>3484</v>
      </c>
      <c r="B422" s="6">
        <f>208-18-190</f>
        <v>0</v>
      </c>
      <c r="C422" s="3">
        <v>2326</v>
      </c>
      <c r="D422" s="2" t="s">
        <v>70</v>
      </c>
      <c r="E422" s="2" t="s">
        <v>3485</v>
      </c>
      <c r="F422" s="36" t="s">
        <v>3486</v>
      </c>
    </row>
    <row r="423" spans="1:8" s="2" customFormat="1" ht="61.15" customHeight="1" x14ac:dyDescent="0.25">
      <c r="A423" s="2" t="s">
        <v>2597</v>
      </c>
      <c r="B423" s="3">
        <f>100-4</f>
        <v>96</v>
      </c>
      <c r="C423" s="3">
        <v>2113</v>
      </c>
      <c r="D423" s="2" t="s">
        <v>2177</v>
      </c>
      <c r="E423" s="5" t="s">
        <v>2598</v>
      </c>
      <c r="F423" s="36" t="s">
        <v>2599</v>
      </c>
      <c r="G423" s="21"/>
      <c r="H423" s="21"/>
    </row>
    <row r="424" spans="1:8" s="2" customFormat="1" x14ac:dyDescent="0.25">
      <c r="A424" s="2" t="s">
        <v>2175</v>
      </c>
      <c r="B424" s="3">
        <v>444</v>
      </c>
      <c r="C424" s="3">
        <v>1415</v>
      </c>
      <c r="D424" s="2" t="s">
        <v>2177</v>
      </c>
      <c r="E424" s="2" t="s">
        <v>2176</v>
      </c>
      <c r="F424" s="36" t="s">
        <v>2178</v>
      </c>
    </row>
    <row r="425" spans="1:8" s="2" customFormat="1" x14ac:dyDescent="0.25">
      <c r="A425" s="2" t="s">
        <v>388</v>
      </c>
      <c r="B425" s="3">
        <v>5</v>
      </c>
      <c r="C425" s="3">
        <v>2017</v>
      </c>
      <c r="D425" s="2" t="s">
        <v>389</v>
      </c>
      <c r="E425" s="2" t="s">
        <v>390</v>
      </c>
      <c r="F425" s="36" t="s">
        <v>391</v>
      </c>
    </row>
    <row r="426" spans="1:8" s="2" customFormat="1" x14ac:dyDescent="0.25">
      <c r="A426" s="2" t="s">
        <v>184</v>
      </c>
      <c r="B426" s="6">
        <f>300-300</f>
        <v>0</v>
      </c>
      <c r="C426" s="3">
        <v>1120</v>
      </c>
      <c r="D426" s="2" t="s">
        <v>101</v>
      </c>
      <c r="E426" s="2" t="s">
        <v>185</v>
      </c>
      <c r="F426" s="36" t="s">
        <v>186</v>
      </c>
    </row>
    <row r="427" spans="1:8" s="2" customFormat="1" x14ac:dyDescent="0.25">
      <c r="A427" s="2" t="s">
        <v>100</v>
      </c>
      <c r="B427" s="3">
        <v>1000</v>
      </c>
      <c r="C427" s="22">
        <v>39349</v>
      </c>
      <c r="D427" s="2" t="s">
        <v>101</v>
      </c>
      <c r="E427" s="2" t="s">
        <v>103</v>
      </c>
      <c r="F427" s="36" t="s">
        <v>102</v>
      </c>
    </row>
    <row r="428" spans="1:8" s="2" customFormat="1" x14ac:dyDescent="0.25">
      <c r="A428" s="2" t="s">
        <v>1526</v>
      </c>
      <c r="B428" s="6">
        <v>0</v>
      </c>
      <c r="C428" s="3">
        <v>2126</v>
      </c>
      <c r="D428" s="2" t="s">
        <v>1527</v>
      </c>
      <c r="E428" s="2" t="s">
        <v>1528</v>
      </c>
      <c r="F428" s="36"/>
    </row>
    <row r="429" spans="1:8" s="2" customFormat="1" x14ac:dyDescent="0.25">
      <c r="A429" s="2" t="s">
        <v>3579</v>
      </c>
      <c r="B429" s="3">
        <v>10</v>
      </c>
      <c r="C429" s="3">
        <v>2352</v>
      </c>
      <c r="D429" s="2" t="s">
        <v>2786</v>
      </c>
      <c r="E429" s="2" t="s">
        <v>3580</v>
      </c>
      <c r="F429" s="36"/>
    </row>
    <row r="430" spans="1:8" s="2" customFormat="1" x14ac:dyDescent="0.25">
      <c r="A430" s="2" t="s">
        <v>874</v>
      </c>
      <c r="B430" s="3">
        <v>10</v>
      </c>
      <c r="C430" s="3"/>
      <c r="D430" s="2" t="s">
        <v>875</v>
      </c>
      <c r="E430" s="2" t="s">
        <v>876</v>
      </c>
      <c r="F430" s="36" t="s">
        <v>877</v>
      </c>
    </row>
    <row r="431" spans="1:8" s="2" customFormat="1" x14ac:dyDescent="0.25">
      <c r="A431" s="2" t="s">
        <v>586</v>
      </c>
      <c r="B431" s="3">
        <v>6</v>
      </c>
      <c r="C431" s="3"/>
      <c r="D431" s="2" t="s">
        <v>1036</v>
      </c>
      <c r="E431" s="2" t="s">
        <v>587</v>
      </c>
      <c r="F431" s="36" t="s">
        <v>588</v>
      </c>
    </row>
    <row r="432" spans="1:8" s="2" customFormat="1" x14ac:dyDescent="0.25">
      <c r="A432" s="2" t="s">
        <v>1035</v>
      </c>
      <c r="B432" s="3">
        <f>9-2</f>
        <v>7</v>
      </c>
      <c r="C432" s="3">
        <v>2213</v>
      </c>
      <c r="D432" s="2" t="s">
        <v>1037</v>
      </c>
      <c r="E432" s="2" t="s">
        <v>1038</v>
      </c>
      <c r="F432" s="36" t="s">
        <v>1039</v>
      </c>
    </row>
    <row r="433" spans="1:6" s="2" customFormat="1" x14ac:dyDescent="0.25">
      <c r="A433" s="2" t="s">
        <v>1057</v>
      </c>
      <c r="B433" s="3">
        <v>70</v>
      </c>
      <c r="C433" s="3" t="s">
        <v>214</v>
      </c>
      <c r="D433" s="2" t="s">
        <v>315</v>
      </c>
      <c r="E433" s="2" t="s">
        <v>1063</v>
      </c>
      <c r="F433" s="36"/>
    </row>
    <row r="434" spans="1:6" s="2" customFormat="1" x14ac:dyDescent="0.25">
      <c r="A434" s="2" t="s">
        <v>521</v>
      </c>
      <c r="B434" s="3">
        <v>4</v>
      </c>
      <c r="C434" s="3" t="s">
        <v>214</v>
      </c>
      <c r="D434" s="2" t="s">
        <v>71</v>
      </c>
      <c r="E434" s="2" t="s">
        <v>522</v>
      </c>
      <c r="F434" s="36" t="s">
        <v>523</v>
      </c>
    </row>
    <row r="435" spans="1:6" s="2" customFormat="1" x14ac:dyDescent="0.25">
      <c r="A435" s="2" t="s">
        <v>3099</v>
      </c>
      <c r="B435" s="6">
        <f>4-4</f>
        <v>0</v>
      </c>
      <c r="C435" s="3">
        <v>2138</v>
      </c>
      <c r="D435" s="2" t="s">
        <v>71</v>
      </c>
      <c r="E435" s="2" t="s">
        <v>3100</v>
      </c>
      <c r="F435" s="36" t="s">
        <v>3101</v>
      </c>
    </row>
    <row r="436" spans="1:6" s="2" customFormat="1" x14ac:dyDescent="0.25">
      <c r="A436" s="2" t="s">
        <v>3099</v>
      </c>
      <c r="B436" s="3">
        <f>2-1</f>
        <v>1</v>
      </c>
      <c r="C436" s="3">
        <v>2345</v>
      </c>
      <c r="D436" s="2" t="s">
        <v>71</v>
      </c>
      <c r="E436" s="2" t="s">
        <v>3100</v>
      </c>
      <c r="F436" s="36" t="s">
        <v>3101</v>
      </c>
    </row>
    <row r="437" spans="1:6" s="2" customFormat="1" x14ac:dyDescent="0.25">
      <c r="A437" s="2" t="s">
        <v>251</v>
      </c>
      <c r="B437" s="6">
        <f>2-2</f>
        <v>0</v>
      </c>
      <c r="C437" s="3"/>
      <c r="D437" s="2" t="s">
        <v>45</v>
      </c>
      <c r="E437" s="2" t="s">
        <v>252</v>
      </c>
      <c r="F437" s="36" t="s">
        <v>253</v>
      </c>
    </row>
    <row r="438" spans="1:6" s="2" customFormat="1" ht="30" x14ac:dyDescent="0.25">
      <c r="A438" s="2" t="s">
        <v>1581</v>
      </c>
      <c r="B438" s="6">
        <f>18-18</f>
        <v>0</v>
      </c>
      <c r="C438" s="3">
        <v>2012</v>
      </c>
      <c r="D438" s="2" t="s">
        <v>338</v>
      </c>
      <c r="E438" s="5" t="s">
        <v>1583</v>
      </c>
      <c r="F438" s="36" t="s">
        <v>1582</v>
      </c>
    </row>
    <row r="439" spans="1:6" s="2" customFormat="1" x14ac:dyDescent="0.25">
      <c r="A439" s="2" t="s">
        <v>1369</v>
      </c>
      <c r="B439" s="6">
        <f>3-3</f>
        <v>0</v>
      </c>
      <c r="C439" s="3">
        <v>2117</v>
      </c>
      <c r="D439" s="2" t="s">
        <v>1371</v>
      </c>
      <c r="E439" s="2" t="s">
        <v>1370</v>
      </c>
      <c r="F439" s="36"/>
    </row>
    <row r="440" spans="1:6" s="2" customFormat="1" x14ac:dyDescent="0.25">
      <c r="A440" s="2" t="s">
        <v>2339</v>
      </c>
      <c r="B440" s="3">
        <v>200</v>
      </c>
      <c r="C440" s="3">
        <v>2216</v>
      </c>
      <c r="D440" s="2" t="s">
        <v>2351</v>
      </c>
      <c r="E440" s="5" t="s">
        <v>2352</v>
      </c>
      <c r="F440" s="36" t="s">
        <v>2353</v>
      </c>
    </row>
    <row r="441" spans="1:6" s="2" customFormat="1" x14ac:dyDescent="0.25">
      <c r="A441" s="2" t="s">
        <v>1811</v>
      </c>
      <c r="B441" s="6">
        <f>3-3</f>
        <v>0</v>
      </c>
      <c r="C441" s="3">
        <v>2130</v>
      </c>
      <c r="D441" s="2" t="s">
        <v>1542</v>
      </c>
      <c r="E441" s="2" t="s">
        <v>1812</v>
      </c>
      <c r="F441" s="36" t="s">
        <v>1813</v>
      </c>
    </row>
    <row r="442" spans="1:6" s="2" customFormat="1" x14ac:dyDescent="0.25">
      <c r="A442" s="2" t="s">
        <v>584</v>
      </c>
      <c r="B442" s="3">
        <f>200-13</f>
        <v>187</v>
      </c>
      <c r="C442" s="3" t="s">
        <v>214</v>
      </c>
      <c r="D442" s="2" t="s">
        <v>213</v>
      </c>
      <c r="E442" s="2" t="s">
        <v>585</v>
      </c>
      <c r="F442" s="36"/>
    </row>
    <row r="443" spans="1:6" s="2" customFormat="1" x14ac:dyDescent="0.25">
      <c r="A443" s="2" t="s">
        <v>1042</v>
      </c>
      <c r="B443" s="3">
        <v>1</v>
      </c>
      <c r="C443" s="3" t="s">
        <v>214</v>
      </c>
      <c r="D443" s="2" t="s">
        <v>1043</v>
      </c>
      <c r="E443" s="2" t="s">
        <v>1045</v>
      </c>
      <c r="F443" s="36" t="s">
        <v>1044</v>
      </c>
    </row>
    <row r="444" spans="1:6" s="2" customFormat="1" ht="45" x14ac:dyDescent="0.25">
      <c r="A444" s="2" t="s">
        <v>3633</v>
      </c>
      <c r="B444" s="3">
        <v>14</v>
      </c>
      <c r="C444" s="3">
        <v>2005</v>
      </c>
      <c r="D444" s="2" t="s">
        <v>1043</v>
      </c>
      <c r="E444" s="2" t="s">
        <v>3635</v>
      </c>
      <c r="F444" s="1" t="s">
        <v>3634</v>
      </c>
    </row>
    <row r="445" spans="1:6" s="2" customFormat="1" ht="45" x14ac:dyDescent="0.25">
      <c r="A445" s="5" t="s">
        <v>2757</v>
      </c>
      <c r="B445" s="3">
        <v>30</v>
      </c>
      <c r="C445" s="3">
        <v>2233</v>
      </c>
      <c r="D445" s="2" t="s">
        <v>213</v>
      </c>
      <c r="E445" s="2" t="s">
        <v>2754</v>
      </c>
      <c r="F445" s="36" t="s">
        <v>2755</v>
      </c>
    </row>
    <row r="446" spans="1:6" s="2" customFormat="1" x14ac:dyDescent="0.25">
      <c r="A446" s="2" t="s">
        <v>1258</v>
      </c>
      <c r="B446" s="6">
        <f>1-1</f>
        <v>0</v>
      </c>
      <c r="C446" s="3">
        <v>2008</v>
      </c>
      <c r="D446" s="2" t="s">
        <v>1043</v>
      </c>
      <c r="E446" s="2" t="s">
        <v>1259</v>
      </c>
      <c r="F446" s="36"/>
    </row>
    <row r="447" spans="1:6" s="2" customFormat="1" x14ac:dyDescent="0.25">
      <c r="A447" s="2" t="s">
        <v>1258</v>
      </c>
      <c r="B447" s="6">
        <f>65+135-179-21</f>
        <v>0</v>
      </c>
      <c r="C447" s="3" t="s">
        <v>3283</v>
      </c>
      <c r="D447" s="2" t="s">
        <v>1043</v>
      </c>
      <c r="E447" s="2" t="s">
        <v>1259</v>
      </c>
      <c r="F447" s="36"/>
    </row>
    <row r="448" spans="1:6" s="2" customFormat="1" x14ac:dyDescent="0.25">
      <c r="A448" s="2" t="s">
        <v>1258</v>
      </c>
      <c r="B448" s="3">
        <v>2</v>
      </c>
      <c r="C448" s="3">
        <v>2207</v>
      </c>
      <c r="D448" s="2" t="s">
        <v>213</v>
      </c>
      <c r="F448" s="36"/>
    </row>
    <row r="449" spans="1:6" s="2" customFormat="1" x14ac:dyDescent="0.25">
      <c r="A449" s="2" t="s">
        <v>1258</v>
      </c>
      <c r="B449" s="3">
        <v>179</v>
      </c>
      <c r="C449" s="3"/>
      <c r="D449" s="2" t="s">
        <v>213</v>
      </c>
      <c r="F449" s="36"/>
    </row>
    <row r="450" spans="1:6" s="2" customFormat="1" x14ac:dyDescent="0.25">
      <c r="A450" s="2" t="s">
        <v>2726</v>
      </c>
      <c r="B450" s="3">
        <f>335+5-1</f>
        <v>339</v>
      </c>
      <c r="C450" s="3">
        <v>2307</v>
      </c>
      <c r="D450" s="2" t="s">
        <v>1043</v>
      </c>
      <c r="E450" s="2" t="s">
        <v>2727</v>
      </c>
      <c r="F450" s="36" t="s">
        <v>2728</v>
      </c>
    </row>
    <row r="451" spans="1:6" s="2" customFormat="1" ht="42.75" x14ac:dyDescent="0.25">
      <c r="A451" s="23" t="s">
        <v>2756</v>
      </c>
      <c r="B451" s="6">
        <f>318-318</f>
        <v>0</v>
      </c>
      <c r="C451" s="3">
        <v>2219</v>
      </c>
      <c r="D451" s="2" t="s">
        <v>213</v>
      </c>
      <c r="E451" s="2" t="s">
        <v>6995</v>
      </c>
      <c r="F451" s="36"/>
    </row>
    <row r="452" spans="1:6" s="2" customFormat="1" x14ac:dyDescent="0.25">
      <c r="A452" s="2" t="s">
        <v>424</v>
      </c>
      <c r="B452" s="3">
        <v>3</v>
      </c>
      <c r="C452" s="3" t="s">
        <v>214</v>
      </c>
      <c r="D452" s="2" t="s">
        <v>425</v>
      </c>
      <c r="E452" s="2" t="s">
        <v>423</v>
      </c>
      <c r="F452" s="36"/>
    </row>
    <row r="453" spans="1:6" s="2" customFormat="1" ht="60" x14ac:dyDescent="0.25">
      <c r="A453" s="2" t="s">
        <v>2234</v>
      </c>
      <c r="B453" s="3">
        <v>13</v>
      </c>
      <c r="C453" s="3">
        <v>2208</v>
      </c>
      <c r="D453" s="2" t="s">
        <v>2236</v>
      </c>
      <c r="E453" s="5" t="s">
        <v>2235</v>
      </c>
      <c r="F453" s="36" t="s">
        <v>2237</v>
      </c>
    </row>
    <row r="454" spans="1:6" s="2" customFormat="1" x14ac:dyDescent="0.25">
      <c r="A454" s="2" t="s">
        <v>766</v>
      </c>
      <c r="B454" s="3">
        <f>25-5</f>
        <v>20</v>
      </c>
      <c r="C454" s="3" t="s">
        <v>743</v>
      </c>
      <c r="D454" s="2" t="s">
        <v>33</v>
      </c>
      <c r="E454" s="2" t="s">
        <v>767</v>
      </c>
      <c r="F454" s="36" t="s">
        <v>768</v>
      </c>
    </row>
    <row r="455" spans="1:6" s="2" customFormat="1" x14ac:dyDescent="0.25">
      <c r="A455" s="2" t="s">
        <v>1127</v>
      </c>
      <c r="B455" s="6">
        <f>100-100</f>
        <v>0</v>
      </c>
      <c r="C455" s="3" t="s">
        <v>743</v>
      </c>
      <c r="D455" s="2" t="s">
        <v>33</v>
      </c>
      <c r="E455" s="2" t="s">
        <v>1128</v>
      </c>
      <c r="F455" s="36"/>
    </row>
    <row r="456" spans="1:6" s="2" customFormat="1" x14ac:dyDescent="0.25">
      <c r="A456" s="12" t="s">
        <v>1657</v>
      </c>
      <c r="B456" s="3">
        <v>8</v>
      </c>
      <c r="C456" s="3" t="s">
        <v>743</v>
      </c>
      <c r="D456" s="2" t="s">
        <v>1658</v>
      </c>
      <c r="E456" s="2" t="s">
        <v>1659</v>
      </c>
      <c r="F456" s="36" t="s">
        <v>1660</v>
      </c>
    </row>
    <row r="457" spans="1:6" s="2" customFormat="1" x14ac:dyDescent="0.25">
      <c r="A457" s="2" t="s">
        <v>44</v>
      </c>
      <c r="B457" s="3">
        <v>2</v>
      </c>
      <c r="C457" s="4" t="s">
        <v>46</v>
      </c>
      <c r="D457" s="2" t="s">
        <v>45</v>
      </c>
      <c r="E457" s="2" t="s">
        <v>48</v>
      </c>
      <c r="F457" s="36" t="s">
        <v>47</v>
      </c>
    </row>
    <row r="458" spans="1:6" s="2" customFormat="1" x14ac:dyDescent="0.25">
      <c r="A458" s="12" t="s">
        <v>1536</v>
      </c>
      <c r="B458" s="6">
        <f>7-4-3</f>
        <v>0</v>
      </c>
      <c r="C458" s="3">
        <v>2148</v>
      </c>
      <c r="D458" s="5" t="s">
        <v>1538</v>
      </c>
      <c r="E458" s="2" t="s">
        <v>1537</v>
      </c>
      <c r="F458" s="36"/>
    </row>
    <row r="459" spans="1:6" s="2" customFormat="1" x14ac:dyDescent="0.25">
      <c r="A459" s="12" t="s">
        <v>1351</v>
      </c>
      <c r="B459" s="3">
        <v>2</v>
      </c>
      <c r="C459" s="3" t="s">
        <v>214</v>
      </c>
      <c r="D459" s="2" t="s">
        <v>33</v>
      </c>
      <c r="E459" s="2" t="s">
        <v>1352</v>
      </c>
      <c r="F459" s="36"/>
    </row>
    <row r="460" spans="1:6" s="2" customFormat="1" x14ac:dyDescent="0.25">
      <c r="A460" s="12" t="s">
        <v>3678</v>
      </c>
      <c r="B460" s="3">
        <v>20</v>
      </c>
      <c r="C460" s="3">
        <v>2448</v>
      </c>
      <c r="E460" s="2" t="s">
        <v>3679</v>
      </c>
      <c r="F460" s="36" t="s">
        <v>3680</v>
      </c>
    </row>
    <row r="461" spans="1:6" s="2" customFormat="1" x14ac:dyDescent="0.25">
      <c r="A461" s="12" t="s">
        <v>1348</v>
      </c>
      <c r="B461" s="3">
        <v>8</v>
      </c>
      <c r="C461" s="3" t="s">
        <v>214</v>
      </c>
      <c r="D461" s="2" t="s">
        <v>33</v>
      </c>
      <c r="E461" s="2" t="s">
        <v>1350</v>
      </c>
      <c r="F461" s="36" t="s">
        <v>1349</v>
      </c>
    </row>
    <row r="462" spans="1:6" s="2" customFormat="1" x14ac:dyDescent="0.25">
      <c r="A462" s="2" t="s">
        <v>599</v>
      </c>
      <c r="B462" s="3">
        <v>26</v>
      </c>
      <c r="C462" s="3" t="s">
        <v>214</v>
      </c>
      <c r="D462" s="2" t="s">
        <v>33</v>
      </c>
      <c r="E462" s="2" t="s">
        <v>600</v>
      </c>
      <c r="F462" s="36" t="s">
        <v>601</v>
      </c>
    </row>
    <row r="463" spans="1:6" s="2" customFormat="1" x14ac:dyDescent="0.25">
      <c r="A463" s="2" t="s">
        <v>2798</v>
      </c>
      <c r="B463" s="3">
        <v>4</v>
      </c>
      <c r="C463" s="4" t="s">
        <v>2799</v>
      </c>
      <c r="D463" s="2" t="s">
        <v>33</v>
      </c>
      <c r="E463" s="2" t="s">
        <v>2800</v>
      </c>
      <c r="F463" s="36" t="s">
        <v>2801</v>
      </c>
    </row>
    <row r="464" spans="1:6" s="2" customFormat="1" x14ac:dyDescent="0.25">
      <c r="A464" s="2" t="s">
        <v>1026</v>
      </c>
      <c r="B464" s="6">
        <f>16-16</f>
        <v>0</v>
      </c>
      <c r="C464" s="4" t="s">
        <v>27</v>
      </c>
      <c r="D464" s="2" t="s">
        <v>33</v>
      </c>
      <c r="E464" s="2" t="s">
        <v>1027</v>
      </c>
      <c r="F464" s="36" t="s">
        <v>1028</v>
      </c>
    </row>
    <row r="465" spans="1:6" s="2" customFormat="1" x14ac:dyDescent="0.25">
      <c r="A465" s="2" t="s">
        <v>1025</v>
      </c>
      <c r="B465" s="3">
        <f>4-4</f>
        <v>0</v>
      </c>
      <c r="C465" s="3" t="s">
        <v>27</v>
      </c>
      <c r="D465" s="2" t="s">
        <v>33</v>
      </c>
      <c r="E465" s="2" t="s">
        <v>32</v>
      </c>
      <c r="F465" s="36" t="s">
        <v>34</v>
      </c>
    </row>
    <row r="466" spans="1:6" s="2" customFormat="1" x14ac:dyDescent="0.25">
      <c r="A466" s="2" t="s">
        <v>946</v>
      </c>
      <c r="B466" s="3">
        <f>10-4</f>
        <v>6</v>
      </c>
      <c r="C466" s="3" t="s">
        <v>214</v>
      </c>
      <c r="D466" s="2" t="s">
        <v>947</v>
      </c>
      <c r="E466" s="2" t="s">
        <v>948</v>
      </c>
      <c r="F466" s="36" t="s">
        <v>949</v>
      </c>
    </row>
    <row r="467" spans="1:6" s="2" customFormat="1" x14ac:dyDescent="0.25">
      <c r="A467" s="2" t="s">
        <v>3474</v>
      </c>
      <c r="B467" s="3">
        <v>49</v>
      </c>
      <c r="C467" s="4" t="s">
        <v>3475</v>
      </c>
      <c r="D467" s="2" t="s">
        <v>744</v>
      </c>
      <c r="E467" s="2" t="s">
        <v>3476</v>
      </c>
      <c r="F467" s="36" t="s">
        <v>3477</v>
      </c>
    </row>
    <row r="468" spans="1:6" s="2" customFormat="1" ht="45" x14ac:dyDescent="0.25">
      <c r="A468" s="2" t="s">
        <v>3262</v>
      </c>
      <c r="B468" s="3">
        <v>10</v>
      </c>
      <c r="C468" s="3">
        <v>2213</v>
      </c>
      <c r="D468" s="2" t="s">
        <v>744</v>
      </c>
      <c r="E468" s="5" t="s">
        <v>3260</v>
      </c>
      <c r="F468" s="36" t="s">
        <v>3261</v>
      </c>
    </row>
    <row r="469" spans="1:6" s="2" customFormat="1" x14ac:dyDescent="0.25">
      <c r="A469" s="2" t="s">
        <v>1974</v>
      </c>
      <c r="B469" s="3">
        <v>20</v>
      </c>
      <c r="C469" s="4" t="s">
        <v>1544</v>
      </c>
      <c r="D469" s="2" t="s">
        <v>744</v>
      </c>
      <c r="E469" s="2" t="s">
        <v>1976</v>
      </c>
      <c r="F469" s="36" t="s">
        <v>1975</v>
      </c>
    </row>
    <row r="470" spans="1:6" s="2" customFormat="1" x14ac:dyDescent="0.25">
      <c r="A470" s="2" t="s">
        <v>3574</v>
      </c>
      <c r="B470" s="3">
        <v>1</v>
      </c>
      <c r="C470" s="4" t="s">
        <v>3576</v>
      </c>
      <c r="D470" s="2" t="s">
        <v>744</v>
      </c>
      <c r="E470" s="2" t="s">
        <v>3575</v>
      </c>
      <c r="F470" s="36"/>
    </row>
    <row r="471" spans="1:6" s="2" customFormat="1" x14ac:dyDescent="0.25">
      <c r="A471" s="2" t="s">
        <v>2138</v>
      </c>
      <c r="B471" s="3">
        <v>9</v>
      </c>
      <c r="C471" s="4" t="s">
        <v>2137</v>
      </c>
      <c r="D471" s="2" t="s">
        <v>744</v>
      </c>
      <c r="E471" s="2" t="s">
        <v>2136</v>
      </c>
      <c r="F471" s="36" t="s">
        <v>2139</v>
      </c>
    </row>
    <row r="472" spans="1:6" s="2" customFormat="1" ht="30" x14ac:dyDescent="0.25">
      <c r="A472" s="2" t="s">
        <v>3238</v>
      </c>
      <c r="B472" s="3">
        <v>1</v>
      </c>
      <c r="C472" s="4" t="s">
        <v>2763</v>
      </c>
      <c r="D472" s="2" t="s">
        <v>744</v>
      </c>
      <c r="E472" s="5" t="s">
        <v>3237</v>
      </c>
      <c r="F472" s="36" t="s">
        <v>3239</v>
      </c>
    </row>
    <row r="473" spans="1:6" s="2" customFormat="1" x14ac:dyDescent="0.25">
      <c r="A473" s="2" t="s">
        <v>3054</v>
      </c>
      <c r="B473" s="3">
        <v>16</v>
      </c>
      <c r="C473" s="3">
        <v>2120</v>
      </c>
      <c r="D473" s="2" t="s">
        <v>744</v>
      </c>
      <c r="E473" s="2" t="s">
        <v>1838</v>
      </c>
      <c r="F473" s="36" t="s">
        <v>1839</v>
      </c>
    </row>
    <row r="474" spans="1:6" s="2" customFormat="1" x14ac:dyDescent="0.25">
      <c r="A474" s="2" t="s">
        <v>3055</v>
      </c>
      <c r="B474" s="3">
        <v>1</v>
      </c>
      <c r="C474" s="3">
        <v>2120</v>
      </c>
      <c r="D474" s="2" t="s">
        <v>744</v>
      </c>
      <c r="E474" s="2" t="s">
        <v>1838</v>
      </c>
      <c r="F474" s="36" t="s">
        <v>1839</v>
      </c>
    </row>
    <row r="475" spans="1:6" s="2" customFormat="1" x14ac:dyDescent="0.25">
      <c r="A475" s="2" t="s">
        <v>1837</v>
      </c>
      <c r="B475" s="3">
        <v>3</v>
      </c>
      <c r="C475" s="3">
        <v>2120</v>
      </c>
      <c r="D475" s="2" t="s">
        <v>744</v>
      </c>
      <c r="E475" s="2" t="s">
        <v>1838</v>
      </c>
      <c r="F475" s="36" t="s">
        <v>1839</v>
      </c>
    </row>
    <row r="476" spans="1:6" s="2" customFormat="1" x14ac:dyDescent="0.25">
      <c r="A476" s="2" t="s">
        <v>995</v>
      </c>
      <c r="B476" s="3">
        <v>1</v>
      </c>
      <c r="C476" s="3" t="s">
        <v>214</v>
      </c>
      <c r="D476" s="2" t="s">
        <v>744</v>
      </c>
      <c r="E476" s="2" t="s">
        <v>997</v>
      </c>
      <c r="F476" s="36" t="s">
        <v>996</v>
      </c>
    </row>
    <row r="477" spans="1:6" s="2" customFormat="1" ht="30" x14ac:dyDescent="0.25">
      <c r="A477" s="2" t="s">
        <v>2548</v>
      </c>
      <c r="B477" s="3">
        <v>4</v>
      </c>
      <c r="C477" s="3">
        <v>2206</v>
      </c>
      <c r="D477" s="2" t="s">
        <v>744</v>
      </c>
      <c r="E477" s="5" t="s">
        <v>2549</v>
      </c>
      <c r="F477" s="36" t="s">
        <v>2550</v>
      </c>
    </row>
    <row r="478" spans="1:6" s="2" customFormat="1" ht="30" x14ac:dyDescent="0.25">
      <c r="A478" s="2" t="s">
        <v>2676</v>
      </c>
      <c r="B478" s="3">
        <v>6</v>
      </c>
      <c r="C478" s="3"/>
      <c r="E478" s="5" t="s">
        <v>2677</v>
      </c>
      <c r="F478" s="1" t="s">
        <v>2673</v>
      </c>
    </row>
    <row r="479" spans="1:6" s="2" customFormat="1" ht="30" x14ac:dyDescent="0.25">
      <c r="A479" s="2" t="s">
        <v>2676</v>
      </c>
      <c r="B479" s="3">
        <v>10</v>
      </c>
      <c r="C479" s="3">
        <v>2118</v>
      </c>
      <c r="D479" s="2" t="s">
        <v>744</v>
      </c>
      <c r="E479" s="5" t="s">
        <v>2677</v>
      </c>
      <c r="F479" s="1" t="s">
        <v>2673</v>
      </c>
    </row>
    <row r="480" spans="1:6" s="2" customFormat="1" x14ac:dyDescent="0.25">
      <c r="A480" s="2" t="s">
        <v>2674</v>
      </c>
      <c r="B480" s="3">
        <v>8</v>
      </c>
      <c r="C480" s="3">
        <v>2118</v>
      </c>
      <c r="D480" s="2" t="s">
        <v>744</v>
      </c>
      <c r="E480" s="5" t="s">
        <v>2675</v>
      </c>
      <c r="F480" s="36" t="s">
        <v>2673</v>
      </c>
    </row>
    <row r="481" spans="1:6" s="2" customFormat="1" ht="30" x14ac:dyDescent="0.25">
      <c r="A481" s="2" t="s">
        <v>3510</v>
      </c>
      <c r="B481" s="6">
        <f>650-650</f>
        <v>0</v>
      </c>
      <c r="C481" s="3">
        <v>2320</v>
      </c>
      <c r="D481" s="2" t="s">
        <v>744</v>
      </c>
      <c r="E481" s="5" t="s">
        <v>3511</v>
      </c>
      <c r="F481" s="36"/>
    </row>
    <row r="482" spans="1:6" s="2" customFormat="1" x14ac:dyDescent="0.25">
      <c r="A482" s="12" t="s">
        <v>397</v>
      </c>
      <c r="B482" s="3">
        <v>3</v>
      </c>
      <c r="C482" s="3" t="s">
        <v>214</v>
      </c>
      <c r="D482" s="2" t="s">
        <v>744</v>
      </c>
      <c r="E482" s="2" t="s">
        <v>346</v>
      </c>
      <c r="F482" s="36"/>
    </row>
    <row r="483" spans="1:6" s="2" customFormat="1" x14ac:dyDescent="0.25">
      <c r="A483" s="2" t="s">
        <v>1325</v>
      </c>
      <c r="B483" s="3">
        <v>1</v>
      </c>
      <c r="C483" s="3" t="s">
        <v>214</v>
      </c>
      <c r="D483" s="2" t="s">
        <v>744</v>
      </c>
      <c r="E483" s="2" t="s">
        <v>1326</v>
      </c>
      <c r="F483" s="36"/>
    </row>
    <row r="484" spans="1:6" s="2" customFormat="1" x14ac:dyDescent="0.25">
      <c r="A484" s="2" t="s">
        <v>741</v>
      </c>
      <c r="B484" s="3">
        <v>10</v>
      </c>
      <c r="C484" s="3" t="s">
        <v>743</v>
      </c>
      <c r="D484" s="2" t="s">
        <v>744</v>
      </c>
      <c r="E484" s="2" t="s">
        <v>742</v>
      </c>
      <c r="F484" s="36" t="s">
        <v>745</v>
      </c>
    </row>
    <row r="485" spans="1:6" s="2" customFormat="1" x14ac:dyDescent="0.25">
      <c r="A485" s="2" t="s">
        <v>746</v>
      </c>
      <c r="B485" s="3">
        <f>10-5</f>
        <v>5</v>
      </c>
      <c r="C485" s="3" t="s">
        <v>743</v>
      </c>
      <c r="D485" s="2" t="s">
        <v>744</v>
      </c>
      <c r="E485" s="2" t="s">
        <v>747</v>
      </c>
      <c r="F485" s="36" t="s">
        <v>748</v>
      </c>
    </row>
    <row r="486" spans="1:6" s="2" customFormat="1" x14ac:dyDescent="0.25">
      <c r="A486" s="2" t="s">
        <v>2729</v>
      </c>
      <c r="B486" s="3">
        <v>385</v>
      </c>
      <c r="C486" s="3">
        <v>2209</v>
      </c>
      <c r="D486" s="2" t="s">
        <v>744</v>
      </c>
      <c r="E486" s="2" t="s">
        <v>2730</v>
      </c>
      <c r="F486" s="36"/>
    </row>
    <row r="487" spans="1:6" s="2" customFormat="1" ht="30" x14ac:dyDescent="0.25">
      <c r="A487" s="2" t="s">
        <v>281</v>
      </c>
      <c r="B487" s="3">
        <v>1</v>
      </c>
      <c r="C487" s="4"/>
      <c r="D487" s="5" t="s">
        <v>26</v>
      </c>
      <c r="E487" s="2" t="s">
        <v>282</v>
      </c>
      <c r="F487" s="36" t="s">
        <v>283</v>
      </c>
    </row>
    <row r="488" spans="1:6" s="2" customFormat="1" x14ac:dyDescent="0.25">
      <c r="A488" s="2" t="s">
        <v>1865</v>
      </c>
      <c r="B488" s="6">
        <f>250-250</f>
        <v>0</v>
      </c>
      <c r="C488" s="4" t="s">
        <v>1866</v>
      </c>
      <c r="D488" s="5" t="s">
        <v>37</v>
      </c>
      <c r="E488" s="2" t="s">
        <v>1867</v>
      </c>
      <c r="F488" s="36" t="s">
        <v>1868</v>
      </c>
    </row>
    <row r="489" spans="1:6" s="2" customFormat="1" ht="45" x14ac:dyDescent="0.25">
      <c r="A489" s="2" t="s">
        <v>3704</v>
      </c>
      <c r="B489" s="3">
        <v>20</v>
      </c>
      <c r="C489" s="3">
        <v>2503</v>
      </c>
      <c r="D489" s="5" t="s">
        <v>3703</v>
      </c>
      <c r="E489" s="5"/>
      <c r="F489" s="36"/>
    </row>
    <row r="490" spans="1:6" s="2" customFormat="1" ht="30" x14ac:dyDescent="0.25">
      <c r="A490" s="2" t="s">
        <v>2162</v>
      </c>
      <c r="B490" s="3">
        <v>690</v>
      </c>
      <c r="C490" s="4" t="s">
        <v>1640</v>
      </c>
      <c r="D490" s="5" t="s">
        <v>1078</v>
      </c>
      <c r="E490" s="2" t="s">
        <v>2163</v>
      </c>
      <c r="F490" s="36" t="s">
        <v>2164</v>
      </c>
    </row>
    <row r="491" spans="1:6" s="2" customFormat="1" ht="45" x14ac:dyDescent="0.25">
      <c r="A491" s="2" t="s">
        <v>3649</v>
      </c>
      <c r="B491" s="3">
        <v>1</v>
      </c>
      <c r="C491" s="4" t="s">
        <v>3650</v>
      </c>
      <c r="D491" s="5" t="s">
        <v>3651</v>
      </c>
      <c r="E491" s="2" t="s">
        <v>3652</v>
      </c>
      <c r="F491" s="36" t="s">
        <v>3653</v>
      </c>
    </row>
    <row r="492" spans="1:6" s="2" customFormat="1" ht="90" x14ac:dyDescent="0.25">
      <c r="A492" s="2" t="s">
        <v>2834</v>
      </c>
      <c r="B492" s="3">
        <v>3</v>
      </c>
      <c r="C492" s="4" t="s">
        <v>2835</v>
      </c>
      <c r="D492" s="2" t="s">
        <v>1191</v>
      </c>
      <c r="E492" s="2" t="s">
        <v>2836</v>
      </c>
      <c r="F492" s="1" t="s">
        <v>2837</v>
      </c>
    </row>
    <row r="493" spans="1:6" s="2" customFormat="1" x14ac:dyDescent="0.25">
      <c r="A493" s="2" t="s">
        <v>2259</v>
      </c>
      <c r="B493" s="3">
        <v>25</v>
      </c>
      <c r="C493" s="4" t="s">
        <v>2260</v>
      </c>
      <c r="D493" s="2" t="s">
        <v>1191</v>
      </c>
      <c r="E493" s="2" t="s">
        <v>2261</v>
      </c>
      <c r="F493" s="36" t="s">
        <v>2262</v>
      </c>
    </row>
    <row r="494" spans="1:6" s="2" customFormat="1" x14ac:dyDescent="0.25">
      <c r="A494" s="2" t="s">
        <v>1595</v>
      </c>
      <c r="B494" s="3">
        <v>1</v>
      </c>
      <c r="C494" s="3">
        <v>2023</v>
      </c>
      <c r="E494" s="2" t="s">
        <v>1596</v>
      </c>
      <c r="F494" s="36" t="s">
        <v>1597</v>
      </c>
    </row>
    <row r="495" spans="1:6" s="2" customFormat="1" x14ac:dyDescent="0.25">
      <c r="A495" s="2" t="s">
        <v>3554</v>
      </c>
      <c r="B495" s="3">
        <v>12</v>
      </c>
      <c r="C495" s="3">
        <v>2411</v>
      </c>
      <c r="D495" s="2" t="s">
        <v>1191</v>
      </c>
      <c r="E495" s="2" t="s">
        <v>3555</v>
      </c>
      <c r="F495" s="36" t="s">
        <v>3556</v>
      </c>
    </row>
    <row r="496" spans="1:6" s="2" customFormat="1" x14ac:dyDescent="0.25">
      <c r="A496" s="2" t="s">
        <v>1220</v>
      </c>
      <c r="B496" s="3">
        <v>1</v>
      </c>
      <c r="C496" s="3" t="s">
        <v>743</v>
      </c>
      <c r="D496" s="2" t="s">
        <v>208</v>
      </c>
      <c r="E496" s="2" t="s">
        <v>1221</v>
      </c>
      <c r="F496" s="36"/>
    </row>
    <row r="497" spans="1:6" s="2" customFormat="1" x14ac:dyDescent="0.25">
      <c r="A497" s="2" t="s">
        <v>1690</v>
      </c>
      <c r="B497" s="3">
        <f>10-4</f>
        <v>6</v>
      </c>
      <c r="C497" s="3">
        <v>2019</v>
      </c>
      <c r="D497" s="2" t="s">
        <v>208</v>
      </c>
      <c r="E497" s="2" t="s">
        <v>1691</v>
      </c>
      <c r="F497" s="36" t="s">
        <v>1692</v>
      </c>
    </row>
    <row r="498" spans="1:6" s="2" customFormat="1" x14ac:dyDescent="0.25">
      <c r="A498" s="2" t="s">
        <v>1481</v>
      </c>
      <c r="B498" s="3">
        <v>20</v>
      </c>
      <c r="C498" s="3">
        <v>1941</v>
      </c>
      <c r="D498" s="2" t="s">
        <v>63</v>
      </c>
      <c r="E498" s="2" t="s">
        <v>1483</v>
      </c>
      <c r="F498" s="36" t="s">
        <v>1482</v>
      </c>
    </row>
    <row r="499" spans="1:6" s="2" customFormat="1" ht="90" x14ac:dyDescent="0.25">
      <c r="A499" s="2" t="s">
        <v>3275</v>
      </c>
      <c r="B499" s="3">
        <v>20</v>
      </c>
      <c r="C499" s="3">
        <v>2236</v>
      </c>
      <c r="D499" s="2" t="s">
        <v>1191</v>
      </c>
      <c r="E499" s="2" t="s">
        <v>3276</v>
      </c>
      <c r="F499" s="1" t="s">
        <v>3277</v>
      </c>
    </row>
    <row r="500" spans="1:6" s="2" customFormat="1" x14ac:dyDescent="0.25">
      <c r="A500" s="2" t="s">
        <v>846</v>
      </c>
      <c r="B500" s="3">
        <f>16-10-2</f>
        <v>4</v>
      </c>
      <c r="C500" s="3" t="s">
        <v>743</v>
      </c>
      <c r="D500" s="2" t="s">
        <v>994</v>
      </c>
      <c r="E500" s="2" t="s">
        <v>847</v>
      </c>
      <c r="F500" s="36" t="s">
        <v>848</v>
      </c>
    </row>
    <row r="501" spans="1:6" s="2" customFormat="1" x14ac:dyDescent="0.25">
      <c r="A501" s="2" t="s">
        <v>2168</v>
      </c>
      <c r="B501" s="6">
        <f>50-50</f>
        <v>0</v>
      </c>
      <c r="C501" s="3">
        <v>2143</v>
      </c>
      <c r="D501" s="2" t="s">
        <v>2170</v>
      </c>
      <c r="E501" s="5" t="s">
        <v>2169</v>
      </c>
      <c r="F501" s="36" t="s">
        <v>2171</v>
      </c>
    </row>
    <row r="502" spans="1:6" s="2" customFormat="1" ht="45" x14ac:dyDescent="0.25">
      <c r="A502" s="2" t="s">
        <v>3702</v>
      </c>
      <c r="B502" s="3">
        <v>20</v>
      </c>
      <c r="C502" s="3">
        <v>2502</v>
      </c>
      <c r="D502" s="5" t="s">
        <v>3703</v>
      </c>
      <c r="E502" s="5"/>
      <c r="F502" s="36"/>
    </row>
    <row r="503" spans="1:6" s="2" customFormat="1" x14ac:dyDescent="0.25">
      <c r="A503" s="2" t="s">
        <v>1154</v>
      </c>
      <c r="B503" s="3">
        <v>10</v>
      </c>
      <c r="C503" s="3"/>
      <c r="D503" s="2" t="s">
        <v>1078</v>
      </c>
      <c r="E503" s="2" t="s">
        <v>1155</v>
      </c>
      <c r="F503" s="36" t="s">
        <v>1156</v>
      </c>
    </row>
    <row r="504" spans="1:6" s="2" customFormat="1" x14ac:dyDescent="0.25">
      <c r="A504" s="2" t="s">
        <v>3345</v>
      </c>
      <c r="B504" s="3">
        <v>58</v>
      </c>
      <c r="C504" s="3">
        <v>2301</v>
      </c>
      <c r="D504" s="2" t="s">
        <v>3346</v>
      </c>
      <c r="E504" s="2" t="s">
        <v>3347</v>
      </c>
      <c r="F504" s="36" t="s">
        <v>3348</v>
      </c>
    </row>
    <row r="505" spans="1:6" s="2" customFormat="1" x14ac:dyDescent="0.25">
      <c r="A505" s="2" t="s">
        <v>1624</v>
      </c>
      <c r="B505" s="3">
        <f>75-28-1</f>
        <v>46</v>
      </c>
      <c r="C505" s="3">
        <v>2152</v>
      </c>
      <c r="D505" s="2" t="s">
        <v>1429</v>
      </c>
      <c r="E505" s="2" t="s">
        <v>1631</v>
      </c>
      <c r="F505" s="36" t="s">
        <v>1632</v>
      </c>
    </row>
    <row r="506" spans="1:6" s="2" customFormat="1" x14ac:dyDescent="0.25">
      <c r="A506" s="5" t="s">
        <v>136</v>
      </c>
      <c r="B506" s="3">
        <v>180</v>
      </c>
      <c r="C506" s="4" t="s">
        <v>125</v>
      </c>
      <c r="D506" s="5" t="s">
        <v>134</v>
      </c>
      <c r="E506" s="2" t="s">
        <v>133</v>
      </c>
      <c r="F506" s="36" t="s">
        <v>135</v>
      </c>
    </row>
    <row r="507" spans="1:6" s="2" customFormat="1" x14ac:dyDescent="0.25">
      <c r="A507" s="2" t="s">
        <v>193</v>
      </c>
      <c r="B507" s="3">
        <v>1</v>
      </c>
      <c r="C507" s="3"/>
      <c r="E507" s="2" t="s">
        <v>195</v>
      </c>
      <c r="F507" s="36" t="s">
        <v>194</v>
      </c>
    </row>
    <row r="508" spans="1:6" s="2" customFormat="1" x14ac:dyDescent="0.25">
      <c r="A508" s="2" t="s">
        <v>2807</v>
      </c>
      <c r="B508" s="3">
        <v>76</v>
      </c>
      <c r="C508" s="3">
        <v>2132</v>
      </c>
      <c r="D508" s="2" t="s">
        <v>1217</v>
      </c>
      <c r="E508" s="2" t="s">
        <v>3327</v>
      </c>
      <c r="F508" s="36" t="s">
        <v>2808</v>
      </c>
    </row>
    <row r="509" spans="1:6" s="2" customFormat="1" x14ac:dyDescent="0.25">
      <c r="A509" s="2" t="s">
        <v>3143</v>
      </c>
      <c r="B509" s="3">
        <v>14</v>
      </c>
      <c r="C509" s="3">
        <v>2237</v>
      </c>
      <c r="D509" s="2" t="s">
        <v>1217</v>
      </c>
      <c r="E509" s="2" t="s">
        <v>3144</v>
      </c>
      <c r="F509" s="36" t="s">
        <v>2808</v>
      </c>
    </row>
    <row r="510" spans="1:6" s="2" customFormat="1" x14ac:dyDescent="0.25">
      <c r="A510" s="2" t="s">
        <v>450</v>
      </c>
      <c r="B510" s="3">
        <f>397-333</f>
        <v>64</v>
      </c>
      <c r="C510" s="3">
        <v>2021</v>
      </c>
      <c r="D510" s="5" t="s">
        <v>863</v>
      </c>
      <c r="E510" s="2" t="s">
        <v>3328</v>
      </c>
      <c r="F510" s="36" t="s">
        <v>451</v>
      </c>
    </row>
    <row r="511" spans="1:6" s="2" customFormat="1" x14ac:dyDescent="0.25">
      <c r="A511" s="2" t="s">
        <v>3324</v>
      </c>
      <c r="B511" s="3">
        <v>50</v>
      </c>
      <c r="C511" s="3">
        <v>1540</v>
      </c>
      <c r="D511" s="5" t="s">
        <v>863</v>
      </c>
      <c r="E511" s="2" t="s">
        <v>3325</v>
      </c>
      <c r="F511" s="36" t="s">
        <v>3326</v>
      </c>
    </row>
    <row r="512" spans="1:6" s="2" customFormat="1" x14ac:dyDescent="0.25">
      <c r="A512" s="2" t="s">
        <v>1698</v>
      </c>
      <c r="B512" s="3">
        <v>10</v>
      </c>
      <c r="C512" s="3">
        <v>2022</v>
      </c>
      <c r="D512" s="5" t="s">
        <v>863</v>
      </c>
      <c r="E512" s="2" t="s">
        <v>3329</v>
      </c>
      <c r="F512" s="36" t="s">
        <v>1699</v>
      </c>
    </row>
    <row r="513" spans="1:6" s="2" customFormat="1" x14ac:dyDescent="0.25">
      <c r="A513" s="2" t="s">
        <v>1137</v>
      </c>
      <c r="B513" s="3">
        <f>2950-71-71-141-141-212</f>
        <v>2314</v>
      </c>
      <c r="C513" s="3">
        <v>2104</v>
      </c>
      <c r="D513" s="5" t="s">
        <v>863</v>
      </c>
      <c r="E513" s="2" t="s">
        <v>1138</v>
      </c>
      <c r="F513" s="36"/>
    </row>
    <row r="514" spans="1:6" s="2" customFormat="1" x14ac:dyDescent="0.25">
      <c r="A514" s="2" t="s">
        <v>3112</v>
      </c>
      <c r="B514" s="3">
        <v>2</v>
      </c>
      <c r="C514" s="3">
        <v>2225</v>
      </c>
      <c r="D514" s="5" t="s">
        <v>863</v>
      </c>
      <c r="E514" s="2" t="s">
        <v>3113</v>
      </c>
      <c r="F514" s="36" t="s">
        <v>3114</v>
      </c>
    </row>
    <row r="515" spans="1:6" s="2" customFormat="1" x14ac:dyDescent="0.25">
      <c r="A515" s="2" t="s">
        <v>3624</v>
      </c>
      <c r="B515" s="3">
        <v>22</v>
      </c>
      <c r="C515" s="3">
        <v>2242</v>
      </c>
      <c r="D515" s="5" t="s">
        <v>863</v>
      </c>
      <c r="E515" s="2" t="s">
        <v>3625</v>
      </c>
      <c r="F515" s="36" t="s">
        <v>3626</v>
      </c>
    </row>
    <row r="516" spans="1:6" s="2" customFormat="1" x14ac:dyDescent="0.25">
      <c r="A516" s="2" t="s">
        <v>3316</v>
      </c>
      <c r="B516" s="3">
        <v>13</v>
      </c>
      <c r="C516" s="3">
        <v>2229</v>
      </c>
      <c r="D516" s="5" t="s">
        <v>863</v>
      </c>
      <c r="E516" s="2" t="s">
        <v>3317</v>
      </c>
      <c r="F516" s="36" t="s">
        <v>2543</v>
      </c>
    </row>
    <row r="517" spans="1:6" s="2" customFormat="1" x14ac:dyDescent="0.25">
      <c r="A517" s="2" t="s">
        <v>2541</v>
      </c>
      <c r="B517" s="3">
        <v>42</v>
      </c>
      <c r="C517" s="3">
        <v>2144</v>
      </c>
      <c r="D517" s="5" t="s">
        <v>863</v>
      </c>
      <c r="E517" s="2" t="s">
        <v>2542</v>
      </c>
      <c r="F517" s="36" t="s">
        <v>2543</v>
      </c>
    </row>
    <row r="518" spans="1:6" s="2" customFormat="1" x14ac:dyDescent="0.25">
      <c r="A518" s="2" t="s">
        <v>1869</v>
      </c>
      <c r="B518" s="6">
        <f>500-2-5-16-477</f>
        <v>0</v>
      </c>
      <c r="C518" s="3">
        <v>2210</v>
      </c>
      <c r="D518" s="2" t="s">
        <v>37</v>
      </c>
      <c r="E518" s="2" t="s">
        <v>1871</v>
      </c>
      <c r="F518" s="36" t="s">
        <v>1870</v>
      </c>
    </row>
    <row r="519" spans="1:6" s="2" customFormat="1" x14ac:dyDescent="0.25">
      <c r="A519" s="2" t="s">
        <v>3496</v>
      </c>
      <c r="B519" s="3">
        <v>12</v>
      </c>
      <c r="C519" s="3">
        <v>1408</v>
      </c>
      <c r="D519" s="2" t="s">
        <v>26</v>
      </c>
      <c r="E519" s="2" t="s">
        <v>3497</v>
      </c>
      <c r="F519" s="36" t="s">
        <v>3498</v>
      </c>
    </row>
    <row r="520" spans="1:6" s="2" customFormat="1" x14ac:dyDescent="0.25">
      <c r="A520" s="2" t="s">
        <v>2152</v>
      </c>
      <c r="B520" s="3">
        <v>18</v>
      </c>
      <c r="C520" s="3">
        <v>2216</v>
      </c>
      <c r="D520" s="2" t="s">
        <v>2153</v>
      </c>
      <c r="E520" s="2" t="s">
        <v>2154</v>
      </c>
      <c r="F520" s="36" t="s">
        <v>2155</v>
      </c>
    </row>
    <row r="521" spans="1:6" s="2" customFormat="1" x14ac:dyDescent="0.25">
      <c r="A521" s="2" t="s">
        <v>1112</v>
      </c>
      <c r="B521" s="6">
        <f>10-10+6</f>
        <v>6</v>
      </c>
      <c r="C521" s="3">
        <v>2003</v>
      </c>
      <c r="D521" s="5" t="s">
        <v>863</v>
      </c>
      <c r="F521" s="36" t="s">
        <v>1113</v>
      </c>
    </row>
    <row r="522" spans="1:6" s="2" customFormat="1" x14ac:dyDescent="0.25">
      <c r="A522" s="2" t="s">
        <v>3041</v>
      </c>
      <c r="B522" s="3">
        <v>8</v>
      </c>
      <c r="C522" s="3">
        <v>2405</v>
      </c>
      <c r="D522" s="5" t="s">
        <v>73</v>
      </c>
      <c r="E522" s="2" t="s">
        <v>3042</v>
      </c>
      <c r="F522" s="36" t="s">
        <v>3043</v>
      </c>
    </row>
    <row r="523" spans="1:6" s="2" customFormat="1" ht="30" x14ac:dyDescent="0.25">
      <c r="A523" s="2" t="s">
        <v>1736</v>
      </c>
      <c r="B523" s="6">
        <f>2-2</f>
        <v>0</v>
      </c>
      <c r="C523" s="3">
        <v>2016</v>
      </c>
      <c r="D523" s="5" t="s">
        <v>1037</v>
      </c>
      <c r="E523" s="2" t="s">
        <v>1737</v>
      </c>
      <c r="F523" s="36" t="s">
        <v>1738</v>
      </c>
    </row>
    <row r="524" spans="1:6" s="2" customFormat="1" ht="30" x14ac:dyDescent="0.25">
      <c r="A524" s="2" t="s">
        <v>1822</v>
      </c>
      <c r="B524" s="3">
        <f>40-1-4-1</f>
        <v>34</v>
      </c>
      <c r="C524" s="3">
        <v>2139</v>
      </c>
      <c r="D524" s="5" t="s">
        <v>1037</v>
      </c>
      <c r="E524" s="5" t="s">
        <v>1823</v>
      </c>
      <c r="F524" s="36" t="s">
        <v>1824</v>
      </c>
    </row>
    <row r="525" spans="1:6" s="2" customFormat="1" ht="30" x14ac:dyDescent="0.25">
      <c r="A525" s="2" t="s">
        <v>1822</v>
      </c>
      <c r="B525" s="3">
        <v>50</v>
      </c>
      <c r="C525" s="3">
        <v>2139</v>
      </c>
      <c r="D525" s="5" t="s">
        <v>1037</v>
      </c>
      <c r="E525" s="5" t="s">
        <v>1823</v>
      </c>
      <c r="F525" s="36" t="s">
        <v>1824</v>
      </c>
    </row>
    <row r="526" spans="1:6" s="2" customFormat="1" x14ac:dyDescent="0.25">
      <c r="A526" s="2" t="s">
        <v>2758</v>
      </c>
      <c r="B526" s="3">
        <f>53-6-6-40-1</f>
        <v>0</v>
      </c>
      <c r="C526" s="3">
        <v>2230</v>
      </c>
      <c r="D526" s="2" t="s">
        <v>92</v>
      </c>
      <c r="E526" s="5" t="s">
        <v>2759</v>
      </c>
      <c r="F526" s="36" t="s">
        <v>2760</v>
      </c>
    </row>
    <row r="527" spans="1:6" s="2" customFormat="1" x14ac:dyDescent="0.25">
      <c r="A527" s="2" t="s">
        <v>2758</v>
      </c>
      <c r="B527" s="3">
        <f>200-3-4-7</f>
        <v>186</v>
      </c>
      <c r="C527" s="3">
        <v>2227</v>
      </c>
      <c r="D527" s="2" t="s">
        <v>92</v>
      </c>
      <c r="E527" s="5" t="s">
        <v>2759</v>
      </c>
      <c r="F527" s="36" t="s">
        <v>2760</v>
      </c>
    </row>
    <row r="528" spans="1:6" s="2" customFormat="1" x14ac:dyDescent="0.25">
      <c r="A528" s="2" t="s">
        <v>104</v>
      </c>
      <c r="B528" s="3">
        <v>20</v>
      </c>
      <c r="C528" s="3">
        <v>1027</v>
      </c>
      <c r="D528" s="2" t="s">
        <v>92</v>
      </c>
      <c r="E528" s="2" t="s">
        <v>105</v>
      </c>
      <c r="F528" s="36" t="s">
        <v>106</v>
      </c>
    </row>
    <row r="529" spans="1:6" s="2" customFormat="1" x14ac:dyDescent="0.25">
      <c r="A529" s="2" t="s">
        <v>2114</v>
      </c>
      <c r="B529" s="3">
        <v>4</v>
      </c>
      <c r="C529" s="3">
        <v>2105</v>
      </c>
      <c r="D529" s="2" t="s">
        <v>1037</v>
      </c>
      <c r="E529" s="2" t="s">
        <v>2115</v>
      </c>
      <c r="F529" s="36" t="s">
        <v>2116</v>
      </c>
    </row>
    <row r="530" spans="1:6" s="2" customFormat="1" x14ac:dyDescent="0.25">
      <c r="A530" s="2" t="s">
        <v>3049</v>
      </c>
      <c r="B530" s="6">
        <f>10-10</f>
        <v>0</v>
      </c>
      <c r="C530" s="3">
        <v>2110</v>
      </c>
      <c r="D530" s="2" t="s">
        <v>92</v>
      </c>
      <c r="E530" s="2" t="s">
        <v>3050</v>
      </c>
      <c r="F530" s="36" t="s">
        <v>3051</v>
      </c>
    </row>
    <row r="531" spans="1:6" s="2" customFormat="1" x14ac:dyDescent="0.25">
      <c r="A531" s="2" t="s">
        <v>1218</v>
      </c>
      <c r="B531" s="6">
        <f>132-132</f>
        <v>0</v>
      </c>
      <c r="C531" s="3">
        <v>1639</v>
      </c>
      <c r="D531" s="2" t="s">
        <v>92</v>
      </c>
      <c r="E531" s="2" t="s">
        <v>1219</v>
      </c>
      <c r="F531" s="36"/>
    </row>
    <row r="532" spans="1:6" s="2" customFormat="1" x14ac:dyDescent="0.25">
      <c r="A532" s="2" t="s">
        <v>1218</v>
      </c>
      <c r="B532" s="6">
        <f>89-89</f>
        <v>0</v>
      </c>
      <c r="C532" s="3">
        <v>1245</v>
      </c>
      <c r="D532" s="2" t="s">
        <v>92</v>
      </c>
      <c r="E532" s="2" t="s">
        <v>1219</v>
      </c>
      <c r="F532" s="36"/>
    </row>
    <row r="533" spans="1:6" s="2" customFormat="1" x14ac:dyDescent="0.25">
      <c r="A533" s="2" t="s">
        <v>542</v>
      </c>
      <c r="B533" s="3">
        <v>10</v>
      </c>
      <c r="C533" s="3" t="s">
        <v>214</v>
      </c>
      <c r="D533" s="2" t="s">
        <v>92</v>
      </c>
      <c r="E533" s="2" t="s">
        <v>543</v>
      </c>
      <c r="F533" s="36" t="s">
        <v>544</v>
      </c>
    </row>
    <row r="534" spans="1:6" s="2" customFormat="1" x14ac:dyDescent="0.25">
      <c r="A534" s="2" t="s">
        <v>2611</v>
      </c>
      <c r="B534" s="3">
        <f>7-6</f>
        <v>1</v>
      </c>
      <c r="C534" s="3">
        <v>1124</v>
      </c>
      <c r="D534" s="2" t="s">
        <v>92</v>
      </c>
      <c r="E534" s="2" t="s">
        <v>2612</v>
      </c>
      <c r="F534" s="36" t="s">
        <v>2613</v>
      </c>
    </row>
    <row r="535" spans="1:6" s="2" customFormat="1" x14ac:dyDescent="0.25">
      <c r="A535" s="2" t="s">
        <v>2653</v>
      </c>
      <c r="B535" s="3">
        <f>3000-3-21</f>
        <v>2976</v>
      </c>
      <c r="C535" s="3">
        <v>2147</v>
      </c>
      <c r="D535" s="2" t="s">
        <v>63</v>
      </c>
      <c r="E535" s="2" t="s">
        <v>2654</v>
      </c>
      <c r="F535" s="36" t="s">
        <v>2655</v>
      </c>
    </row>
    <row r="536" spans="1:6" s="2" customFormat="1" x14ac:dyDescent="0.25">
      <c r="A536" s="2" t="s">
        <v>2220</v>
      </c>
      <c r="B536" s="3">
        <v>700</v>
      </c>
      <c r="C536" s="3"/>
      <c r="D536" s="2" t="s">
        <v>63</v>
      </c>
      <c r="E536" s="2" t="s">
        <v>2221</v>
      </c>
      <c r="F536" s="36" t="s">
        <v>2222</v>
      </c>
    </row>
    <row r="537" spans="1:6" s="2" customFormat="1" x14ac:dyDescent="0.25">
      <c r="A537" s="2" t="s">
        <v>638</v>
      </c>
      <c r="B537" s="6">
        <f>40-40</f>
        <v>0</v>
      </c>
      <c r="C537" s="3" t="s">
        <v>214</v>
      </c>
      <c r="D537" s="2" t="s">
        <v>63</v>
      </c>
      <c r="E537" s="2" t="s">
        <v>639</v>
      </c>
      <c r="F537" s="36" t="s">
        <v>640</v>
      </c>
    </row>
    <row r="538" spans="1:6" s="2" customFormat="1" x14ac:dyDescent="0.25">
      <c r="A538" s="2" t="s">
        <v>225</v>
      </c>
      <c r="B538" s="3">
        <v>4</v>
      </c>
      <c r="C538" s="4" t="s">
        <v>226</v>
      </c>
      <c r="D538" s="2" t="s">
        <v>63</v>
      </c>
      <c r="E538" s="2" t="s">
        <v>227</v>
      </c>
      <c r="F538" s="36"/>
    </row>
    <row r="539" spans="1:6" s="2" customFormat="1" x14ac:dyDescent="0.25">
      <c r="A539" s="2" t="s">
        <v>1108</v>
      </c>
      <c r="B539" s="3">
        <v>20</v>
      </c>
      <c r="C539" s="4" t="s">
        <v>1109</v>
      </c>
      <c r="D539" s="2" t="s">
        <v>63</v>
      </c>
      <c r="E539" s="2" t="s">
        <v>1110</v>
      </c>
      <c r="F539" s="36"/>
    </row>
    <row r="540" spans="1:6" s="2" customFormat="1" x14ac:dyDescent="0.25">
      <c r="A540" s="2" t="s">
        <v>93</v>
      </c>
      <c r="B540" s="3">
        <v>372</v>
      </c>
      <c r="C540" s="3">
        <v>1229</v>
      </c>
      <c r="D540" s="2" t="s">
        <v>63</v>
      </c>
      <c r="E540" s="2" t="s">
        <v>94</v>
      </c>
      <c r="F540" s="36" t="s">
        <v>95</v>
      </c>
    </row>
    <row r="541" spans="1:6" s="2" customFormat="1" x14ac:dyDescent="0.25">
      <c r="A541" s="2" t="s">
        <v>1609</v>
      </c>
      <c r="B541" s="3">
        <v>4</v>
      </c>
      <c r="C541" s="3">
        <v>2039</v>
      </c>
      <c r="D541" s="2" t="s">
        <v>63</v>
      </c>
      <c r="E541" s="2" t="s">
        <v>1610</v>
      </c>
      <c r="F541" s="36"/>
    </row>
    <row r="542" spans="1:6" s="2" customFormat="1" x14ac:dyDescent="0.25">
      <c r="A542" s="2" t="s">
        <v>777</v>
      </c>
      <c r="B542" s="3">
        <f>27-8</f>
        <v>19</v>
      </c>
      <c r="C542" s="3" t="s">
        <v>743</v>
      </c>
      <c r="D542" s="2" t="s">
        <v>63</v>
      </c>
      <c r="E542" s="2" t="s">
        <v>778</v>
      </c>
      <c r="F542" s="36" t="s">
        <v>779</v>
      </c>
    </row>
    <row r="543" spans="1:6" s="2" customFormat="1" x14ac:dyDescent="0.25">
      <c r="A543" s="2" t="s">
        <v>1687</v>
      </c>
      <c r="B543" s="3">
        <v>1</v>
      </c>
      <c r="C543" s="3">
        <v>1845</v>
      </c>
      <c r="D543" s="2" t="s">
        <v>63</v>
      </c>
      <c r="E543" s="2" t="s">
        <v>1688</v>
      </c>
      <c r="F543" s="36" t="s">
        <v>1689</v>
      </c>
    </row>
    <row r="544" spans="1:6" s="2" customFormat="1" x14ac:dyDescent="0.25">
      <c r="A544" s="2" t="s">
        <v>1335</v>
      </c>
      <c r="B544" s="6">
        <f>6-5-1</f>
        <v>0</v>
      </c>
      <c r="C544" s="3" t="s">
        <v>214</v>
      </c>
      <c r="D544" s="2" t="s">
        <v>63</v>
      </c>
      <c r="E544" s="2" t="s">
        <v>1336</v>
      </c>
      <c r="F544" s="36" t="s">
        <v>1337</v>
      </c>
    </row>
    <row r="545" spans="1:6" s="2" customFormat="1" ht="30" x14ac:dyDescent="0.25">
      <c r="A545" s="5" t="s">
        <v>582</v>
      </c>
      <c r="B545" s="3" t="s">
        <v>583</v>
      </c>
      <c r="C545" s="3" t="s">
        <v>214</v>
      </c>
      <c r="E545" s="2" t="s">
        <v>581</v>
      </c>
      <c r="F545" s="36"/>
    </row>
    <row r="546" spans="1:6" s="2" customFormat="1" x14ac:dyDescent="0.25">
      <c r="A546" s="2" t="s">
        <v>74</v>
      </c>
      <c r="B546" s="3">
        <v>2</v>
      </c>
      <c r="C546" s="3"/>
      <c r="D546" s="2" t="s">
        <v>76</v>
      </c>
      <c r="E546" s="2" t="s">
        <v>75</v>
      </c>
      <c r="F546" s="36" t="s">
        <v>77</v>
      </c>
    </row>
    <row r="547" spans="1:6" s="2" customFormat="1" x14ac:dyDescent="0.25">
      <c r="A547" s="2" t="s">
        <v>3659</v>
      </c>
      <c r="B547" s="3">
        <v>1</v>
      </c>
      <c r="C547" s="3">
        <v>2316</v>
      </c>
      <c r="D547" s="2" t="s">
        <v>76</v>
      </c>
      <c r="E547" s="2" t="s">
        <v>3660</v>
      </c>
      <c r="F547" s="36" t="s">
        <v>3661</v>
      </c>
    </row>
    <row r="548" spans="1:6" s="2" customFormat="1" x14ac:dyDescent="0.25">
      <c r="A548" s="2" t="s">
        <v>905</v>
      </c>
      <c r="B548" s="3">
        <v>2980</v>
      </c>
      <c r="C548" s="3">
        <v>1924</v>
      </c>
      <c r="D548" s="2" t="s">
        <v>0</v>
      </c>
      <c r="E548" s="2" t="s">
        <v>907</v>
      </c>
      <c r="F548" s="36" t="s">
        <v>906</v>
      </c>
    </row>
    <row r="549" spans="1:6" s="2" customFormat="1" x14ac:dyDescent="0.25">
      <c r="A549" s="2" t="s">
        <v>224</v>
      </c>
      <c r="B549" s="3">
        <v>5000</v>
      </c>
      <c r="C549" s="3">
        <v>1004</v>
      </c>
      <c r="D549" s="2" t="s">
        <v>20</v>
      </c>
      <c r="E549" s="2" t="s">
        <v>2349</v>
      </c>
      <c r="F549" s="36"/>
    </row>
    <row r="550" spans="1:6" s="2" customFormat="1" x14ac:dyDescent="0.25">
      <c r="A550" s="2" t="s">
        <v>1407</v>
      </c>
      <c r="B550" s="6">
        <f>30-30</f>
        <v>0</v>
      </c>
      <c r="C550" s="3">
        <v>2128</v>
      </c>
      <c r="D550" s="2" t="s">
        <v>682</v>
      </c>
      <c r="E550" s="2" t="s">
        <v>2350</v>
      </c>
      <c r="F550" s="36" t="s">
        <v>1408</v>
      </c>
    </row>
    <row r="551" spans="1:6" s="2" customFormat="1" x14ac:dyDescent="0.25">
      <c r="A551" s="2" t="s">
        <v>3223</v>
      </c>
      <c r="B551" s="6">
        <f>159-159</f>
        <v>0</v>
      </c>
      <c r="C551" s="3">
        <v>1920</v>
      </c>
      <c r="D551" s="2" t="s">
        <v>2783</v>
      </c>
      <c r="E551" s="2" t="s">
        <v>3224</v>
      </c>
      <c r="F551" s="36" t="s">
        <v>3225</v>
      </c>
    </row>
    <row r="552" spans="1:6" s="2" customFormat="1" x14ac:dyDescent="0.25">
      <c r="A552" s="2" t="s">
        <v>681</v>
      </c>
      <c r="B552" s="3">
        <f>100-48-30</f>
        <v>22</v>
      </c>
      <c r="C552" s="3">
        <v>1210</v>
      </c>
      <c r="D552" s="2" t="s">
        <v>682</v>
      </c>
      <c r="E552" s="2" t="s">
        <v>684</v>
      </c>
      <c r="F552" s="36" t="s">
        <v>683</v>
      </c>
    </row>
    <row r="553" spans="1:6" s="2" customFormat="1" x14ac:dyDescent="0.25">
      <c r="A553" s="2" t="s">
        <v>681</v>
      </c>
      <c r="B553" s="3">
        <f>30-5</f>
        <v>25</v>
      </c>
      <c r="C553" s="3">
        <v>1950</v>
      </c>
      <c r="D553" s="2" t="s">
        <v>682</v>
      </c>
      <c r="E553" s="2" t="s">
        <v>684</v>
      </c>
      <c r="F553" s="36" t="s">
        <v>683</v>
      </c>
    </row>
    <row r="554" spans="1:6" s="2" customFormat="1" x14ac:dyDescent="0.25">
      <c r="A554" s="2" t="s">
        <v>2667</v>
      </c>
      <c r="B554" s="6">
        <f>1-1</f>
        <v>0</v>
      </c>
      <c r="C554" s="3">
        <v>2219</v>
      </c>
      <c r="D554" s="2" t="s">
        <v>2668</v>
      </c>
      <c r="E554" s="2" t="s">
        <v>2669</v>
      </c>
      <c r="F554" s="36" t="s">
        <v>2670</v>
      </c>
    </row>
    <row r="555" spans="1:6" s="2" customFormat="1" x14ac:dyDescent="0.25">
      <c r="A555" s="2" t="s">
        <v>2667</v>
      </c>
      <c r="B555" s="6">
        <f>8-8</f>
        <v>0</v>
      </c>
      <c r="C555" s="3">
        <v>2223</v>
      </c>
      <c r="D555" s="2" t="s">
        <v>2668</v>
      </c>
      <c r="E555" s="2" t="s">
        <v>2669</v>
      </c>
      <c r="F555" s="36" t="s">
        <v>2670</v>
      </c>
    </row>
    <row r="556" spans="1:6" s="2" customFormat="1" x14ac:dyDescent="0.25">
      <c r="A556" s="2" t="s">
        <v>2191</v>
      </c>
      <c r="B556" s="3">
        <v>15</v>
      </c>
      <c r="C556" s="3">
        <v>2147</v>
      </c>
      <c r="D556" s="2" t="s">
        <v>1710</v>
      </c>
      <c r="E556" s="2" t="s">
        <v>2368</v>
      </c>
      <c r="F556" s="36" t="s">
        <v>2192</v>
      </c>
    </row>
    <row r="557" spans="1:6" s="2" customFormat="1" x14ac:dyDescent="0.25">
      <c r="A557" s="2" t="s">
        <v>463</v>
      </c>
      <c r="B557" s="3">
        <v>1</v>
      </c>
      <c r="C557" s="3" t="s">
        <v>214</v>
      </c>
      <c r="D557" s="2" t="s">
        <v>63</v>
      </c>
      <c r="E557" s="2" t="s">
        <v>464</v>
      </c>
      <c r="F557" s="36" t="s">
        <v>465</v>
      </c>
    </row>
    <row r="558" spans="1:6" s="2" customFormat="1" x14ac:dyDescent="0.25">
      <c r="A558" s="2" t="s">
        <v>2284</v>
      </c>
      <c r="B558" s="3">
        <v>3</v>
      </c>
      <c r="C558" s="3">
        <v>2128</v>
      </c>
      <c r="D558" s="7" t="s">
        <v>2285</v>
      </c>
      <c r="E558" s="2" t="s">
        <v>2286</v>
      </c>
      <c r="F558" s="36"/>
    </row>
    <row r="559" spans="1:6" s="2" customFormat="1" x14ac:dyDescent="0.25">
      <c r="A559" s="2" t="s">
        <v>1251</v>
      </c>
      <c r="B559" s="6">
        <f>5-5</f>
        <v>0</v>
      </c>
      <c r="C559" s="3">
        <v>1602</v>
      </c>
      <c r="D559" s="5" t="s">
        <v>1253</v>
      </c>
      <c r="E559" s="2" t="s">
        <v>1252</v>
      </c>
      <c r="F559" s="36"/>
    </row>
    <row r="560" spans="1:6" s="2" customFormat="1" x14ac:dyDescent="0.25">
      <c r="A560" s="2" t="s">
        <v>1668</v>
      </c>
      <c r="B560" s="6">
        <f>60-60</f>
        <v>0</v>
      </c>
      <c r="C560" s="3">
        <v>2008</v>
      </c>
      <c r="D560" s="5" t="s">
        <v>1253</v>
      </c>
      <c r="E560" s="2" t="s">
        <v>1669</v>
      </c>
      <c r="F560" s="36" t="s">
        <v>1670</v>
      </c>
    </row>
    <row r="561" spans="1:6" s="2" customFormat="1" x14ac:dyDescent="0.25">
      <c r="A561" s="2" t="s">
        <v>1021</v>
      </c>
      <c r="B561" s="6">
        <f>20-20</f>
        <v>0</v>
      </c>
      <c r="C561" s="3">
        <v>1510</v>
      </c>
      <c r="D561" s="2" t="s">
        <v>1023</v>
      </c>
      <c r="E561" s="5" t="s">
        <v>1022</v>
      </c>
      <c r="F561" s="36" t="s">
        <v>1024</v>
      </c>
    </row>
    <row r="562" spans="1:6" s="2" customFormat="1" x14ac:dyDescent="0.25">
      <c r="A562" s="2" t="s">
        <v>3490</v>
      </c>
      <c r="B562" s="3">
        <f>34-6</f>
        <v>28</v>
      </c>
      <c r="C562" s="3">
        <v>2208</v>
      </c>
      <c r="D562" s="2" t="s">
        <v>1253</v>
      </c>
      <c r="E562" s="5" t="s">
        <v>3491</v>
      </c>
      <c r="F562" s="36" t="s">
        <v>3492</v>
      </c>
    </row>
    <row r="563" spans="1:6" s="2" customFormat="1" x14ac:dyDescent="0.25">
      <c r="A563" s="2" t="s">
        <v>3271</v>
      </c>
      <c r="B563" s="3">
        <v>4</v>
      </c>
      <c r="C563" s="3">
        <v>2312</v>
      </c>
      <c r="D563" s="2" t="s">
        <v>1023</v>
      </c>
      <c r="E563" s="5" t="s">
        <v>3272</v>
      </c>
      <c r="F563" s="36" t="s">
        <v>3036</v>
      </c>
    </row>
    <row r="564" spans="1:6" s="2" customFormat="1" x14ac:dyDescent="0.25">
      <c r="A564" s="2" t="s">
        <v>3033</v>
      </c>
      <c r="B564" s="6">
        <f>5-5</f>
        <v>0</v>
      </c>
      <c r="C564" s="3" t="s">
        <v>3034</v>
      </c>
      <c r="D564" s="2" t="s">
        <v>1023</v>
      </c>
      <c r="E564" s="5" t="s">
        <v>3035</v>
      </c>
      <c r="F564" s="36" t="s">
        <v>3036</v>
      </c>
    </row>
    <row r="565" spans="1:6" s="2" customFormat="1" x14ac:dyDescent="0.25">
      <c r="A565" s="2" t="s">
        <v>666</v>
      </c>
      <c r="B565" s="3">
        <f>48-6-4</f>
        <v>38</v>
      </c>
      <c r="C565" s="3"/>
      <c r="D565" s="2" t="s">
        <v>63</v>
      </c>
      <c r="E565" s="5"/>
      <c r="F565" s="36" t="s">
        <v>665</v>
      </c>
    </row>
    <row r="566" spans="1:6" s="2" customFormat="1" x14ac:dyDescent="0.25">
      <c r="A566" s="5" t="s">
        <v>714</v>
      </c>
      <c r="B566" s="3">
        <f>95-6-9-25-2</f>
        <v>53</v>
      </c>
      <c r="C566" s="3">
        <v>2018</v>
      </c>
      <c r="E566" s="2" t="s">
        <v>715</v>
      </c>
      <c r="F566" s="36"/>
    </row>
    <row r="567" spans="1:6" s="2" customFormat="1" x14ac:dyDescent="0.25">
      <c r="A567" s="5" t="s">
        <v>3169</v>
      </c>
      <c r="B567" s="3">
        <v>3</v>
      </c>
      <c r="C567" s="3">
        <v>2231</v>
      </c>
      <c r="D567" s="2" t="s">
        <v>3171</v>
      </c>
      <c r="E567" s="2" t="s">
        <v>3170</v>
      </c>
      <c r="F567" s="36" t="s">
        <v>3172</v>
      </c>
    </row>
    <row r="568" spans="1:6" s="2" customFormat="1" x14ac:dyDescent="0.25">
      <c r="A568" s="5" t="s">
        <v>2693</v>
      </c>
      <c r="B568" s="3">
        <v>20</v>
      </c>
      <c r="C568" s="3">
        <v>1833</v>
      </c>
      <c r="D568" s="2" t="s">
        <v>63</v>
      </c>
      <c r="E568" s="2" t="s">
        <v>2694</v>
      </c>
      <c r="F568" s="36" t="s">
        <v>2695</v>
      </c>
    </row>
    <row r="569" spans="1:6" s="2" customFormat="1" ht="45" x14ac:dyDescent="0.25">
      <c r="A569" s="2" t="s">
        <v>84</v>
      </c>
      <c r="B569" s="3">
        <v>5</v>
      </c>
      <c r="C569" s="3"/>
      <c r="D569" s="5" t="s">
        <v>86</v>
      </c>
      <c r="E569" s="2" t="s">
        <v>85</v>
      </c>
      <c r="F569" s="36" t="s">
        <v>87</v>
      </c>
    </row>
    <row r="570" spans="1:6" s="2" customFormat="1" x14ac:dyDescent="0.25">
      <c r="A570" s="2" t="s">
        <v>3126</v>
      </c>
      <c r="B570" s="3">
        <v>34</v>
      </c>
      <c r="C570" s="3">
        <v>2045</v>
      </c>
      <c r="D570" s="2" t="s">
        <v>63</v>
      </c>
      <c r="E570" s="2" t="s">
        <v>3127</v>
      </c>
      <c r="F570" s="36" t="s">
        <v>3128</v>
      </c>
    </row>
    <row r="571" spans="1:6" s="2" customFormat="1" x14ac:dyDescent="0.25">
      <c r="A571" s="2" t="s">
        <v>401</v>
      </c>
      <c r="B571" s="6">
        <f>30</f>
        <v>30</v>
      </c>
      <c r="C571" s="3">
        <v>1631</v>
      </c>
      <c r="D571" s="2" t="s">
        <v>63</v>
      </c>
      <c r="E571" s="2" t="s">
        <v>402</v>
      </c>
      <c r="F571" s="36" t="s">
        <v>403</v>
      </c>
    </row>
    <row r="572" spans="1:6" s="2" customFormat="1" x14ac:dyDescent="0.25">
      <c r="A572" s="2" t="s">
        <v>3694</v>
      </c>
      <c r="B572" s="3">
        <v>20</v>
      </c>
      <c r="C572" s="3">
        <v>2409</v>
      </c>
      <c r="D572" s="2" t="s">
        <v>3696</v>
      </c>
      <c r="E572" s="2" t="s">
        <v>3695</v>
      </c>
      <c r="F572" s="36" t="s">
        <v>3697</v>
      </c>
    </row>
    <row r="573" spans="1:6" s="2" customFormat="1" x14ac:dyDescent="0.25">
      <c r="A573" s="2" t="s">
        <v>1213</v>
      </c>
      <c r="B573" s="3">
        <v>2</v>
      </c>
      <c r="C573" s="3"/>
      <c r="D573" s="2" t="s">
        <v>1215</v>
      </c>
      <c r="E573" s="2" t="s">
        <v>1214</v>
      </c>
      <c r="F573" s="36"/>
    </row>
    <row r="574" spans="1:6" s="2" customFormat="1" x14ac:dyDescent="0.25">
      <c r="A574" s="2" t="s">
        <v>78</v>
      </c>
      <c r="B574" s="6">
        <f>20-20</f>
        <v>0</v>
      </c>
      <c r="C574" s="3"/>
      <c r="D574" s="2" t="s">
        <v>79</v>
      </c>
      <c r="E574" s="2" t="s">
        <v>2369</v>
      </c>
      <c r="F574" s="36" t="s">
        <v>80</v>
      </c>
    </row>
    <row r="575" spans="1:6" s="2" customFormat="1" x14ac:dyDescent="0.25">
      <c r="A575" s="2" t="s">
        <v>2781</v>
      </c>
      <c r="B575" s="3">
        <f>3000-200</f>
        <v>2800</v>
      </c>
      <c r="C575" s="3">
        <v>1619</v>
      </c>
      <c r="D575" s="2" t="s">
        <v>2783</v>
      </c>
      <c r="E575" s="2" t="s">
        <v>2782</v>
      </c>
      <c r="F575" s="36" t="s">
        <v>2784</v>
      </c>
    </row>
    <row r="576" spans="1:6" s="2" customFormat="1" x14ac:dyDescent="0.25">
      <c r="A576" s="2" t="s">
        <v>3588</v>
      </c>
      <c r="B576" s="3">
        <v>601</v>
      </c>
      <c r="C576" s="3">
        <v>2419</v>
      </c>
      <c r="D576" s="2" t="s">
        <v>3589</v>
      </c>
      <c r="E576" s="2" t="s">
        <v>3590</v>
      </c>
      <c r="F576" s="36" t="s">
        <v>3591</v>
      </c>
    </row>
    <row r="577" spans="1:6" s="2" customFormat="1" x14ac:dyDescent="0.25">
      <c r="A577" s="2" t="s">
        <v>2831</v>
      </c>
      <c r="B577" s="3">
        <v>168</v>
      </c>
      <c r="C577" s="3">
        <v>2213</v>
      </c>
      <c r="D577" s="2" t="s">
        <v>1191</v>
      </c>
      <c r="E577" s="2" t="s">
        <v>2832</v>
      </c>
      <c r="F577" s="36" t="s">
        <v>2833</v>
      </c>
    </row>
    <row r="578" spans="1:6" s="2" customFormat="1" x14ac:dyDescent="0.25">
      <c r="A578" s="2" t="s">
        <v>961</v>
      </c>
      <c r="B578" s="3">
        <v>3</v>
      </c>
      <c r="C578" s="3">
        <v>1714</v>
      </c>
      <c r="D578" s="2" t="s">
        <v>962</v>
      </c>
      <c r="E578" s="2" t="s">
        <v>963</v>
      </c>
      <c r="F578" s="36" t="s">
        <v>964</v>
      </c>
    </row>
    <row r="579" spans="1:6" s="2" customFormat="1" x14ac:dyDescent="0.25">
      <c r="A579" s="2" t="s">
        <v>961</v>
      </c>
      <c r="B579" s="3">
        <v>1</v>
      </c>
      <c r="C579" s="3">
        <v>2248</v>
      </c>
      <c r="D579" s="2" t="s">
        <v>962</v>
      </c>
      <c r="E579" s="2" t="s">
        <v>963</v>
      </c>
      <c r="F579" s="36" t="s">
        <v>964</v>
      </c>
    </row>
    <row r="580" spans="1:6" s="2" customFormat="1" x14ac:dyDescent="0.25">
      <c r="A580" s="2" t="s">
        <v>3636</v>
      </c>
      <c r="B580" s="3">
        <v>8</v>
      </c>
      <c r="C580" s="3"/>
      <c r="D580" s="2" t="s">
        <v>244</v>
      </c>
      <c r="E580" s="2" t="s">
        <v>3637</v>
      </c>
      <c r="F580" s="36" t="s">
        <v>3638</v>
      </c>
    </row>
    <row r="581" spans="1:6" s="2" customFormat="1" x14ac:dyDescent="0.25">
      <c r="A581" s="2" t="s">
        <v>1208</v>
      </c>
      <c r="B581" s="3">
        <v>13</v>
      </c>
      <c r="C581" s="3">
        <v>2014</v>
      </c>
      <c r="D581" s="2" t="s">
        <v>1210</v>
      </c>
      <c r="E581" s="2" t="s">
        <v>1209</v>
      </c>
      <c r="F581" s="36"/>
    </row>
    <row r="582" spans="1:6" s="2" customFormat="1" x14ac:dyDescent="0.25">
      <c r="A582" s="2" t="s">
        <v>1487</v>
      </c>
      <c r="B582" s="3">
        <v>2</v>
      </c>
      <c r="C582" s="3">
        <v>2015</v>
      </c>
      <c r="D582" s="2" t="s">
        <v>1488</v>
      </c>
      <c r="E582" s="2" t="s">
        <v>1489</v>
      </c>
      <c r="F582" s="36"/>
    </row>
    <row r="583" spans="1:6" s="2" customFormat="1" x14ac:dyDescent="0.25">
      <c r="A583" s="2" t="s">
        <v>3669</v>
      </c>
      <c r="B583" s="3">
        <v>8</v>
      </c>
      <c r="C583" s="3" t="s">
        <v>3670</v>
      </c>
      <c r="D583" s="2" t="s">
        <v>3671</v>
      </c>
      <c r="E583" s="2" t="s">
        <v>3673</v>
      </c>
      <c r="F583" s="36" t="s">
        <v>3672</v>
      </c>
    </row>
    <row r="584" spans="1:6" s="2" customFormat="1" x14ac:dyDescent="0.25">
      <c r="A584" s="2" t="s">
        <v>3499</v>
      </c>
      <c r="B584" s="3">
        <v>30</v>
      </c>
      <c r="C584" s="3">
        <v>2327</v>
      </c>
      <c r="D584" s="2" t="s">
        <v>1191</v>
      </c>
      <c r="E584" s="2" t="s">
        <v>3500</v>
      </c>
      <c r="F584" s="36" t="s">
        <v>3501</v>
      </c>
    </row>
    <row r="585" spans="1:6" s="2" customFormat="1" x14ac:dyDescent="0.25">
      <c r="A585" s="2" t="s">
        <v>3396</v>
      </c>
      <c r="B585" s="3">
        <v>3</v>
      </c>
      <c r="C585" s="3">
        <v>2302</v>
      </c>
      <c r="D585" s="2" t="s">
        <v>485</v>
      </c>
      <c r="E585" s="2" t="s">
        <v>3397</v>
      </c>
      <c r="F585" s="36" t="s">
        <v>3398</v>
      </c>
    </row>
    <row r="586" spans="1:6" s="2" customFormat="1" x14ac:dyDescent="0.25">
      <c r="A586" s="2" t="s">
        <v>3290</v>
      </c>
      <c r="B586" s="3">
        <f>3-2</f>
        <v>1</v>
      </c>
      <c r="C586" s="3">
        <v>2136</v>
      </c>
      <c r="D586" s="2" t="s">
        <v>2794</v>
      </c>
      <c r="E586" s="2" t="s">
        <v>3291</v>
      </c>
      <c r="F586" s="36" t="s">
        <v>3292</v>
      </c>
    </row>
    <row r="587" spans="1:6" s="2" customFormat="1" x14ac:dyDescent="0.25">
      <c r="A587" s="2" t="s">
        <v>2792</v>
      </c>
      <c r="B587" s="3">
        <v>1</v>
      </c>
      <c r="C587" s="3">
        <v>2206</v>
      </c>
      <c r="D587" s="2" t="s">
        <v>2794</v>
      </c>
      <c r="E587" s="2" t="s">
        <v>2793</v>
      </c>
      <c r="F587" s="36" t="s">
        <v>2795</v>
      </c>
    </row>
    <row r="588" spans="1:6" s="2" customFormat="1" x14ac:dyDescent="0.25">
      <c r="A588" s="2" t="s">
        <v>2792</v>
      </c>
      <c r="B588" s="3">
        <v>15</v>
      </c>
      <c r="C588" s="3">
        <v>2111</v>
      </c>
      <c r="D588" s="2" t="s">
        <v>2794</v>
      </c>
      <c r="E588" s="2" t="s">
        <v>2793</v>
      </c>
      <c r="F588" s="36" t="s">
        <v>2795</v>
      </c>
    </row>
    <row r="589" spans="1:6" s="2" customFormat="1" x14ac:dyDescent="0.25">
      <c r="A589" s="2" t="s">
        <v>216</v>
      </c>
      <c r="B589" s="3">
        <v>1</v>
      </c>
      <c r="C589" s="3"/>
      <c r="D589" s="2" t="s">
        <v>217</v>
      </c>
      <c r="E589" s="2" t="s">
        <v>935</v>
      </c>
      <c r="F589" s="36" t="s">
        <v>936</v>
      </c>
    </row>
    <row r="590" spans="1:6" s="2" customFormat="1" ht="30" x14ac:dyDescent="0.25">
      <c r="A590" s="2" t="s">
        <v>2050</v>
      </c>
      <c r="B590" s="3">
        <v>1</v>
      </c>
      <c r="C590" s="3">
        <v>2108</v>
      </c>
      <c r="D590" s="5" t="s">
        <v>2051</v>
      </c>
      <c r="E590" s="5" t="s">
        <v>2052</v>
      </c>
      <c r="F590" s="36" t="s">
        <v>2053</v>
      </c>
    </row>
    <row r="591" spans="1:6" s="2" customFormat="1" x14ac:dyDescent="0.25">
      <c r="A591" s="12" t="s">
        <v>1012</v>
      </c>
      <c r="B591" s="3">
        <v>1</v>
      </c>
      <c r="C591" s="3" t="s">
        <v>214</v>
      </c>
      <c r="D591" s="2" t="s">
        <v>278</v>
      </c>
      <c r="E591" s="2" t="s">
        <v>1013</v>
      </c>
      <c r="F591" s="36" t="s">
        <v>1011</v>
      </c>
    </row>
    <row r="592" spans="1:6" s="2" customFormat="1" x14ac:dyDescent="0.25">
      <c r="A592" s="12" t="s">
        <v>1010</v>
      </c>
      <c r="B592" s="3">
        <v>3</v>
      </c>
      <c r="C592" s="3" t="s">
        <v>214</v>
      </c>
      <c r="D592" s="2" t="s">
        <v>278</v>
      </c>
      <c r="E592" s="2" t="s">
        <v>1015</v>
      </c>
      <c r="F592" s="36" t="s">
        <v>1011</v>
      </c>
    </row>
    <row r="593" spans="1:6" s="2" customFormat="1" x14ac:dyDescent="0.25">
      <c r="A593" s="12" t="s">
        <v>1007</v>
      </c>
      <c r="B593" s="3">
        <f>10-4</f>
        <v>6</v>
      </c>
      <c r="C593" s="3" t="s">
        <v>214</v>
      </c>
      <c r="D593" s="2" t="s">
        <v>278</v>
      </c>
      <c r="E593" s="2" t="s">
        <v>1008</v>
      </c>
      <c r="F593" s="36" t="s">
        <v>1011</v>
      </c>
    </row>
    <row r="594" spans="1:6" s="2" customFormat="1" x14ac:dyDescent="0.25">
      <c r="A594" s="12" t="s">
        <v>1009</v>
      </c>
      <c r="B594" s="3">
        <v>1</v>
      </c>
      <c r="C594" s="3" t="s">
        <v>214</v>
      </c>
      <c r="D594" s="2" t="s">
        <v>278</v>
      </c>
      <c r="E594" s="2" t="s">
        <v>1014</v>
      </c>
      <c r="F594" s="36" t="s">
        <v>1011</v>
      </c>
    </row>
    <row r="595" spans="1:6" s="2" customFormat="1" ht="45" x14ac:dyDescent="0.25">
      <c r="A595" s="12" t="s">
        <v>1678</v>
      </c>
      <c r="B595" s="3">
        <v>3</v>
      </c>
      <c r="C595" s="3">
        <v>2135</v>
      </c>
      <c r="D595" s="2" t="s">
        <v>278</v>
      </c>
      <c r="E595" s="2" t="s">
        <v>1679</v>
      </c>
      <c r="F595" s="36"/>
    </row>
    <row r="596" spans="1:6" s="2" customFormat="1" x14ac:dyDescent="0.25">
      <c r="A596" s="12" t="s">
        <v>398</v>
      </c>
      <c r="B596" s="3">
        <v>75</v>
      </c>
      <c r="C596" s="3" t="s">
        <v>400</v>
      </c>
      <c r="D596" s="2" t="s">
        <v>278</v>
      </c>
      <c r="E596" s="2" t="s">
        <v>399</v>
      </c>
      <c r="F596" s="36"/>
    </row>
    <row r="597" spans="1:6" s="2" customFormat="1" ht="30" x14ac:dyDescent="0.25">
      <c r="A597" s="12" t="s">
        <v>2609</v>
      </c>
      <c r="B597" s="3">
        <f>91-2-3-1-3-1-6-10-4-12</f>
        <v>49</v>
      </c>
      <c r="C597" s="3">
        <v>2209</v>
      </c>
      <c r="E597" s="5" t="s">
        <v>2610</v>
      </c>
      <c r="F597" s="36"/>
    </row>
    <row r="598" spans="1:6" s="2" customFormat="1" ht="30" x14ac:dyDescent="0.25">
      <c r="A598" s="12" t="s">
        <v>2268</v>
      </c>
      <c r="B598" s="3">
        <f>86-1-50</f>
        <v>35</v>
      </c>
      <c r="C598" s="3">
        <v>2114</v>
      </c>
      <c r="E598" s="5" t="s">
        <v>1463</v>
      </c>
      <c r="F598" s="36"/>
    </row>
    <row r="599" spans="1:6" s="2" customFormat="1" ht="30" x14ac:dyDescent="0.25">
      <c r="A599" s="12" t="s">
        <v>1577</v>
      </c>
      <c r="B599" s="3">
        <f>100-10-2-10-40-6-14-6-2</f>
        <v>10</v>
      </c>
      <c r="C599" s="3">
        <v>2215</v>
      </c>
      <c r="E599" s="5" t="s">
        <v>2122</v>
      </c>
      <c r="F599" s="36" t="s">
        <v>1464</v>
      </c>
    </row>
    <row r="600" spans="1:6" s="2" customFormat="1" x14ac:dyDescent="0.25">
      <c r="A600" s="12" t="s">
        <v>3129</v>
      </c>
      <c r="B600" s="3">
        <v>96</v>
      </c>
      <c r="C600" s="3"/>
      <c r="E600" s="2" t="s">
        <v>3130</v>
      </c>
      <c r="F600" s="36"/>
    </row>
    <row r="601" spans="1:6" s="2" customFormat="1" x14ac:dyDescent="0.25">
      <c r="A601" s="12" t="s">
        <v>3551</v>
      </c>
      <c r="B601" s="3">
        <v>1</v>
      </c>
      <c r="C601" s="3">
        <v>2334</v>
      </c>
      <c r="D601" s="2" t="s">
        <v>3553</v>
      </c>
      <c r="E601" s="2" t="s">
        <v>3552</v>
      </c>
      <c r="F601" s="36"/>
    </row>
    <row r="602" spans="1:6" s="2" customFormat="1" ht="30" x14ac:dyDescent="0.25">
      <c r="A602" s="12" t="s">
        <v>1017</v>
      </c>
      <c r="B602" s="6">
        <f>1-1</f>
        <v>0</v>
      </c>
      <c r="C602" s="3" t="s">
        <v>214</v>
      </c>
      <c r="D602" s="7" t="s">
        <v>1231</v>
      </c>
      <c r="E602" s="2" t="s">
        <v>562</v>
      </c>
      <c r="F602" s="36"/>
    </row>
    <row r="603" spans="1:6" s="2" customFormat="1" ht="30" x14ac:dyDescent="0.25">
      <c r="A603" s="12" t="s">
        <v>1017</v>
      </c>
      <c r="B603" s="3">
        <f>8-3</f>
        <v>5</v>
      </c>
      <c r="C603" s="3"/>
      <c r="D603" s="7"/>
      <c r="F603" s="36"/>
    </row>
    <row r="604" spans="1:6" s="2" customFormat="1" ht="30" x14ac:dyDescent="0.25">
      <c r="A604" s="12" t="s">
        <v>1016</v>
      </c>
      <c r="B604" s="6">
        <f>9-7-2</f>
        <v>0</v>
      </c>
      <c r="C604" s="3" t="s">
        <v>214</v>
      </c>
      <c r="D604" s="7" t="s">
        <v>1231</v>
      </c>
      <c r="E604" s="2" t="s">
        <v>562</v>
      </c>
      <c r="F604" s="36" t="s">
        <v>563</v>
      </c>
    </row>
    <row r="605" spans="1:6" s="2" customFormat="1" x14ac:dyDescent="0.25">
      <c r="A605" s="12" t="s">
        <v>2996</v>
      </c>
      <c r="B605" s="3">
        <f>80-8</f>
        <v>72</v>
      </c>
      <c r="C605" s="3">
        <v>2115</v>
      </c>
      <c r="D605" s="7" t="s">
        <v>2998</v>
      </c>
      <c r="E605" s="2" t="s">
        <v>2997</v>
      </c>
      <c r="F605" s="36" t="s">
        <v>2999</v>
      </c>
    </row>
    <row r="606" spans="1:6" s="2" customFormat="1" x14ac:dyDescent="0.25">
      <c r="A606" s="12" t="s">
        <v>2217</v>
      </c>
      <c r="B606" s="3">
        <v>1</v>
      </c>
      <c r="C606" s="3">
        <v>2143</v>
      </c>
      <c r="D606" s="7"/>
      <c r="E606" s="2" t="s">
        <v>2219</v>
      </c>
      <c r="F606" s="36" t="s">
        <v>2218</v>
      </c>
    </row>
    <row r="607" spans="1:6" s="2" customFormat="1" x14ac:dyDescent="0.25">
      <c r="A607" s="2" t="s">
        <v>958</v>
      </c>
      <c r="B607" s="3">
        <v>3</v>
      </c>
      <c r="C607" s="3" t="s">
        <v>743</v>
      </c>
      <c r="E607" s="2" t="s">
        <v>959</v>
      </c>
      <c r="F607" s="36" t="s">
        <v>960</v>
      </c>
    </row>
    <row r="608" spans="1:6" s="2" customFormat="1" x14ac:dyDescent="0.25">
      <c r="A608" s="2" t="s">
        <v>1731</v>
      </c>
      <c r="B608" s="6">
        <f>188-188</f>
        <v>0</v>
      </c>
      <c r="C608" s="3">
        <v>2127</v>
      </c>
      <c r="D608" s="2" t="s">
        <v>1265</v>
      </c>
      <c r="E608" s="2" t="s">
        <v>2370</v>
      </c>
      <c r="F608" s="36" t="s">
        <v>1732</v>
      </c>
    </row>
    <row r="609" spans="1:6" s="2" customFormat="1" x14ac:dyDescent="0.25">
      <c r="A609" s="2" t="s">
        <v>2108</v>
      </c>
      <c r="B609" s="6">
        <f>1-1</f>
        <v>0</v>
      </c>
      <c r="C609" s="3">
        <v>1438</v>
      </c>
      <c r="D609" s="2" t="s">
        <v>76</v>
      </c>
      <c r="E609" s="2" t="s">
        <v>2109</v>
      </c>
      <c r="F609" s="36" t="s">
        <v>1485</v>
      </c>
    </row>
    <row r="610" spans="1:6" s="2" customFormat="1" x14ac:dyDescent="0.25">
      <c r="A610" s="2" t="s">
        <v>55</v>
      </c>
      <c r="B610" s="3">
        <v>20</v>
      </c>
      <c r="C610" s="3" t="s">
        <v>27</v>
      </c>
      <c r="D610" s="2" t="s">
        <v>56</v>
      </c>
      <c r="E610" s="2" t="s">
        <v>57</v>
      </c>
      <c r="F610" s="36" t="s">
        <v>58</v>
      </c>
    </row>
    <row r="611" spans="1:6" s="2" customFormat="1" x14ac:dyDescent="0.25">
      <c r="A611" s="2" t="s">
        <v>221</v>
      </c>
      <c r="B611" s="3">
        <v>90</v>
      </c>
      <c r="C611" s="3" t="s">
        <v>27</v>
      </c>
      <c r="D611" s="2" t="s">
        <v>56</v>
      </c>
      <c r="E611" s="2" t="s">
        <v>222</v>
      </c>
      <c r="F611" s="36"/>
    </row>
    <row r="612" spans="1:6" s="2" customFormat="1" ht="45" x14ac:dyDescent="0.25">
      <c r="A612" s="2" t="s">
        <v>2208</v>
      </c>
      <c r="B612" s="3">
        <v>1</v>
      </c>
      <c r="C612" s="3">
        <v>2028</v>
      </c>
      <c r="D612" s="2" t="s">
        <v>2210</v>
      </c>
      <c r="E612" s="5" t="s">
        <v>2209</v>
      </c>
      <c r="F612" s="36" t="s">
        <v>2211</v>
      </c>
    </row>
    <row r="613" spans="1:6" s="2" customFormat="1" x14ac:dyDescent="0.25">
      <c r="A613" s="2" t="s">
        <v>1521</v>
      </c>
      <c r="B613" s="3">
        <v>5</v>
      </c>
      <c r="C613" s="3"/>
      <c r="E613" s="2" t="s">
        <v>817</v>
      </c>
      <c r="F613" s="36"/>
    </row>
    <row r="614" spans="1:6" s="2" customFormat="1" x14ac:dyDescent="0.25">
      <c r="A614" s="2" t="s">
        <v>1522</v>
      </c>
      <c r="B614" s="3">
        <v>5</v>
      </c>
      <c r="C614" s="3"/>
      <c r="E614" s="2" t="s">
        <v>818</v>
      </c>
      <c r="F614" s="36"/>
    </row>
    <row r="615" spans="1:6" s="2" customFormat="1" ht="45" x14ac:dyDescent="0.25">
      <c r="A615" s="2" t="s">
        <v>2193</v>
      </c>
      <c r="B615" s="6">
        <f>17-6-1-2-2-6</f>
        <v>0</v>
      </c>
      <c r="C615" s="3">
        <v>2117</v>
      </c>
      <c r="D615" s="2" t="s">
        <v>2194</v>
      </c>
      <c r="E615" s="12" t="s">
        <v>2196</v>
      </c>
      <c r="F615" s="36" t="s">
        <v>2195</v>
      </c>
    </row>
    <row r="616" spans="1:6" s="2" customFormat="1" ht="45" x14ac:dyDescent="0.25">
      <c r="A616" s="2" t="s">
        <v>2193</v>
      </c>
      <c r="B616" s="3">
        <v>2</v>
      </c>
      <c r="C616" s="3"/>
      <c r="D616" s="2" t="s">
        <v>2194</v>
      </c>
      <c r="E616" s="12" t="s">
        <v>2196</v>
      </c>
      <c r="F616" s="36"/>
    </row>
    <row r="617" spans="1:6" s="2" customFormat="1" x14ac:dyDescent="0.25">
      <c r="A617" s="2" t="s">
        <v>2110</v>
      </c>
      <c r="B617" s="6">
        <f>11-11</f>
        <v>0</v>
      </c>
      <c r="C617" s="3">
        <v>2207</v>
      </c>
      <c r="D617" s="2" t="s">
        <v>2112</v>
      </c>
      <c r="E617" s="2" t="s">
        <v>2111</v>
      </c>
      <c r="F617" s="36" t="s">
        <v>2113</v>
      </c>
    </row>
    <row r="618" spans="1:6" s="2" customFormat="1" x14ac:dyDescent="0.25">
      <c r="A618" s="2" t="s">
        <v>3639</v>
      </c>
      <c r="B618" s="3">
        <v>4</v>
      </c>
      <c r="C618" s="3"/>
      <c r="F618" s="36"/>
    </row>
    <row r="619" spans="1:6" s="2" customFormat="1" x14ac:dyDescent="0.25">
      <c r="A619" s="2" t="s">
        <v>1623</v>
      </c>
      <c r="B619" s="15">
        <f>600-300-300</f>
        <v>0</v>
      </c>
      <c r="C619" s="3">
        <v>2209</v>
      </c>
      <c r="D619" s="2" t="s">
        <v>1628</v>
      </c>
      <c r="E619" s="2" t="s">
        <v>1630</v>
      </c>
      <c r="F619" s="36" t="s">
        <v>1629</v>
      </c>
    </row>
    <row r="620" spans="1:6" s="2" customFormat="1" x14ac:dyDescent="0.25">
      <c r="A620" s="2" t="s">
        <v>1623</v>
      </c>
      <c r="B620" s="14">
        <f>650-38-302-2</f>
        <v>308</v>
      </c>
      <c r="C620" s="3">
        <v>2229</v>
      </c>
      <c r="D620" s="2" t="s">
        <v>1628</v>
      </c>
      <c r="E620" s="2" t="s">
        <v>1630</v>
      </c>
      <c r="F620" s="36" t="s">
        <v>1629</v>
      </c>
    </row>
    <row r="621" spans="1:6" s="2" customFormat="1" x14ac:dyDescent="0.25">
      <c r="A621" s="2" t="s">
        <v>1106</v>
      </c>
      <c r="B621" s="14">
        <v>10</v>
      </c>
      <c r="C621" s="3">
        <v>1823</v>
      </c>
      <c r="D621" s="5" t="s">
        <v>134</v>
      </c>
      <c r="E621" s="2" t="s">
        <v>1107</v>
      </c>
      <c r="F621" s="36"/>
    </row>
    <row r="622" spans="1:6" s="2" customFormat="1" x14ac:dyDescent="0.25">
      <c r="A622" s="2" t="s">
        <v>1825</v>
      </c>
      <c r="B622" s="14">
        <v>1</v>
      </c>
      <c r="C622" s="3">
        <v>2212</v>
      </c>
      <c r="D622" s="5" t="s">
        <v>1826</v>
      </c>
      <c r="E622" s="2" t="s">
        <v>1828</v>
      </c>
      <c r="F622" s="36" t="s">
        <v>1827</v>
      </c>
    </row>
    <row r="623" spans="1:6" s="2" customFormat="1" x14ac:dyDescent="0.25">
      <c r="A623" s="2" t="s">
        <v>634</v>
      </c>
      <c r="B623" s="14">
        <v>7</v>
      </c>
      <c r="C623" s="3" t="s">
        <v>473</v>
      </c>
      <c r="D623" s="2" t="s">
        <v>213</v>
      </c>
      <c r="E623" s="2" t="s">
        <v>635</v>
      </c>
      <c r="F623" s="36"/>
    </row>
    <row r="624" spans="1:6" s="2" customFormat="1" x14ac:dyDescent="0.25">
      <c r="A624" s="2" t="s">
        <v>439</v>
      </c>
      <c r="B624" s="3">
        <v>3</v>
      </c>
      <c r="C624" s="4"/>
      <c r="D624" s="2" t="s">
        <v>383</v>
      </c>
      <c r="E624" s="2" t="s">
        <v>440</v>
      </c>
      <c r="F624" s="36" t="s">
        <v>441</v>
      </c>
    </row>
    <row r="625" spans="1:6" s="2" customFormat="1" x14ac:dyDescent="0.25">
      <c r="A625" s="2" t="s">
        <v>2275</v>
      </c>
      <c r="B625" s="3">
        <f>40-10</f>
        <v>30</v>
      </c>
      <c r="C625" s="4" t="s">
        <v>2276</v>
      </c>
      <c r="D625" s="2" t="s">
        <v>383</v>
      </c>
      <c r="E625" s="2" t="s">
        <v>2277</v>
      </c>
      <c r="F625" s="36" t="s">
        <v>2278</v>
      </c>
    </row>
    <row r="626" spans="1:6" s="2" customFormat="1" x14ac:dyDescent="0.25">
      <c r="A626" s="2" t="s">
        <v>3078</v>
      </c>
      <c r="B626" s="3">
        <v>17</v>
      </c>
      <c r="C626" s="3">
        <v>1235</v>
      </c>
      <c r="D626" s="2" t="s">
        <v>383</v>
      </c>
      <c r="E626" s="2" t="s">
        <v>3133</v>
      </c>
      <c r="F626" s="36" t="s">
        <v>3134</v>
      </c>
    </row>
    <row r="627" spans="1:6" s="2" customFormat="1" x14ac:dyDescent="0.25">
      <c r="A627" s="2" t="s">
        <v>1817</v>
      </c>
      <c r="B627" s="3">
        <f>40-1</f>
        <v>39</v>
      </c>
      <c r="C627" s="4" t="s">
        <v>1818</v>
      </c>
      <c r="D627" s="2" t="s">
        <v>1820</v>
      </c>
      <c r="E627" s="2" t="s">
        <v>1819</v>
      </c>
      <c r="F627" s="36" t="s">
        <v>1821</v>
      </c>
    </row>
    <row r="628" spans="1:6" s="2" customFormat="1" x14ac:dyDescent="0.25">
      <c r="A628" s="2" t="s">
        <v>129</v>
      </c>
      <c r="B628" s="3">
        <f>1808-2</f>
        <v>1806</v>
      </c>
      <c r="C628" s="4" t="s">
        <v>125</v>
      </c>
      <c r="D628" s="2" t="s">
        <v>131</v>
      </c>
      <c r="E628" s="2" t="s">
        <v>130</v>
      </c>
      <c r="F628" s="36" t="s">
        <v>132</v>
      </c>
    </row>
    <row r="629" spans="1:6" s="2" customFormat="1" x14ac:dyDescent="0.25">
      <c r="A629" s="2" t="s">
        <v>1671</v>
      </c>
      <c r="B629" s="3">
        <v>420</v>
      </c>
      <c r="C629" s="4" t="s">
        <v>1672</v>
      </c>
      <c r="D629" s="2" t="s">
        <v>1674</v>
      </c>
      <c r="E629" s="2" t="s">
        <v>1673</v>
      </c>
      <c r="F629" s="36" t="s">
        <v>1675</v>
      </c>
    </row>
    <row r="630" spans="1:6" s="2" customFormat="1" x14ac:dyDescent="0.25">
      <c r="A630" s="2" t="s">
        <v>1706</v>
      </c>
      <c r="B630" s="3">
        <v>13</v>
      </c>
      <c r="C630" s="4" t="s">
        <v>1707</v>
      </c>
      <c r="D630" s="2" t="s">
        <v>744</v>
      </c>
      <c r="E630" s="2" t="s">
        <v>1708</v>
      </c>
      <c r="F630" s="36"/>
    </row>
    <row r="631" spans="1:6" s="2" customFormat="1" x14ac:dyDescent="0.25">
      <c r="A631" s="2" t="s">
        <v>2593</v>
      </c>
      <c r="B631" s="3">
        <v>2</v>
      </c>
      <c r="C631" s="4" t="s">
        <v>2595</v>
      </c>
      <c r="D631" s="2" t="s">
        <v>1265</v>
      </c>
      <c r="E631" s="2" t="s">
        <v>2594</v>
      </c>
      <c r="F631" s="36" t="s">
        <v>2596</v>
      </c>
    </row>
    <row r="632" spans="1:6" s="2" customFormat="1" x14ac:dyDescent="0.25">
      <c r="A632" s="2" t="s">
        <v>1442</v>
      </c>
      <c r="B632" s="3">
        <v>1</v>
      </c>
      <c r="C632" s="4" t="s">
        <v>3603</v>
      </c>
      <c r="D632" s="2" t="s">
        <v>1265</v>
      </c>
      <c r="E632" s="2" t="s">
        <v>1443</v>
      </c>
      <c r="F632" s="36" t="s">
        <v>1444</v>
      </c>
    </row>
    <row r="633" spans="1:6" s="2" customFormat="1" x14ac:dyDescent="0.25">
      <c r="A633" s="2" t="s">
        <v>1446</v>
      </c>
      <c r="B633" s="6">
        <f>152-2-150</f>
        <v>0</v>
      </c>
      <c r="C633" s="4" t="s">
        <v>1447</v>
      </c>
      <c r="D633" s="2" t="s">
        <v>1265</v>
      </c>
      <c r="E633" s="2" t="s">
        <v>1448</v>
      </c>
      <c r="F633" s="36" t="s">
        <v>1444</v>
      </c>
    </row>
    <row r="634" spans="1:6" s="2" customFormat="1" x14ac:dyDescent="0.25">
      <c r="A634" s="2" t="s">
        <v>1552</v>
      </c>
      <c r="B634" s="6">
        <f>9000-3000-3000-3000</f>
        <v>0</v>
      </c>
      <c r="C634" s="4" t="s">
        <v>1553</v>
      </c>
      <c r="E634" s="5" t="s">
        <v>1554</v>
      </c>
      <c r="F634" s="36"/>
    </row>
    <row r="635" spans="1:6" s="2" customFormat="1" x14ac:dyDescent="0.25">
      <c r="A635" s="2" t="s">
        <v>1394</v>
      </c>
      <c r="B635" s="6">
        <f>110-110</f>
        <v>0</v>
      </c>
      <c r="C635" s="4" t="s">
        <v>1396</v>
      </c>
      <c r="D635" s="2" t="s">
        <v>759</v>
      </c>
      <c r="E635" s="2" t="s">
        <v>1395</v>
      </c>
      <c r="F635" s="36"/>
    </row>
    <row r="636" spans="1:6" s="2" customFormat="1" x14ac:dyDescent="0.25">
      <c r="A636" s="2" t="s">
        <v>2287</v>
      </c>
      <c r="B636" s="6">
        <f>28-28</f>
        <v>0</v>
      </c>
      <c r="C636" s="3">
        <v>2129</v>
      </c>
      <c r="D636" s="2" t="s">
        <v>2288</v>
      </c>
      <c r="E636" s="2" t="s">
        <v>2290</v>
      </c>
      <c r="F636" s="36" t="s">
        <v>2289</v>
      </c>
    </row>
    <row r="637" spans="1:6" s="2" customFormat="1" x14ac:dyDescent="0.25">
      <c r="A637" s="2" t="s">
        <v>591</v>
      </c>
      <c r="B637" s="6">
        <f>126-40-86</f>
        <v>0</v>
      </c>
      <c r="C637" s="4"/>
      <c r="D637" s="2" t="s">
        <v>592</v>
      </c>
      <c r="E637" s="2" t="s">
        <v>593</v>
      </c>
      <c r="F637" s="36" t="s">
        <v>594</v>
      </c>
    </row>
    <row r="638" spans="1:6" s="2" customFormat="1" x14ac:dyDescent="0.25">
      <c r="A638" s="2" t="s">
        <v>553</v>
      </c>
      <c r="B638" s="3">
        <v>10</v>
      </c>
      <c r="C638" s="3" t="s">
        <v>214</v>
      </c>
      <c r="D638" s="2" t="s">
        <v>554</v>
      </c>
      <c r="E638" s="2" t="s">
        <v>555</v>
      </c>
      <c r="F638" s="36" t="s">
        <v>556</v>
      </c>
    </row>
    <row r="639" spans="1:6" s="2" customFormat="1" x14ac:dyDescent="0.25">
      <c r="A639" s="2" t="s">
        <v>218</v>
      </c>
      <c r="B639" s="3">
        <v>6</v>
      </c>
      <c r="C639" s="4"/>
      <c r="D639" s="2" t="s">
        <v>220</v>
      </c>
      <c r="E639" s="2" t="s">
        <v>219</v>
      </c>
      <c r="F639" s="36" t="s">
        <v>232</v>
      </c>
    </row>
    <row r="640" spans="1:6" s="2" customFormat="1" x14ac:dyDescent="0.25">
      <c r="A640" s="2" t="s">
        <v>2805</v>
      </c>
      <c r="B640" s="3">
        <f>8-4</f>
        <v>4</v>
      </c>
      <c r="C640" s="4" t="s">
        <v>2307</v>
      </c>
      <c r="D640" s="2" t="s">
        <v>213</v>
      </c>
      <c r="E640" s="36"/>
      <c r="F640" s="36" t="s">
        <v>2767</v>
      </c>
    </row>
    <row r="641" spans="1:6" s="2" customFormat="1" x14ac:dyDescent="0.25">
      <c r="A641" s="2" t="s">
        <v>2806</v>
      </c>
      <c r="B641" s="3">
        <f>8-4</f>
        <v>4</v>
      </c>
      <c r="C641" s="4" t="s">
        <v>2642</v>
      </c>
      <c r="D641" s="2" t="s">
        <v>213</v>
      </c>
      <c r="F641" s="36" t="s">
        <v>2767</v>
      </c>
    </row>
    <row r="642" spans="1:6" s="2" customFormat="1" x14ac:dyDescent="0.25">
      <c r="A642" s="2" t="s">
        <v>3235</v>
      </c>
      <c r="B642" s="3">
        <v>3</v>
      </c>
      <c r="C642" s="4" t="s">
        <v>2763</v>
      </c>
      <c r="D642" s="2" t="s">
        <v>213</v>
      </c>
      <c r="E642" s="2" t="s">
        <v>3236</v>
      </c>
      <c r="F642" s="36" t="s">
        <v>2767</v>
      </c>
    </row>
    <row r="643" spans="1:6" s="2" customFormat="1" x14ac:dyDescent="0.25">
      <c r="A643" s="2" t="s">
        <v>3232</v>
      </c>
      <c r="B643" s="3">
        <f>2+1</f>
        <v>3</v>
      </c>
      <c r="C643" s="4" t="s">
        <v>3220</v>
      </c>
      <c r="D643" s="2" t="s">
        <v>213</v>
      </c>
      <c r="E643" s="2" t="s">
        <v>3233</v>
      </c>
      <c r="F643" s="36" t="s">
        <v>3234</v>
      </c>
    </row>
    <row r="644" spans="1:6" s="2" customFormat="1" x14ac:dyDescent="0.25">
      <c r="A644" s="2" t="s">
        <v>2826</v>
      </c>
      <c r="B644" s="3">
        <v>2</v>
      </c>
      <c r="C644" s="4" t="s">
        <v>2824</v>
      </c>
      <c r="D644" s="2" t="s">
        <v>2827</v>
      </c>
      <c r="E644" s="2" t="s">
        <v>2825</v>
      </c>
      <c r="F644" s="36" t="s">
        <v>2828</v>
      </c>
    </row>
    <row r="645" spans="1:6" s="2" customFormat="1" x14ac:dyDescent="0.25">
      <c r="A645" s="2" t="s">
        <v>88</v>
      </c>
      <c r="B645" s="3">
        <v>100</v>
      </c>
      <c r="C645" s="3"/>
      <c r="D645" s="2" t="s">
        <v>89</v>
      </c>
      <c r="E645" s="5" t="s">
        <v>90</v>
      </c>
      <c r="F645" s="36" t="s">
        <v>91</v>
      </c>
    </row>
    <row r="646" spans="1:6" s="2" customFormat="1" x14ac:dyDescent="0.25">
      <c r="A646" s="2" t="s">
        <v>3568</v>
      </c>
      <c r="B646" s="3">
        <v>180</v>
      </c>
      <c r="C646" s="3">
        <v>2129</v>
      </c>
      <c r="D646" s="2" t="s">
        <v>213</v>
      </c>
      <c r="E646" s="5" t="s">
        <v>3569</v>
      </c>
      <c r="F646" s="36"/>
    </row>
    <row r="647" spans="1:6" s="2" customFormat="1" ht="30" x14ac:dyDescent="0.25">
      <c r="A647" s="7" t="s">
        <v>762</v>
      </c>
      <c r="B647" s="3">
        <f>100-25</f>
        <v>75</v>
      </c>
      <c r="C647" s="3" t="s">
        <v>214</v>
      </c>
      <c r="D647" s="2" t="s">
        <v>763</v>
      </c>
      <c r="E647" s="5" t="s">
        <v>765</v>
      </c>
      <c r="F647" s="36" t="s">
        <v>764</v>
      </c>
    </row>
    <row r="648" spans="1:6" s="2" customFormat="1" x14ac:dyDescent="0.25">
      <c r="A648" s="2" t="s">
        <v>871</v>
      </c>
      <c r="B648" s="6">
        <f>230-230</f>
        <v>0</v>
      </c>
      <c r="C648" s="3" t="s">
        <v>214</v>
      </c>
      <c r="D648" s="2" t="s">
        <v>759</v>
      </c>
      <c r="E648" s="5" t="s">
        <v>872</v>
      </c>
      <c r="F648" s="36" t="s">
        <v>873</v>
      </c>
    </row>
    <row r="649" spans="1:6" s="2" customFormat="1" x14ac:dyDescent="0.25">
      <c r="A649" s="2" t="s">
        <v>1099</v>
      </c>
      <c r="B649" s="3">
        <v>4</v>
      </c>
      <c r="C649" s="3">
        <v>1803</v>
      </c>
      <c r="D649" s="2" t="s">
        <v>1097</v>
      </c>
      <c r="E649" s="5" t="s">
        <v>1098</v>
      </c>
      <c r="F649" s="36"/>
    </row>
    <row r="650" spans="1:6" s="2" customFormat="1" ht="30" x14ac:dyDescent="0.25">
      <c r="A650" s="2" t="s">
        <v>2147</v>
      </c>
      <c r="B650" s="6">
        <f>110-110</f>
        <v>0</v>
      </c>
      <c r="C650" s="3">
        <v>2124</v>
      </c>
      <c r="E650" s="5" t="s">
        <v>2148</v>
      </c>
      <c r="F650" s="36"/>
    </row>
    <row r="651" spans="1:6" s="2" customFormat="1" x14ac:dyDescent="0.25">
      <c r="A651" s="2" t="s">
        <v>466</v>
      </c>
      <c r="B651" s="3">
        <v>11</v>
      </c>
      <c r="C651" s="3" t="s">
        <v>214</v>
      </c>
      <c r="D651" s="2" t="s">
        <v>468</v>
      </c>
      <c r="E651" s="5" t="s">
        <v>467</v>
      </c>
      <c r="F651" s="36" t="s">
        <v>469</v>
      </c>
    </row>
    <row r="652" spans="1:6" s="2" customFormat="1" x14ac:dyDescent="0.25">
      <c r="A652" s="2" t="s">
        <v>466</v>
      </c>
      <c r="B652" s="3">
        <v>40</v>
      </c>
      <c r="C652" s="3">
        <v>1646</v>
      </c>
      <c r="D652" s="2" t="s">
        <v>468</v>
      </c>
      <c r="E652" s="5" t="s">
        <v>467</v>
      </c>
      <c r="F652" s="36" t="s">
        <v>469</v>
      </c>
    </row>
    <row r="653" spans="1:6" s="2" customFormat="1" x14ac:dyDescent="0.25">
      <c r="A653" s="2" t="s">
        <v>466</v>
      </c>
      <c r="B653" s="3">
        <v>57</v>
      </c>
      <c r="C653" s="3" t="s">
        <v>473</v>
      </c>
      <c r="D653" s="2" t="s">
        <v>468</v>
      </c>
      <c r="E653" s="5" t="s">
        <v>467</v>
      </c>
      <c r="F653" s="36" t="s">
        <v>469</v>
      </c>
    </row>
    <row r="654" spans="1:6" s="2" customFormat="1" x14ac:dyDescent="0.25">
      <c r="A654" s="2" t="s">
        <v>470</v>
      </c>
      <c r="B654" s="3">
        <v>440</v>
      </c>
      <c r="C654" s="3">
        <v>1733</v>
      </c>
      <c r="D654" s="2" t="s">
        <v>73</v>
      </c>
      <c r="E654" s="5" t="s">
        <v>472</v>
      </c>
      <c r="F654" s="36" t="s">
        <v>471</v>
      </c>
    </row>
    <row r="655" spans="1:6" s="2" customFormat="1" x14ac:dyDescent="0.25">
      <c r="A655" s="2" t="s">
        <v>111</v>
      </c>
      <c r="B655" s="6">
        <f>489+1073+56-4-9-1605</f>
        <v>0</v>
      </c>
      <c r="C655" s="3">
        <v>1050</v>
      </c>
      <c r="D655" s="2" t="s">
        <v>113</v>
      </c>
      <c r="E655" s="2" t="s">
        <v>112</v>
      </c>
      <c r="F655" s="36" t="s">
        <v>114</v>
      </c>
    </row>
    <row r="656" spans="1:6" s="2" customFormat="1" x14ac:dyDescent="0.25">
      <c r="A656" s="2" t="s">
        <v>726</v>
      </c>
      <c r="B656" s="3">
        <f>3000-600-1000-5-1-8-1</f>
        <v>1385</v>
      </c>
      <c r="C656" s="3">
        <v>1310</v>
      </c>
      <c r="D656" s="2" t="s">
        <v>208</v>
      </c>
      <c r="E656" s="2" t="s">
        <v>727</v>
      </c>
      <c r="F656" s="36" t="s">
        <v>728</v>
      </c>
    </row>
    <row r="657" spans="1:6" s="2" customFormat="1" x14ac:dyDescent="0.25">
      <c r="A657" s="2" t="s">
        <v>2263</v>
      </c>
      <c r="B657" s="3">
        <v>19</v>
      </c>
      <c r="C657" s="3">
        <v>1610</v>
      </c>
      <c r="D657" s="2" t="s">
        <v>208</v>
      </c>
      <c r="E657" s="2" t="s">
        <v>2264</v>
      </c>
      <c r="F657" s="36" t="s">
        <v>2265</v>
      </c>
    </row>
    <row r="658" spans="1:6" s="2" customFormat="1" x14ac:dyDescent="0.25">
      <c r="A658" s="2" t="s">
        <v>1786</v>
      </c>
      <c r="B658" s="6">
        <f>10-10</f>
        <v>0</v>
      </c>
      <c r="C658" s="3">
        <v>1242</v>
      </c>
      <c r="D658" s="2" t="s">
        <v>208</v>
      </c>
      <c r="E658" s="2" t="s">
        <v>1787</v>
      </c>
      <c r="F658" s="36" t="s">
        <v>1788</v>
      </c>
    </row>
    <row r="659" spans="1:6" s="2" customFormat="1" x14ac:dyDescent="0.25">
      <c r="A659" s="2" t="s">
        <v>3052</v>
      </c>
      <c r="B659" s="3">
        <v>7</v>
      </c>
      <c r="C659" s="3">
        <v>1341</v>
      </c>
      <c r="D659" s="2" t="s">
        <v>208</v>
      </c>
      <c r="E659" s="2" t="s">
        <v>3137</v>
      </c>
    </row>
    <row r="660" spans="1:6" s="2" customFormat="1" x14ac:dyDescent="0.25">
      <c r="A660" s="2" t="s">
        <v>819</v>
      </c>
      <c r="B660" s="3">
        <f>107-94-1</f>
        <v>12</v>
      </c>
      <c r="C660" s="3" t="s">
        <v>473</v>
      </c>
      <c r="D660" s="2" t="s">
        <v>208</v>
      </c>
      <c r="E660" s="2" t="s">
        <v>820</v>
      </c>
      <c r="F660" s="36" t="s">
        <v>821</v>
      </c>
    </row>
    <row r="661" spans="1:6" s="2" customFormat="1" x14ac:dyDescent="0.25">
      <c r="A661" s="2" t="s">
        <v>1605</v>
      </c>
      <c r="B661" s="3">
        <v>1</v>
      </c>
      <c r="C661" s="3">
        <v>2107</v>
      </c>
      <c r="D661" s="2" t="s">
        <v>208</v>
      </c>
      <c r="E661" s="2" t="s">
        <v>1606</v>
      </c>
      <c r="F661" s="36" t="s">
        <v>1607</v>
      </c>
    </row>
    <row r="662" spans="1:6" s="2" customFormat="1" x14ac:dyDescent="0.25">
      <c r="A662" s="2" t="s">
        <v>801</v>
      </c>
      <c r="B662" s="6">
        <f>500-400-100</f>
        <v>0</v>
      </c>
      <c r="C662" s="3" t="s">
        <v>473</v>
      </c>
      <c r="D662" s="2" t="s">
        <v>208</v>
      </c>
      <c r="E662" s="2" t="s">
        <v>802</v>
      </c>
      <c r="F662" s="36" t="s">
        <v>803</v>
      </c>
    </row>
    <row r="663" spans="1:6" s="2" customFormat="1" ht="30" x14ac:dyDescent="0.25">
      <c r="A663" s="2" t="s">
        <v>2272</v>
      </c>
      <c r="B663" s="6">
        <f>3-3</f>
        <v>0</v>
      </c>
      <c r="C663" s="3" t="s">
        <v>473</v>
      </c>
      <c r="D663" s="2" t="s">
        <v>208</v>
      </c>
      <c r="E663" s="5" t="s">
        <v>2273</v>
      </c>
      <c r="F663" s="36" t="s">
        <v>2274</v>
      </c>
    </row>
    <row r="664" spans="1:6" s="2" customFormat="1" x14ac:dyDescent="0.25">
      <c r="A664" s="2" t="s">
        <v>539</v>
      </c>
      <c r="B664" s="3">
        <v>82</v>
      </c>
      <c r="C664" s="3"/>
      <c r="D664" s="2" t="s">
        <v>208</v>
      </c>
      <c r="E664" s="2" t="s">
        <v>540</v>
      </c>
      <c r="F664" s="36" t="s">
        <v>541</v>
      </c>
    </row>
    <row r="665" spans="1:6" s="2" customFormat="1" x14ac:dyDescent="0.25">
      <c r="A665" s="2" t="s">
        <v>940</v>
      </c>
      <c r="B665" s="3">
        <v>10</v>
      </c>
      <c r="C665" s="3"/>
      <c r="D665" s="2" t="s">
        <v>208</v>
      </c>
      <c r="E665" s="2" t="s">
        <v>2860</v>
      </c>
      <c r="F665" s="36" t="s">
        <v>920</v>
      </c>
    </row>
    <row r="666" spans="1:6" s="2" customFormat="1" x14ac:dyDescent="0.25">
      <c r="A666" s="2" t="s">
        <v>1247</v>
      </c>
      <c r="B666" s="6">
        <f>4-4</f>
        <v>0</v>
      </c>
      <c r="C666" s="3">
        <v>1901</v>
      </c>
      <c r="D666" s="2" t="s">
        <v>208</v>
      </c>
      <c r="E666" s="2" t="s">
        <v>1248</v>
      </c>
      <c r="F666" s="36"/>
    </row>
    <row r="667" spans="1:6" s="2" customFormat="1" x14ac:dyDescent="0.25">
      <c r="A667" s="2" t="s">
        <v>2324</v>
      </c>
      <c r="B667" s="3">
        <v>1</v>
      </c>
      <c r="C667" s="3">
        <v>2126</v>
      </c>
      <c r="E667" s="2" t="s">
        <v>2326</v>
      </c>
      <c r="F667" s="36" t="s">
        <v>2325</v>
      </c>
    </row>
    <row r="668" spans="1:6" s="2" customFormat="1" x14ac:dyDescent="0.25">
      <c r="A668" s="2" t="s">
        <v>3564</v>
      </c>
      <c r="B668" s="3">
        <f>7-1</f>
        <v>6</v>
      </c>
      <c r="C668" s="3">
        <v>2331</v>
      </c>
      <c r="D668" s="2" t="s">
        <v>3302</v>
      </c>
      <c r="E668" s="2" t="s">
        <v>3565</v>
      </c>
      <c r="F668" s="36" t="s">
        <v>3566</v>
      </c>
    </row>
    <row r="669" spans="1:6" s="2" customFormat="1" x14ac:dyDescent="0.25">
      <c r="A669" s="2" t="s">
        <v>3374</v>
      </c>
      <c r="B669" s="3">
        <f>14-14</f>
        <v>0</v>
      </c>
      <c r="C669" s="3">
        <v>2246</v>
      </c>
      <c r="D669" s="2" t="s">
        <v>3375</v>
      </c>
      <c r="E669" s="2" t="s">
        <v>3377</v>
      </c>
      <c r="F669" s="36" t="s">
        <v>3376</v>
      </c>
    </row>
    <row r="670" spans="1:6" s="2" customFormat="1" x14ac:dyDescent="0.25">
      <c r="A670" s="2" t="s">
        <v>1664</v>
      </c>
      <c r="B670" s="3">
        <v>2</v>
      </c>
      <c r="C670" s="3">
        <v>2201</v>
      </c>
      <c r="D670" s="2" t="s">
        <v>1665</v>
      </c>
      <c r="E670" s="2" t="s">
        <v>1666</v>
      </c>
      <c r="F670" s="36" t="s">
        <v>1667</v>
      </c>
    </row>
    <row r="671" spans="1:6" s="2" customFormat="1" x14ac:dyDescent="0.25">
      <c r="A671" s="2" t="s">
        <v>3736</v>
      </c>
      <c r="B671" s="6">
        <v>89</v>
      </c>
      <c r="C671" s="3">
        <v>2201</v>
      </c>
      <c r="D671" s="2" t="s">
        <v>3737</v>
      </c>
      <c r="E671" s="2" t="s">
        <v>3738</v>
      </c>
      <c r="F671" s="36" t="s">
        <v>3739</v>
      </c>
    </row>
    <row r="672" spans="1:6" s="2" customFormat="1" x14ac:dyDescent="0.25">
      <c r="A672" s="2" t="s">
        <v>3592</v>
      </c>
      <c r="B672" s="3">
        <v>6</v>
      </c>
      <c r="C672" s="3">
        <v>1823</v>
      </c>
      <c r="D672" s="2" t="s">
        <v>3594</v>
      </c>
      <c r="E672" s="2" t="s">
        <v>3593</v>
      </c>
      <c r="F672" s="36" t="s">
        <v>3595</v>
      </c>
    </row>
    <row r="673" spans="1:6" s="2" customFormat="1" x14ac:dyDescent="0.25">
      <c r="A673" s="2" t="s">
        <v>2296</v>
      </c>
      <c r="B673" s="3">
        <v>1</v>
      </c>
      <c r="C673" s="3">
        <v>2211</v>
      </c>
      <c r="D673" s="2" t="s">
        <v>2210</v>
      </c>
      <c r="E673" s="2" t="s">
        <v>2297</v>
      </c>
      <c r="F673" s="36"/>
    </row>
    <row r="674" spans="1:6" s="2" customFormat="1" x14ac:dyDescent="0.25">
      <c r="A674" s="2" t="s">
        <v>1314</v>
      </c>
      <c r="B674" s="3">
        <f>821-310-50-39-10</f>
        <v>412</v>
      </c>
      <c r="C674" s="3">
        <v>1126</v>
      </c>
      <c r="D674" s="2" t="s">
        <v>1265</v>
      </c>
      <c r="E674" s="2" t="s">
        <v>1315</v>
      </c>
      <c r="F674" s="36"/>
    </row>
    <row r="675" spans="1:6" s="2" customFormat="1" x14ac:dyDescent="0.25">
      <c r="A675" s="2" t="s">
        <v>1264</v>
      </c>
      <c r="B675" s="6">
        <f>25-7-18</f>
        <v>0</v>
      </c>
      <c r="C675" s="3">
        <v>1946</v>
      </c>
      <c r="D675" s="2" t="s">
        <v>1265</v>
      </c>
      <c r="E675" s="2" t="s">
        <v>1266</v>
      </c>
      <c r="F675" s="36"/>
    </row>
    <row r="676" spans="1:6" s="2" customFormat="1" x14ac:dyDescent="0.25">
      <c r="A676" s="2" t="s">
        <v>362</v>
      </c>
      <c r="B676" s="3">
        <v>13</v>
      </c>
      <c r="C676" s="3" t="s">
        <v>352</v>
      </c>
      <c r="D676" s="2" t="s">
        <v>364</v>
      </c>
      <c r="E676" s="2" t="s">
        <v>363</v>
      </c>
      <c r="F676" s="36"/>
    </row>
    <row r="677" spans="1:6" s="2" customFormat="1" x14ac:dyDescent="0.25">
      <c r="A677" s="2" t="s">
        <v>758</v>
      </c>
      <c r="B677" s="3">
        <f>100-50-30</f>
        <v>20</v>
      </c>
      <c r="C677" s="3" t="s">
        <v>271</v>
      </c>
      <c r="D677" s="2" t="s">
        <v>759</v>
      </c>
      <c r="E677" s="2" t="s">
        <v>760</v>
      </c>
      <c r="F677" s="36" t="s">
        <v>761</v>
      </c>
    </row>
    <row r="678" spans="1:6" s="2" customFormat="1" x14ac:dyDescent="0.25">
      <c r="A678" s="2" t="s">
        <v>758</v>
      </c>
      <c r="B678" s="3">
        <v>30</v>
      </c>
      <c r="C678" s="3" t="s">
        <v>271</v>
      </c>
      <c r="D678" s="2" t="s">
        <v>759</v>
      </c>
      <c r="E678" s="2" t="s">
        <v>760</v>
      </c>
      <c r="F678" s="36" t="s">
        <v>761</v>
      </c>
    </row>
    <row r="679" spans="1:6" s="2" customFormat="1" x14ac:dyDescent="0.25">
      <c r="A679" s="2" t="s">
        <v>1693</v>
      </c>
      <c r="B679" s="6">
        <f>95-95</f>
        <v>0</v>
      </c>
      <c r="C679" s="3">
        <v>2207</v>
      </c>
      <c r="D679" s="2" t="s">
        <v>1694</v>
      </c>
      <c r="E679" s="2" t="s">
        <v>2546</v>
      </c>
      <c r="F679" s="36" t="s">
        <v>1695</v>
      </c>
    </row>
    <row r="680" spans="1:6" s="2" customFormat="1" ht="30" x14ac:dyDescent="0.25">
      <c r="A680" s="2" t="s">
        <v>3075</v>
      </c>
      <c r="B680" s="3">
        <f>300-6-50</f>
        <v>244</v>
      </c>
      <c r="C680" s="3">
        <v>2233</v>
      </c>
      <c r="D680" s="2" t="s">
        <v>1694</v>
      </c>
      <c r="E680" s="5" t="s">
        <v>2547</v>
      </c>
      <c r="F680" s="36" t="s">
        <v>1695</v>
      </c>
    </row>
    <row r="681" spans="1:6" s="2" customFormat="1" ht="30" x14ac:dyDescent="0.25">
      <c r="A681" s="2" t="s">
        <v>3075</v>
      </c>
      <c r="B681" s="3">
        <v>1000</v>
      </c>
      <c r="C681" s="3">
        <v>2235</v>
      </c>
      <c r="D681" s="2" t="s">
        <v>1694</v>
      </c>
      <c r="E681" s="5" t="s">
        <v>2547</v>
      </c>
      <c r="F681" s="36" t="s">
        <v>1695</v>
      </c>
    </row>
    <row r="682" spans="1:6" s="2" customFormat="1" x14ac:dyDescent="0.25">
      <c r="A682" s="2" t="s">
        <v>1086</v>
      </c>
      <c r="B682" s="3">
        <v>44</v>
      </c>
      <c r="C682" s="3"/>
      <c r="D682" s="2" t="s">
        <v>1078</v>
      </c>
      <c r="E682" s="2" t="s">
        <v>1087</v>
      </c>
      <c r="F682" s="36"/>
    </row>
    <row r="683" spans="1:6" s="2" customFormat="1" x14ac:dyDescent="0.25">
      <c r="A683" s="2" t="s">
        <v>1383</v>
      </c>
      <c r="B683" s="3">
        <v>2</v>
      </c>
      <c r="C683" s="3">
        <v>2002</v>
      </c>
      <c r="D683" s="2" t="s">
        <v>1078</v>
      </c>
      <c r="E683" s="2" t="s">
        <v>1384</v>
      </c>
      <c r="F683" s="36"/>
    </row>
    <row r="684" spans="1:6" s="2" customFormat="1" x14ac:dyDescent="0.25">
      <c r="A684" s="2" t="s">
        <v>1088</v>
      </c>
      <c r="B684" s="3">
        <v>5</v>
      </c>
      <c r="C684" s="3">
        <v>1901</v>
      </c>
      <c r="D684" s="2" t="s">
        <v>1078</v>
      </c>
      <c r="E684" s="2" t="s">
        <v>1089</v>
      </c>
      <c r="F684" s="36"/>
    </row>
    <row r="685" spans="1:6" s="2" customFormat="1" x14ac:dyDescent="0.25">
      <c r="A685" s="2" t="s">
        <v>1076</v>
      </c>
      <c r="B685" s="3">
        <v>6</v>
      </c>
      <c r="C685" s="3" t="s">
        <v>473</v>
      </c>
      <c r="D685" s="2" t="s">
        <v>1078</v>
      </c>
      <c r="E685" s="2" t="s">
        <v>1077</v>
      </c>
      <c r="F685" s="36" t="s">
        <v>1079</v>
      </c>
    </row>
    <row r="686" spans="1:6" s="2" customFormat="1" x14ac:dyDescent="0.25">
      <c r="A686" s="2" t="s">
        <v>156</v>
      </c>
      <c r="B686" s="3">
        <v>1547</v>
      </c>
      <c r="C686" s="4" t="s">
        <v>157</v>
      </c>
      <c r="D686" s="2" t="s">
        <v>2371</v>
      </c>
      <c r="E686" s="2" t="s">
        <v>158</v>
      </c>
      <c r="F686" s="36" t="s">
        <v>2372</v>
      </c>
    </row>
    <row r="687" spans="1:6" s="2" customFormat="1" ht="30" x14ac:dyDescent="0.25">
      <c r="A687" s="12" t="s">
        <v>279</v>
      </c>
      <c r="B687" s="3">
        <f>3000-1000-1000</f>
        <v>1000</v>
      </c>
      <c r="C687" s="3" t="s">
        <v>214</v>
      </c>
      <c r="D687" s="2" t="s">
        <v>278</v>
      </c>
      <c r="E687" s="2" t="s">
        <v>280</v>
      </c>
      <c r="F687" s="36"/>
    </row>
    <row r="688" spans="1:6" s="2" customFormat="1" x14ac:dyDescent="0.25">
      <c r="A688" s="12" t="s">
        <v>2189</v>
      </c>
      <c r="B688" s="3">
        <v>19</v>
      </c>
      <c r="C688" s="3">
        <v>2213</v>
      </c>
      <c r="D688" s="2" t="s">
        <v>37</v>
      </c>
      <c r="E688" s="2" t="s">
        <v>2100</v>
      </c>
      <c r="F688" s="36" t="s">
        <v>2101</v>
      </c>
    </row>
    <row r="689" spans="1:6" s="2" customFormat="1" x14ac:dyDescent="0.25">
      <c r="A689" s="12" t="s">
        <v>2189</v>
      </c>
      <c r="B689" s="3">
        <v>80</v>
      </c>
      <c r="C689" s="3" t="s">
        <v>2190</v>
      </c>
      <c r="D689" s="2" t="s">
        <v>37</v>
      </c>
      <c r="E689" s="2" t="s">
        <v>2100</v>
      </c>
      <c r="F689" s="36" t="s">
        <v>2101</v>
      </c>
    </row>
    <row r="690" spans="1:6" s="2" customFormat="1" x14ac:dyDescent="0.25">
      <c r="A690" s="12" t="s">
        <v>1876</v>
      </c>
      <c r="B690" s="3">
        <f>4960+40-1</f>
        <v>4999</v>
      </c>
      <c r="C690" s="3">
        <v>1942</v>
      </c>
      <c r="D690" s="2" t="s">
        <v>1879</v>
      </c>
      <c r="E690" s="2" t="s">
        <v>1877</v>
      </c>
      <c r="F690" s="36" t="s">
        <v>1878</v>
      </c>
    </row>
    <row r="691" spans="1:6" s="2" customFormat="1" x14ac:dyDescent="0.25">
      <c r="A691" s="12" t="s">
        <v>1876</v>
      </c>
      <c r="B691" s="3">
        <v>60</v>
      </c>
      <c r="C691" s="3">
        <v>2112</v>
      </c>
      <c r="D691" s="2" t="s">
        <v>1879</v>
      </c>
      <c r="E691" s="2" t="s">
        <v>1877</v>
      </c>
      <c r="F691" s="36" t="s">
        <v>1878</v>
      </c>
    </row>
    <row r="692" spans="1:6" s="2" customFormat="1" x14ac:dyDescent="0.25">
      <c r="A692" s="12" t="s">
        <v>1931</v>
      </c>
      <c r="B692" s="3">
        <f>205-2</f>
        <v>203</v>
      </c>
      <c r="C692" s="3">
        <v>2224</v>
      </c>
      <c r="D692" s="2" t="s">
        <v>37</v>
      </c>
      <c r="E692" s="2" t="s">
        <v>1863</v>
      </c>
      <c r="F692" s="36" t="s">
        <v>1864</v>
      </c>
    </row>
    <row r="693" spans="1:6" s="2" customFormat="1" x14ac:dyDescent="0.25">
      <c r="A693" s="12" t="s">
        <v>1931</v>
      </c>
      <c r="B693" s="3">
        <v>410</v>
      </c>
      <c r="C693" s="3">
        <v>2224</v>
      </c>
      <c r="D693" s="2" t="s">
        <v>37</v>
      </c>
      <c r="E693" s="2" t="s">
        <v>1863</v>
      </c>
      <c r="F693" s="36" t="s">
        <v>1864</v>
      </c>
    </row>
    <row r="694" spans="1:6" s="2" customFormat="1" x14ac:dyDescent="0.25">
      <c r="A694" s="12" t="s">
        <v>1931</v>
      </c>
      <c r="B694" s="3">
        <v>205</v>
      </c>
      <c r="C694" s="3" t="s">
        <v>2257</v>
      </c>
      <c r="D694" s="2" t="s">
        <v>37</v>
      </c>
      <c r="E694" s="2" t="s">
        <v>1863</v>
      </c>
      <c r="F694" s="36" t="s">
        <v>1864</v>
      </c>
    </row>
    <row r="695" spans="1:6" s="2" customFormat="1" x14ac:dyDescent="0.25">
      <c r="A695" s="12" t="s">
        <v>2765</v>
      </c>
      <c r="B695" s="3">
        <v>5</v>
      </c>
      <c r="C695" s="3">
        <v>2105</v>
      </c>
      <c r="D695" s="2" t="s">
        <v>213</v>
      </c>
      <c r="E695" s="2" t="s">
        <v>2766</v>
      </c>
      <c r="F695" s="36"/>
    </row>
    <row r="696" spans="1:6" s="2" customFormat="1" x14ac:dyDescent="0.25">
      <c r="A696" s="2" t="s">
        <v>39</v>
      </c>
      <c r="B696" s="3">
        <v>6</v>
      </c>
      <c r="C696" s="3">
        <v>1036</v>
      </c>
      <c r="D696" s="2" t="s">
        <v>37</v>
      </c>
      <c r="E696" s="2" t="s">
        <v>38</v>
      </c>
      <c r="F696" s="36" t="s">
        <v>40</v>
      </c>
    </row>
    <row r="697" spans="1:6" s="2" customFormat="1" x14ac:dyDescent="0.25">
      <c r="A697" s="2" t="s">
        <v>2228</v>
      </c>
      <c r="B697" s="3">
        <v>20</v>
      </c>
      <c r="C697" s="3">
        <v>2114</v>
      </c>
      <c r="D697" s="2" t="s">
        <v>37</v>
      </c>
      <c r="E697" s="2" t="s">
        <v>2229</v>
      </c>
      <c r="F697" s="36" t="s">
        <v>2230</v>
      </c>
    </row>
    <row r="698" spans="1:6" s="2" customFormat="1" x14ac:dyDescent="0.25">
      <c r="A698" s="2" t="s">
        <v>3209</v>
      </c>
      <c r="B698" s="3">
        <v>7</v>
      </c>
      <c r="C698" s="3">
        <v>2249</v>
      </c>
      <c r="E698" s="2" t="s">
        <v>3210</v>
      </c>
      <c r="F698" s="36" t="s">
        <v>3211</v>
      </c>
    </row>
    <row r="699" spans="1:6" s="2" customFormat="1" x14ac:dyDescent="0.25">
      <c r="A699" s="2" t="s">
        <v>1187</v>
      </c>
      <c r="B699" s="3">
        <v>8</v>
      </c>
      <c r="C699" s="3"/>
      <c r="D699" s="5" t="s">
        <v>631</v>
      </c>
      <c r="E699" s="2" t="s">
        <v>1237</v>
      </c>
      <c r="F699" s="36"/>
    </row>
    <row r="700" spans="1:6" s="2" customFormat="1" x14ac:dyDescent="0.25">
      <c r="A700" s="2" t="s">
        <v>1187</v>
      </c>
      <c r="B700" s="3">
        <v>6</v>
      </c>
      <c r="C700" s="3">
        <v>1936</v>
      </c>
      <c r="D700" s="5" t="s">
        <v>631</v>
      </c>
      <c r="E700" s="2" t="s">
        <v>1237</v>
      </c>
      <c r="F700" s="36"/>
    </row>
    <row r="701" spans="1:6" s="2" customFormat="1" x14ac:dyDescent="0.25">
      <c r="A701" s="2" t="s">
        <v>629</v>
      </c>
      <c r="B701" s="3">
        <v>1</v>
      </c>
      <c r="C701" s="3" t="s">
        <v>214</v>
      </c>
      <c r="D701" s="5" t="s">
        <v>631</v>
      </c>
      <c r="E701" s="2" t="s">
        <v>630</v>
      </c>
      <c r="F701" s="36" t="s">
        <v>632</v>
      </c>
    </row>
    <row r="702" spans="1:6" s="2" customFormat="1" ht="30" x14ac:dyDescent="0.25">
      <c r="A702" s="2" t="s">
        <v>3281</v>
      </c>
      <c r="B702" s="3">
        <f>441-20-2-20-12-2-80-50-25-93-108</f>
        <v>29</v>
      </c>
      <c r="C702" s="3" t="s">
        <v>3282</v>
      </c>
      <c r="D702" s="5" t="s">
        <v>1030</v>
      </c>
      <c r="E702" s="2" t="s">
        <v>1029</v>
      </c>
      <c r="F702" s="36" t="s">
        <v>1031</v>
      </c>
    </row>
    <row r="703" spans="1:6" s="2" customFormat="1" x14ac:dyDescent="0.25">
      <c r="A703" s="2" t="s">
        <v>3382</v>
      </c>
      <c r="B703" s="3">
        <v>42</v>
      </c>
      <c r="C703" s="3">
        <v>2217</v>
      </c>
      <c r="D703" s="5" t="s">
        <v>3383</v>
      </c>
      <c r="E703" s="2" t="s">
        <v>3384</v>
      </c>
      <c r="F703" s="36" t="s">
        <v>3385</v>
      </c>
    </row>
    <row r="704" spans="1:6" s="2" customFormat="1" x14ac:dyDescent="0.25">
      <c r="A704" s="2" t="s">
        <v>856</v>
      </c>
      <c r="B704" s="3">
        <f>14+26</f>
        <v>40</v>
      </c>
      <c r="C704" s="3" t="s">
        <v>857</v>
      </c>
      <c r="D704" s="2" t="s">
        <v>208</v>
      </c>
      <c r="E704" s="2" t="s">
        <v>858</v>
      </c>
      <c r="F704" s="36" t="s">
        <v>855</v>
      </c>
    </row>
    <row r="705" spans="1:6" s="2" customFormat="1" x14ac:dyDescent="0.25">
      <c r="A705" s="2" t="s">
        <v>675</v>
      </c>
      <c r="B705" s="3">
        <v>142</v>
      </c>
      <c r="C705" s="3" t="s">
        <v>271</v>
      </c>
      <c r="D705" s="2" t="s">
        <v>208</v>
      </c>
      <c r="E705" s="2" t="s">
        <v>676</v>
      </c>
      <c r="F705" s="36" t="s">
        <v>677</v>
      </c>
    </row>
    <row r="706" spans="1:6" s="2" customFormat="1" ht="30" x14ac:dyDescent="0.25">
      <c r="A706" s="2" t="s">
        <v>2620</v>
      </c>
      <c r="B706" s="3">
        <v>3</v>
      </c>
      <c r="C706" s="3">
        <v>2033</v>
      </c>
      <c r="D706" s="2" t="s">
        <v>1191</v>
      </c>
      <c r="E706" s="5" t="s">
        <v>2621</v>
      </c>
      <c r="F706" s="36" t="s">
        <v>2622</v>
      </c>
    </row>
    <row r="707" spans="1:6" s="2" customFormat="1" x14ac:dyDescent="0.25">
      <c r="A707" s="2" t="s">
        <v>1244</v>
      </c>
      <c r="B707" s="3">
        <v>4</v>
      </c>
      <c r="C707" s="3">
        <v>2005</v>
      </c>
      <c r="D707" s="2" t="s">
        <v>1246</v>
      </c>
      <c r="E707" s="2" t="s">
        <v>1245</v>
      </c>
      <c r="F707" s="36"/>
    </row>
    <row r="708" spans="1:6" s="2" customFormat="1" x14ac:dyDescent="0.25">
      <c r="A708" s="2" t="s">
        <v>1269</v>
      </c>
      <c r="B708" s="3">
        <v>1</v>
      </c>
      <c r="C708" s="3">
        <v>1923</v>
      </c>
      <c r="D708" s="2" t="s">
        <v>3140</v>
      </c>
      <c r="E708" s="2" t="s">
        <v>1270</v>
      </c>
      <c r="F708" s="36"/>
    </row>
    <row r="709" spans="1:6" s="2" customFormat="1" x14ac:dyDescent="0.25">
      <c r="A709" s="2" t="s">
        <v>3513</v>
      </c>
      <c r="B709" s="3">
        <v>20</v>
      </c>
      <c r="C709" s="3">
        <v>2151</v>
      </c>
      <c r="D709" s="2" t="s">
        <v>1191</v>
      </c>
      <c r="E709" s="2" t="s">
        <v>3514</v>
      </c>
      <c r="F709" s="36" t="s">
        <v>3515</v>
      </c>
    </row>
    <row r="710" spans="1:6" s="2" customFormat="1" x14ac:dyDescent="0.25">
      <c r="A710" s="2" t="s">
        <v>3466</v>
      </c>
      <c r="B710" s="3">
        <v>4</v>
      </c>
      <c r="C710" s="3">
        <v>2247</v>
      </c>
      <c r="D710" s="2" t="s">
        <v>1191</v>
      </c>
      <c r="E710" s="2" t="s">
        <v>3467</v>
      </c>
      <c r="F710" s="36" t="s">
        <v>3468</v>
      </c>
    </row>
    <row r="711" spans="1:6" s="2" customFormat="1" x14ac:dyDescent="0.25">
      <c r="A711" s="2" t="s">
        <v>500</v>
      </c>
      <c r="B711" s="3">
        <v>84</v>
      </c>
      <c r="C711" s="3" t="s">
        <v>214</v>
      </c>
      <c r="D711" s="2" t="s">
        <v>208</v>
      </c>
      <c r="E711" s="2" t="s">
        <v>501</v>
      </c>
      <c r="F711" s="36" t="s">
        <v>502</v>
      </c>
    </row>
    <row r="712" spans="1:6" s="2" customFormat="1" ht="90" x14ac:dyDescent="0.25">
      <c r="A712" s="2" t="s">
        <v>3321</v>
      </c>
      <c r="B712" s="3">
        <v>1</v>
      </c>
      <c r="C712" s="3">
        <v>2204</v>
      </c>
      <c r="D712" s="2" t="s">
        <v>208</v>
      </c>
      <c r="E712" s="2" t="s">
        <v>3322</v>
      </c>
      <c r="F712" s="1" t="s">
        <v>3323</v>
      </c>
    </row>
    <row r="713" spans="1:6" s="2" customFormat="1" ht="90" x14ac:dyDescent="0.25">
      <c r="A713" s="2" t="s">
        <v>3716</v>
      </c>
      <c r="B713" s="3">
        <f>10-3</f>
        <v>7</v>
      </c>
      <c r="C713" s="3">
        <v>2249</v>
      </c>
      <c r="D713" s="2" t="s">
        <v>208</v>
      </c>
      <c r="E713" s="2" t="s">
        <v>3717</v>
      </c>
      <c r="F713" s="1" t="s">
        <v>3718</v>
      </c>
    </row>
    <row r="714" spans="1:6" s="2" customFormat="1" ht="90" x14ac:dyDescent="0.25">
      <c r="A714" s="2" t="s">
        <v>3716</v>
      </c>
      <c r="B714" s="3">
        <v>2</v>
      </c>
      <c r="C714" s="3">
        <v>2319</v>
      </c>
      <c r="D714" s="2" t="s">
        <v>208</v>
      </c>
      <c r="E714" s="2" t="s">
        <v>3717</v>
      </c>
      <c r="F714" s="1" t="s">
        <v>3718</v>
      </c>
    </row>
    <row r="715" spans="1:6" s="2" customFormat="1" x14ac:dyDescent="0.25">
      <c r="A715" s="2" t="s">
        <v>1780</v>
      </c>
      <c r="B715" s="3">
        <v>1</v>
      </c>
      <c r="C715" s="3">
        <v>1650</v>
      </c>
      <c r="D715" s="2" t="s">
        <v>208</v>
      </c>
      <c r="E715" s="2" t="s">
        <v>1781</v>
      </c>
      <c r="F715" s="36" t="s">
        <v>1782</v>
      </c>
    </row>
    <row r="716" spans="1:6" s="2" customFormat="1" x14ac:dyDescent="0.25">
      <c r="A716" s="2" t="s">
        <v>545</v>
      </c>
      <c r="B716" s="3">
        <v>10</v>
      </c>
      <c r="C716" s="3" t="s">
        <v>214</v>
      </c>
      <c r="D716" s="2" t="s">
        <v>208</v>
      </c>
      <c r="E716" s="2" t="s">
        <v>547</v>
      </c>
      <c r="F716" s="36" t="s">
        <v>546</v>
      </c>
    </row>
    <row r="717" spans="1:6" s="2" customFormat="1" x14ac:dyDescent="0.25">
      <c r="A717" s="2" t="s">
        <v>549</v>
      </c>
      <c r="B717" s="3">
        <v>10</v>
      </c>
      <c r="C717" s="3" t="s">
        <v>214</v>
      </c>
      <c r="D717" s="2" t="s">
        <v>208</v>
      </c>
      <c r="E717" s="2" t="s">
        <v>547</v>
      </c>
      <c r="F717" s="36" t="s">
        <v>548</v>
      </c>
    </row>
    <row r="718" spans="1:6" s="2" customFormat="1" x14ac:dyDescent="0.25">
      <c r="A718" s="2" t="s">
        <v>1626</v>
      </c>
      <c r="B718" s="6">
        <f>23-23</f>
        <v>0</v>
      </c>
      <c r="C718" s="3">
        <v>2024</v>
      </c>
      <c r="D718" s="2" t="s">
        <v>208</v>
      </c>
      <c r="E718" s="2" t="s">
        <v>1634</v>
      </c>
      <c r="F718" s="36" t="s">
        <v>1635</v>
      </c>
    </row>
    <row r="719" spans="1:6" s="2" customFormat="1" ht="30" x14ac:dyDescent="0.25">
      <c r="A719" s="2" t="s">
        <v>2623</v>
      </c>
      <c r="B719" s="3">
        <v>3</v>
      </c>
      <c r="C719" s="3">
        <v>2124</v>
      </c>
      <c r="D719" s="2" t="s">
        <v>208</v>
      </c>
      <c r="E719" s="5" t="s">
        <v>2624</v>
      </c>
      <c r="F719" s="36" t="s">
        <v>2625</v>
      </c>
    </row>
    <row r="720" spans="1:6" s="2" customFormat="1" x14ac:dyDescent="0.25">
      <c r="A720" s="2" t="s">
        <v>895</v>
      </c>
      <c r="B720" s="6">
        <f>5-5</f>
        <v>0</v>
      </c>
      <c r="C720" s="3" t="s">
        <v>214</v>
      </c>
      <c r="D720" s="2" t="s">
        <v>208</v>
      </c>
      <c r="E720" s="2" t="s">
        <v>896</v>
      </c>
      <c r="F720" s="36" t="s">
        <v>897</v>
      </c>
    </row>
    <row r="721" spans="1:6" s="2" customFormat="1" x14ac:dyDescent="0.25">
      <c r="A721" s="2" t="s">
        <v>810</v>
      </c>
      <c r="B721" s="6">
        <f>5-5</f>
        <v>0</v>
      </c>
      <c r="C721" s="3" t="s">
        <v>214</v>
      </c>
      <c r="D721" s="2" t="s">
        <v>208</v>
      </c>
      <c r="E721" s="2" t="s">
        <v>811</v>
      </c>
      <c r="F721" s="36" t="s">
        <v>812</v>
      </c>
    </row>
    <row r="722" spans="1:6" s="2" customFormat="1" x14ac:dyDescent="0.25">
      <c r="A722" s="2" t="s">
        <v>2561</v>
      </c>
      <c r="B722" s="3">
        <f>14+41</f>
        <v>55</v>
      </c>
      <c r="C722" s="3">
        <v>2118</v>
      </c>
      <c r="E722" s="2" t="s">
        <v>2562</v>
      </c>
      <c r="F722" s="36" t="s">
        <v>2563</v>
      </c>
    </row>
    <row r="723" spans="1:6" s="2" customFormat="1" x14ac:dyDescent="0.25">
      <c r="A723" s="2" t="s">
        <v>192</v>
      </c>
      <c r="B723" s="3">
        <v>30</v>
      </c>
      <c r="C723" s="3">
        <v>2015</v>
      </c>
      <c r="D723" s="2" t="s">
        <v>208</v>
      </c>
      <c r="E723" s="2" t="s">
        <v>209</v>
      </c>
      <c r="F723" s="36" t="s">
        <v>233</v>
      </c>
    </row>
    <row r="724" spans="1:6" s="2" customFormat="1" x14ac:dyDescent="0.25">
      <c r="A724" s="2" t="s">
        <v>695</v>
      </c>
      <c r="B724" s="3">
        <v>1</v>
      </c>
      <c r="C724" s="3">
        <v>1815</v>
      </c>
      <c r="D724" s="2" t="s">
        <v>696</v>
      </c>
      <c r="E724" s="2" t="s">
        <v>697</v>
      </c>
      <c r="F724" s="36"/>
    </row>
    <row r="725" spans="1:6" s="2" customFormat="1" x14ac:dyDescent="0.25">
      <c r="A725" s="2" t="s">
        <v>3447</v>
      </c>
      <c r="B725" s="3">
        <f>240-7-1</f>
        <v>232</v>
      </c>
      <c r="C725" s="3">
        <v>2235</v>
      </c>
      <c r="D725" s="2" t="s">
        <v>3288</v>
      </c>
      <c r="E725" s="2" t="s">
        <v>3448</v>
      </c>
      <c r="F725" s="36" t="s">
        <v>3289</v>
      </c>
    </row>
    <row r="726" spans="1:6" s="2" customFormat="1" ht="45" x14ac:dyDescent="0.25">
      <c r="A726" s="2" t="s">
        <v>3286</v>
      </c>
      <c r="B726" s="3">
        <f>50-1</f>
        <v>49</v>
      </c>
      <c r="C726" s="3">
        <v>2322</v>
      </c>
      <c r="D726" s="2" t="s">
        <v>3288</v>
      </c>
      <c r="E726" s="5" t="s">
        <v>3287</v>
      </c>
      <c r="F726" s="36" t="s">
        <v>3289</v>
      </c>
    </row>
    <row r="727" spans="1:6" s="2" customFormat="1" x14ac:dyDescent="0.25">
      <c r="A727" s="2" t="s">
        <v>1095</v>
      </c>
      <c r="B727" s="3">
        <v>1</v>
      </c>
      <c r="C727" s="3">
        <v>1925</v>
      </c>
      <c r="D727" s="2" t="s">
        <v>208</v>
      </c>
      <c r="E727" s="2" t="s">
        <v>1094</v>
      </c>
      <c r="F727" s="36"/>
    </row>
    <row r="728" spans="1:6" s="2" customFormat="1" x14ac:dyDescent="0.25">
      <c r="A728" s="2" t="s">
        <v>2772</v>
      </c>
      <c r="B728" s="3">
        <v>2</v>
      </c>
      <c r="C728" s="3">
        <v>2228</v>
      </c>
      <c r="D728" s="2" t="s">
        <v>1360</v>
      </c>
      <c r="E728" s="2" t="s">
        <v>2774</v>
      </c>
      <c r="F728" s="36" t="s">
        <v>2773</v>
      </c>
    </row>
    <row r="729" spans="1:6" s="2" customFormat="1" x14ac:dyDescent="0.25">
      <c r="A729" s="2" t="s">
        <v>2055</v>
      </c>
      <c r="B729" s="3">
        <v>2</v>
      </c>
      <c r="C729" s="3">
        <v>2146</v>
      </c>
      <c r="D729" s="2" t="s">
        <v>2056</v>
      </c>
      <c r="E729" s="2" t="s">
        <v>2861</v>
      </c>
      <c r="F729" s="36" t="s">
        <v>2057</v>
      </c>
    </row>
    <row r="730" spans="1:6" s="2" customFormat="1" x14ac:dyDescent="0.25">
      <c r="A730" s="2" t="s">
        <v>1032</v>
      </c>
      <c r="B730" s="3">
        <f>90-2</f>
        <v>88</v>
      </c>
      <c r="C730" s="3" t="s">
        <v>214</v>
      </c>
      <c r="D730" s="2" t="s">
        <v>1033</v>
      </c>
      <c r="E730" s="2" t="s">
        <v>1034</v>
      </c>
      <c r="F730" s="36"/>
    </row>
    <row r="731" spans="1:6" s="2" customFormat="1" x14ac:dyDescent="0.25">
      <c r="A731" s="2" t="s">
        <v>2829</v>
      </c>
      <c r="B731" s="3">
        <v>5</v>
      </c>
      <c r="C731" s="3">
        <v>1705</v>
      </c>
      <c r="E731" s="2" t="s">
        <v>2862</v>
      </c>
      <c r="F731" s="36" t="s">
        <v>2830</v>
      </c>
    </row>
    <row r="732" spans="1:6" s="2" customFormat="1" x14ac:dyDescent="0.25">
      <c r="A732" s="2" t="s">
        <v>2149</v>
      </c>
      <c r="B732" s="3">
        <v>1</v>
      </c>
      <c r="C732" s="3">
        <v>2109</v>
      </c>
      <c r="D732" s="2" t="s">
        <v>962</v>
      </c>
      <c r="E732" s="2" t="s">
        <v>2150</v>
      </c>
      <c r="F732" s="36" t="s">
        <v>2151</v>
      </c>
    </row>
    <row r="733" spans="1:6" s="2" customFormat="1" x14ac:dyDescent="0.25">
      <c r="A733" s="2" t="s">
        <v>550</v>
      </c>
      <c r="B733" s="3">
        <v>10</v>
      </c>
      <c r="C733" s="3">
        <v>1722</v>
      </c>
      <c r="D733" s="2" t="s">
        <v>551</v>
      </c>
      <c r="E733" s="2" t="s">
        <v>552</v>
      </c>
      <c r="F733" s="36" t="s">
        <v>716</v>
      </c>
    </row>
    <row r="734" spans="1:6" s="2" customFormat="1" x14ac:dyDescent="0.25">
      <c r="A734" s="2" t="s">
        <v>1047</v>
      </c>
      <c r="B734" s="3">
        <v>10</v>
      </c>
      <c r="C734" s="3"/>
      <c r="D734" s="2" t="s">
        <v>759</v>
      </c>
      <c r="E734" s="2" t="s">
        <v>1048</v>
      </c>
      <c r="F734" s="36" t="s">
        <v>1049</v>
      </c>
    </row>
    <row r="735" spans="1:6" s="2" customFormat="1" ht="30" x14ac:dyDescent="0.25">
      <c r="A735" s="12" t="s">
        <v>3085</v>
      </c>
      <c r="B735" s="3">
        <v>312</v>
      </c>
      <c r="C735" s="3" t="s">
        <v>214</v>
      </c>
      <c r="F735" s="36"/>
    </row>
    <row r="736" spans="1:6" s="2" customFormat="1" x14ac:dyDescent="0.25">
      <c r="A736" s="2" t="s">
        <v>1158</v>
      </c>
      <c r="B736" s="3">
        <v>5</v>
      </c>
      <c r="C736" s="3">
        <v>1933</v>
      </c>
      <c r="D736" s="2" t="s">
        <v>509</v>
      </c>
      <c r="E736" s="2" t="s">
        <v>1159</v>
      </c>
      <c r="F736" s="36" t="s">
        <v>1160</v>
      </c>
    </row>
    <row r="737" spans="1:6" s="2" customFormat="1" x14ac:dyDescent="0.25">
      <c r="A737" s="2" t="s">
        <v>1845</v>
      </c>
      <c r="B737" s="3">
        <v>10</v>
      </c>
      <c r="C737" s="3">
        <v>2129</v>
      </c>
      <c r="D737" s="2" t="s">
        <v>1674</v>
      </c>
      <c r="E737" s="2" t="s">
        <v>1846</v>
      </c>
      <c r="F737" s="36" t="s">
        <v>1847</v>
      </c>
    </row>
    <row r="738" spans="1:6" s="2" customFormat="1" x14ac:dyDescent="0.25">
      <c r="A738" s="2" t="s">
        <v>2320</v>
      </c>
      <c r="B738" s="3">
        <v>4</v>
      </c>
      <c r="C738" s="3">
        <v>2216</v>
      </c>
      <c r="D738" s="2" t="s">
        <v>2322</v>
      </c>
      <c r="E738" s="2" t="s">
        <v>2321</v>
      </c>
      <c r="F738" s="36" t="s">
        <v>2323</v>
      </c>
    </row>
    <row r="739" spans="1:6" s="2" customFormat="1" ht="75" x14ac:dyDescent="0.25">
      <c r="A739" s="2" t="s">
        <v>1814</v>
      </c>
      <c r="B739" s="6">
        <f>20-19-1</f>
        <v>0</v>
      </c>
      <c r="C739" s="3">
        <v>2137</v>
      </c>
      <c r="E739" s="5" t="s">
        <v>1801</v>
      </c>
      <c r="F739" s="36"/>
    </row>
    <row r="740" spans="1:6" s="2" customFormat="1" x14ac:dyDescent="0.25">
      <c r="A740" s="2" t="s">
        <v>903</v>
      </c>
      <c r="B740" s="6">
        <f>300-300</f>
        <v>0</v>
      </c>
      <c r="C740" s="3">
        <v>1816</v>
      </c>
      <c r="D740" s="2" t="s">
        <v>509</v>
      </c>
      <c r="E740" s="2" t="s">
        <v>902</v>
      </c>
      <c r="F740" s="36" t="s">
        <v>904</v>
      </c>
    </row>
    <row r="741" spans="1:6" s="2" customFormat="1" x14ac:dyDescent="0.25">
      <c r="A741" s="2" t="s">
        <v>3164</v>
      </c>
      <c r="B741" s="3">
        <v>21</v>
      </c>
      <c r="C741" s="3">
        <v>2149</v>
      </c>
      <c r="D741" s="2" t="s">
        <v>509</v>
      </c>
      <c r="E741" s="2" t="s">
        <v>3165</v>
      </c>
      <c r="F741" s="36" t="s">
        <v>3166</v>
      </c>
    </row>
    <row r="742" spans="1:6" s="2" customFormat="1" x14ac:dyDescent="0.25">
      <c r="A742" s="2" t="s">
        <v>1721</v>
      </c>
      <c r="B742" s="3">
        <f>220-27+2-5</f>
        <v>190</v>
      </c>
      <c r="C742" s="3">
        <v>2214</v>
      </c>
      <c r="D742" s="2" t="s">
        <v>509</v>
      </c>
      <c r="E742" s="2" t="s">
        <v>1722</v>
      </c>
      <c r="F742" s="36" t="s">
        <v>1723</v>
      </c>
    </row>
    <row r="743" spans="1:6" s="2" customFormat="1" x14ac:dyDescent="0.25">
      <c r="A743" s="2" t="s">
        <v>1518</v>
      </c>
      <c r="B743" s="3">
        <v>2</v>
      </c>
      <c r="C743" s="3">
        <v>2109</v>
      </c>
      <c r="D743" s="2" t="s">
        <v>1511</v>
      </c>
      <c r="E743" s="2" t="s">
        <v>1520</v>
      </c>
      <c r="F743" s="36" t="s">
        <v>1519</v>
      </c>
    </row>
    <row r="744" spans="1:6" s="2" customFormat="1" x14ac:dyDescent="0.25">
      <c r="A744" s="2" t="s">
        <v>1510</v>
      </c>
      <c r="B744" s="6">
        <f>1-1</f>
        <v>0</v>
      </c>
      <c r="C744" s="3">
        <v>2122</v>
      </c>
      <c r="D744" s="2" t="s">
        <v>1511</v>
      </c>
      <c r="E744" s="2" t="s">
        <v>1512</v>
      </c>
      <c r="F744" s="36" t="s">
        <v>1513</v>
      </c>
    </row>
    <row r="745" spans="1:6" s="2" customFormat="1" x14ac:dyDescent="0.25">
      <c r="A745" s="2" t="s">
        <v>1510</v>
      </c>
      <c r="B745" s="6">
        <f>2-2</f>
        <v>0</v>
      </c>
      <c r="C745" s="3"/>
      <c r="D745" s="2" t="s">
        <v>1511</v>
      </c>
      <c r="E745" s="2" t="s">
        <v>1512</v>
      </c>
      <c r="F745" s="36" t="s">
        <v>1513</v>
      </c>
    </row>
    <row r="746" spans="1:6" s="2" customFormat="1" x14ac:dyDescent="0.25">
      <c r="A746" s="2" t="s">
        <v>2632</v>
      </c>
      <c r="B746" s="3">
        <v>3</v>
      </c>
      <c r="C746" s="3" t="s">
        <v>2633</v>
      </c>
      <c r="D746" s="2" t="s">
        <v>1511</v>
      </c>
      <c r="E746" s="2" t="s">
        <v>2634</v>
      </c>
      <c r="F746" s="36" t="s">
        <v>2635</v>
      </c>
    </row>
    <row r="747" spans="1:6" s="2" customFormat="1" x14ac:dyDescent="0.25">
      <c r="A747" s="2" t="s">
        <v>1150</v>
      </c>
      <c r="B747" s="3">
        <v>3</v>
      </c>
      <c r="C747" s="3">
        <v>2041</v>
      </c>
      <c r="D747" s="2" t="s">
        <v>1152</v>
      </c>
      <c r="E747" s="2" t="s">
        <v>1151</v>
      </c>
      <c r="F747" s="36"/>
    </row>
    <row r="748" spans="1:6" s="2" customFormat="1" x14ac:dyDescent="0.25">
      <c r="A748" s="2" t="s">
        <v>3115</v>
      </c>
      <c r="B748" s="3">
        <v>40</v>
      </c>
      <c r="C748" s="3">
        <v>2103</v>
      </c>
      <c r="D748" s="2" t="s">
        <v>3116</v>
      </c>
      <c r="E748" s="2" t="s">
        <v>3117</v>
      </c>
      <c r="F748" s="36" t="s">
        <v>3118</v>
      </c>
    </row>
    <row r="749" spans="1:6" s="2" customFormat="1" x14ac:dyDescent="0.25">
      <c r="A749" s="2" t="s">
        <v>1661</v>
      </c>
      <c r="B749" s="3">
        <v>3</v>
      </c>
      <c r="C749" s="3">
        <v>2007</v>
      </c>
      <c r="D749" s="2" t="s">
        <v>509</v>
      </c>
      <c r="E749" s="2" t="s">
        <v>1662</v>
      </c>
      <c r="F749" s="36" t="s">
        <v>1663</v>
      </c>
    </row>
    <row r="750" spans="1:6" s="2" customFormat="1" ht="45" x14ac:dyDescent="0.25">
      <c r="A750" s="2" t="s">
        <v>3029</v>
      </c>
      <c r="B750" s="3">
        <v>4</v>
      </c>
      <c r="C750" s="3">
        <v>2205</v>
      </c>
      <c r="D750" s="5" t="s">
        <v>3030</v>
      </c>
      <c r="E750" s="2" t="s">
        <v>3032</v>
      </c>
      <c r="F750" s="36" t="s">
        <v>3031</v>
      </c>
    </row>
    <row r="751" spans="1:6" s="2" customFormat="1" ht="45" x14ac:dyDescent="0.25">
      <c r="A751" s="2" t="s">
        <v>3252</v>
      </c>
      <c r="B751" s="3">
        <v>1</v>
      </c>
      <c r="C751" s="3">
        <v>2302</v>
      </c>
      <c r="D751" s="5" t="s">
        <v>3030</v>
      </c>
      <c r="E751" s="2" t="s">
        <v>3251</v>
      </c>
      <c r="F751" s="36"/>
    </row>
    <row r="752" spans="1:6" s="2" customFormat="1" ht="45" x14ac:dyDescent="0.25">
      <c r="A752" s="2" t="s">
        <v>3253</v>
      </c>
      <c r="B752" s="3">
        <v>1</v>
      </c>
      <c r="C752" s="3">
        <v>2302</v>
      </c>
      <c r="D752" s="5" t="s">
        <v>3030</v>
      </c>
      <c r="E752" s="2" t="s">
        <v>3251</v>
      </c>
      <c r="F752" s="36"/>
    </row>
    <row r="753" spans="1:6" s="2" customFormat="1" ht="45" x14ac:dyDescent="0.25">
      <c r="A753" s="2" t="s">
        <v>3250</v>
      </c>
      <c r="B753" s="3">
        <v>1</v>
      </c>
      <c r="C753" s="3">
        <v>2302</v>
      </c>
      <c r="D753" s="5" t="s">
        <v>3030</v>
      </c>
      <c r="E753" s="2" t="s">
        <v>3251</v>
      </c>
      <c r="F753" s="36"/>
    </row>
    <row r="754" spans="1:6" s="2" customFormat="1" ht="45" x14ac:dyDescent="0.25">
      <c r="A754" s="2" t="s">
        <v>3246</v>
      </c>
      <c r="B754" s="3">
        <v>1</v>
      </c>
      <c r="C754" s="3">
        <v>2302</v>
      </c>
      <c r="D754" s="5" t="s">
        <v>3030</v>
      </c>
      <c r="E754" s="2" t="s">
        <v>3248</v>
      </c>
      <c r="F754" s="36"/>
    </row>
    <row r="755" spans="1:6" s="2" customFormat="1" ht="45" x14ac:dyDescent="0.25">
      <c r="A755" s="2" t="s">
        <v>3247</v>
      </c>
      <c r="B755" s="3">
        <v>1</v>
      </c>
      <c r="C755" s="3">
        <v>2302</v>
      </c>
      <c r="D755" s="5" t="s">
        <v>3030</v>
      </c>
      <c r="E755" s="2" t="s">
        <v>3248</v>
      </c>
      <c r="F755" s="36"/>
    </row>
    <row r="756" spans="1:6" s="2" customFormat="1" ht="45" x14ac:dyDescent="0.25">
      <c r="A756" s="2" t="s">
        <v>3249</v>
      </c>
      <c r="B756" s="3">
        <v>1</v>
      </c>
      <c r="C756" s="3">
        <v>2302</v>
      </c>
      <c r="D756" s="5" t="s">
        <v>3030</v>
      </c>
      <c r="E756" s="2" t="s">
        <v>3248</v>
      </c>
      <c r="F756" s="36"/>
    </row>
    <row r="757" spans="1:6" s="2" customFormat="1" x14ac:dyDescent="0.25">
      <c r="A757" s="2" t="s">
        <v>2706</v>
      </c>
      <c r="B757" s="3">
        <f>37-20</f>
        <v>17</v>
      </c>
      <c r="C757" s="3">
        <v>2209</v>
      </c>
      <c r="D757" s="2" t="s">
        <v>2584</v>
      </c>
      <c r="E757" s="2" t="s">
        <v>2585</v>
      </c>
      <c r="F757" s="36" t="s">
        <v>2586</v>
      </c>
    </row>
    <row r="758" spans="1:6" s="2" customFormat="1" x14ac:dyDescent="0.25">
      <c r="A758" s="2" t="s">
        <v>3339</v>
      </c>
      <c r="B758" s="3">
        <f>106-12</f>
        <v>94</v>
      </c>
      <c r="C758" s="3">
        <v>2234</v>
      </c>
      <c r="D758" s="2" t="s">
        <v>2573</v>
      </c>
      <c r="E758" s="5" t="s">
        <v>3340</v>
      </c>
      <c r="F758" s="36" t="s">
        <v>3341</v>
      </c>
    </row>
    <row r="759" spans="1:6" s="2" customFormat="1" x14ac:dyDescent="0.25">
      <c r="A759" s="2" t="s">
        <v>1523</v>
      </c>
      <c r="B759" s="6">
        <f>3-3</f>
        <v>0</v>
      </c>
      <c r="C759" s="3">
        <v>2130</v>
      </c>
      <c r="D759" s="2" t="s">
        <v>1511</v>
      </c>
      <c r="E759" s="2" t="s">
        <v>1524</v>
      </c>
      <c r="F759" s="36" t="s">
        <v>1525</v>
      </c>
    </row>
    <row r="760" spans="1:6" s="2" customFormat="1" x14ac:dyDescent="0.25">
      <c r="A760" s="2" t="s">
        <v>3478</v>
      </c>
      <c r="B760" s="3">
        <v>16</v>
      </c>
      <c r="C760" s="3" t="s">
        <v>3480</v>
      </c>
      <c r="E760" s="2" t="s">
        <v>3479</v>
      </c>
      <c r="F760" s="36"/>
    </row>
    <row r="761" spans="1:6" s="2" customFormat="1" x14ac:dyDescent="0.25">
      <c r="A761" s="2" t="s">
        <v>506</v>
      </c>
      <c r="B761" s="3">
        <f>25000-100-100-1</f>
        <v>24799</v>
      </c>
      <c r="C761" s="3"/>
      <c r="D761" s="2" t="s">
        <v>5</v>
      </c>
      <c r="E761" s="2" t="s">
        <v>1843</v>
      </c>
      <c r="F761" s="36" t="s">
        <v>507</v>
      </c>
    </row>
    <row r="762" spans="1:6" s="2" customFormat="1" x14ac:dyDescent="0.25">
      <c r="A762" s="2" t="s">
        <v>1840</v>
      </c>
      <c r="B762" s="3">
        <v>350</v>
      </c>
      <c r="C762" s="3">
        <v>2218</v>
      </c>
      <c r="D762" s="2" t="s">
        <v>5</v>
      </c>
      <c r="E762" s="2" t="s">
        <v>1841</v>
      </c>
      <c r="F762" s="36" t="s">
        <v>507</v>
      </c>
    </row>
    <row r="763" spans="1:6" s="2" customFormat="1" x14ac:dyDescent="0.25">
      <c r="A763" s="2" t="s">
        <v>1386</v>
      </c>
      <c r="B763" s="6">
        <f>13-13</f>
        <v>0</v>
      </c>
      <c r="C763" s="3">
        <v>2028</v>
      </c>
      <c r="D763" s="2" t="s">
        <v>5</v>
      </c>
      <c r="E763" s="2" t="s">
        <v>1842</v>
      </c>
      <c r="F763" s="36" t="s">
        <v>507</v>
      </c>
    </row>
    <row r="764" spans="1:6" s="2" customFormat="1" x14ac:dyDescent="0.25">
      <c r="A764" s="2" t="s">
        <v>1362</v>
      </c>
      <c r="B764" s="3">
        <v>44</v>
      </c>
      <c r="C764" s="3">
        <v>2031</v>
      </c>
      <c r="D764" s="2" t="s">
        <v>5</v>
      </c>
      <c r="E764" s="2" t="s">
        <v>1844</v>
      </c>
      <c r="F764" s="36" t="s">
        <v>507</v>
      </c>
    </row>
    <row r="765" spans="1:6" s="2" customFormat="1" x14ac:dyDescent="0.25">
      <c r="A765" s="2" t="s">
        <v>1622</v>
      </c>
      <c r="B765" s="3">
        <v>19</v>
      </c>
      <c r="C765" s="3">
        <v>2127</v>
      </c>
      <c r="D765" s="2" t="s">
        <v>5</v>
      </c>
      <c r="E765" s="2" t="s">
        <v>2863</v>
      </c>
      <c r="F765" s="36" t="s">
        <v>1627</v>
      </c>
    </row>
    <row r="766" spans="1:6" s="2" customFormat="1" x14ac:dyDescent="0.25">
      <c r="A766" s="2" t="s">
        <v>1622</v>
      </c>
      <c r="B766" s="3">
        <v>80</v>
      </c>
      <c r="C766" s="3">
        <v>2218</v>
      </c>
      <c r="D766" s="2" t="s">
        <v>5</v>
      </c>
      <c r="E766" s="2" t="s">
        <v>2863</v>
      </c>
      <c r="F766" s="36" t="s">
        <v>1627</v>
      </c>
    </row>
    <row r="767" spans="1:6" s="2" customFormat="1" x14ac:dyDescent="0.25">
      <c r="A767" s="2" t="s">
        <v>1757</v>
      </c>
      <c r="B767" s="14">
        <f>20000-3000-2960-1480-149-20-817-16-50-50-1510-480-32-214-90-50-583-11</f>
        <v>8488</v>
      </c>
      <c r="C767" s="3" t="s">
        <v>1920</v>
      </c>
      <c r="D767" s="2" t="s">
        <v>0</v>
      </c>
      <c r="E767" s="2" t="s">
        <v>1758</v>
      </c>
      <c r="F767" s="36" t="s">
        <v>1748</v>
      </c>
    </row>
    <row r="768" spans="1:6" s="2" customFormat="1" x14ac:dyDescent="0.25">
      <c r="A768" s="2" t="s">
        <v>1753</v>
      </c>
      <c r="B768" s="3">
        <f>35500-78-10600-649-130-50-33-1151-2554-270-1800-4431-50-1260-245-1421-3420-30-50-50-547-410-403-1002-688-174-76-956-50-160-266-402-72-205-50-50-671</f>
        <v>1046</v>
      </c>
      <c r="C768" s="3">
        <v>2116</v>
      </c>
      <c r="D768" s="2" t="s">
        <v>0</v>
      </c>
      <c r="E768" s="2" t="s">
        <v>1754</v>
      </c>
      <c r="F768" s="36" t="s">
        <v>1748</v>
      </c>
    </row>
    <row r="769" spans="1:6" s="2" customFormat="1" x14ac:dyDescent="0.25">
      <c r="A769" s="2" t="s">
        <v>3212</v>
      </c>
      <c r="B769" s="3">
        <f>3518-50-299-157-439-50-280-136-50-50</f>
        <v>2007</v>
      </c>
      <c r="C769" s="3">
        <v>2320</v>
      </c>
      <c r="D769" s="2" t="s">
        <v>0</v>
      </c>
      <c r="E769" s="2" t="s">
        <v>3213</v>
      </c>
      <c r="F769" s="36" t="s">
        <v>1748</v>
      </c>
    </row>
    <row r="770" spans="1:6" s="2" customFormat="1" x14ac:dyDescent="0.25">
      <c r="A770" s="2" t="s">
        <v>3212</v>
      </c>
      <c r="B770" s="3">
        <v>8</v>
      </c>
      <c r="C770" s="3">
        <v>2239</v>
      </c>
      <c r="D770" s="2" t="s">
        <v>0</v>
      </c>
      <c r="E770" s="2" t="s">
        <v>3213</v>
      </c>
      <c r="F770" s="36" t="s">
        <v>1748</v>
      </c>
    </row>
    <row r="771" spans="1:6" s="2" customFormat="1" x14ac:dyDescent="0.25">
      <c r="A771" s="2" t="s">
        <v>1921</v>
      </c>
      <c r="B771" s="6">
        <f>2400-80-180-2100-40</f>
        <v>0</v>
      </c>
      <c r="C771" s="3">
        <v>2217</v>
      </c>
      <c r="D771" s="2" t="s">
        <v>0</v>
      </c>
      <c r="E771" s="2" t="s">
        <v>1255</v>
      </c>
      <c r="F771" s="36" t="s">
        <v>1748</v>
      </c>
    </row>
    <row r="772" spans="1:6" s="2" customFormat="1" x14ac:dyDescent="0.25">
      <c r="A772" s="2" t="s">
        <v>840</v>
      </c>
      <c r="B772" s="6">
        <f>100-40-60</f>
        <v>0</v>
      </c>
      <c r="C772" s="3" t="s">
        <v>214</v>
      </c>
      <c r="D772" s="2" t="s">
        <v>5</v>
      </c>
      <c r="E772" s="2" t="s">
        <v>1255</v>
      </c>
      <c r="F772" s="36" t="s">
        <v>7</v>
      </c>
    </row>
    <row r="773" spans="1:6" s="2" customFormat="1" x14ac:dyDescent="0.25">
      <c r="A773" s="2" t="s">
        <v>1892</v>
      </c>
      <c r="B773" s="6">
        <f>3086-50-200-172-55-108-50-100-36-166-257-50-611-1200-6-25</f>
        <v>0</v>
      </c>
      <c r="C773" s="3">
        <v>2233</v>
      </c>
      <c r="D773" s="2" t="s">
        <v>0</v>
      </c>
      <c r="E773" s="2" t="s">
        <v>2864</v>
      </c>
      <c r="F773" s="36" t="s">
        <v>442</v>
      </c>
    </row>
    <row r="774" spans="1:6" s="2" customFormat="1" x14ac:dyDescent="0.25">
      <c r="A774" s="2" t="s">
        <v>1892</v>
      </c>
      <c r="B774" s="6">
        <f>40-40</f>
        <v>0</v>
      </c>
      <c r="C774" s="3">
        <v>2206</v>
      </c>
      <c r="D774" s="2" t="s">
        <v>0</v>
      </c>
      <c r="E774" s="2" t="s">
        <v>2865</v>
      </c>
      <c r="F774" s="36" t="s">
        <v>442</v>
      </c>
    </row>
    <row r="775" spans="1:6" s="2" customFormat="1" x14ac:dyDescent="0.25">
      <c r="A775" s="2" t="s">
        <v>1761</v>
      </c>
      <c r="B775" s="6">
        <f>1582-1024-25-426-107</f>
        <v>0</v>
      </c>
      <c r="C775" s="3">
        <v>2210</v>
      </c>
      <c r="D775" s="2" t="s">
        <v>0</v>
      </c>
      <c r="E775" s="2" t="s">
        <v>2866</v>
      </c>
      <c r="F775" s="36" t="s">
        <v>1748</v>
      </c>
    </row>
    <row r="776" spans="1:6" s="2" customFormat="1" x14ac:dyDescent="0.25">
      <c r="A776" s="2" t="s">
        <v>2298</v>
      </c>
      <c r="B776" s="14">
        <f>366-108-30-20-20-3-50-84-50</f>
        <v>1</v>
      </c>
      <c r="C776" s="3">
        <v>2209</v>
      </c>
      <c r="D776" s="2" t="s">
        <v>0</v>
      </c>
      <c r="E776" s="2" t="s">
        <v>2867</v>
      </c>
      <c r="F776" s="36" t="s">
        <v>1748</v>
      </c>
    </row>
    <row r="777" spans="1:6" s="2" customFormat="1" x14ac:dyDescent="0.25">
      <c r="A777" s="2" t="s">
        <v>2298</v>
      </c>
      <c r="B777" s="14">
        <f>642-320-321</f>
        <v>1</v>
      </c>
      <c r="C777" s="3">
        <v>2320</v>
      </c>
      <c r="D777" s="2" t="s">
        <v>0</v>
      </c>
      <c r="E777" s="2" t="s">
        <v>2867</v>
      </c>
      <c r="F777" s="36" t="s">
        <v>1748</v>
      </c>
    </row>
    <row r="778" spans="1:6" s="2" customFormat="1" x14ac:dyDescent="0.25">
      <c r="A778" s="2" t="s">
        <v>1922</v>
      </c>
      <c r="B778" s="15">
        <f>40000-600-585-12200-1655-8300-355-8240-500-429-50-161-377-980-200-456-180-461-120-100-322-1094-1600-275-70-110-50-484-46</f>
        <v>0</v>
      </c>
      <c r="C778" s="3">
        <v>2223</v>
      </c>
      <c r="D778" s="2" t="s">
        <v>0</v>
      </c>
      <c r="E778" s="2" t="s">
        <v>2868</v>
      </c>
      <c r="F778" s="36" t="s">
        <v>1470</v>
      </c>
    </row>
    <row r="779" spans="1:6" s="2" customFormat="1" x14ac:dyDescent="0.25">
      <c r="A779" s="2" t="s">
        <v>198</v>
      </c>
      <c r="B779" s="14">
        <f>20000-150-150-300-25-2-10-100-4-60-187-38-25-260-116-2071-50-99-11-5361-422</f>
        <v>10559</v>
      </c>
      <c r="C779" s="3">
        <v>1520</v>
      </c>
      <c r="D779" s="2" t="s">
        <v>5</v>
      </c>
      <c r="E779" s="2" t="s">
        <v>2869</v>
      </c>
      <c r="F779" s="36" t="s">
        <v>7</v>
      </c>
    </row>
    <row r="780" spans="1:6" s="2" customFormat="1" x14ac:dyDescent="0.25">
      <c r="A780" s="2" t="s">
        <v>3646</v>
      </c>
      <c r="B780" s="15">
        <f>293-293</f>
        <v>0</v>
      </c>
      <c r="C780" s="3">
        <v>2236</v>
      </c>
      <c r="D780" s="2" t="s">
        <v>0</v>
      </c>
      <c r="E780" s="2" t="s">
        <v>3647</v>
      </c>
      <c r="F780" s="36" t="s">
        <v>3648</v>
      </c>
    </row>
    <row r="781" spans="1:6" s="2" customFormat="1" x14ac:dyDescent="0.25">
      <c r="A781" s="2" t="s">
        <v>1923</v>
      </c>
      <c r="B781" s="14">
        <f>20000-647-30-13-1985-8-146-764-45-20-360-130-130-264-30-460-6-50-5347-114-436-50-4000-54-1094-42-60</f>
        <v>3715</v>
      </c>
      <c r="C781" s="3">
        <v>2138</v>
      </c>
      <c r="D781" s="2" t="s">
        <v>0</v>
      </c>
      <c r="E781" s="2" t="s">
        <v>2870</v>
      </c>
      <c r="F781" s="36" t="s">
        <v>1470</v>
      </c>
    </row>
    <row r="782" spans="1:6" s="2" customFormat="1" x14ac:dyDescent="0.25">
      <c r="A782" s="2" t="s">
        <v>642</v>
      </c>
      <c r="B782" s="15">
        <f>5207-150-280-30-100-500-150-300-450-200-1500-34-240-324-54-895</f>
        <v>0</v>
      </c>
      <c r="C782" s="3" t="s">
        <v>214</v>
      </c>
      <c r="D782" s="2" t="s">
        <v>5</v>
      </c>
      <c r="E782" s="2" t="s">
        <v>2870</v>
      </c>
      <c r="F782" s="36" t="s">
        <v>7</v>
      </c>
    </row>
    <row r="783" spans="1:6" s="2" customFormat="1" x14ac:dyDescent="0.25">
      <c r="A783" s="2" t="s">
        <v>1764</v>
      </c>
      <c r="B783" s="15">
        <f>1232-419-138-68-251-251-16-89</f>
        <v>0</v>
      </c>
      <c r="C783" s="3">
        <v>2139</v>
      </c>
      <c r="D783" s="2" t="s">
        <v>668</v>
      </c>
      <c r="E783" s="2" t="s">
        <v>2871</v>
      </c>
      <c r="F783" s="36" t="s">
        <v>1763</v>
      </c>
    </row>
    <row r="784" spans="1:6" s="2" customFormat="1" x14ac:dyDescent="0.25">
      <c r="A784" s="2" t="s">
        <v>1768</v>
      </c>
      <c r="B784" s="15">
        <f>837-88-168-581</f>
        <v>0</v>
      </c>
      <c r="C784" s="3">
        <v>2232</v>
      </c>
      <c r="D784" s="2" t="s">
        <v>668</v>
      </c>
      <c r="E784" s="2" t="s">
        <v>2872</v>
      </c>
      <c r="F784" s="36" t="s">
        <v>1769</v>
      </c>
    </row>
    <row r="785" spans="1:6" s="2" customFormat="1" x14ac:dyDescent="0.25">
      <c r="A785" s="2" t="s">
        <v>2841</v>
      </c>
      <c r="B785" s="14">
        <f>2363-4-308-620-6-100-145-10-18-10-220</f>
        <v>922</v>
      </c>
      <c r="C785" s="3">
        <v>2129</v>
      </c>
      <c r="D785" s="2" t="s">
        <v>0</v>
      </c>
      <c r="E785" s="2" t="s">
        <v>2872</v>
      </c>
      <c r="F785" s="36" t="s">
        <v>2842</v>
      </c>
    </row>
    <row r="786" spans="1:6" s="2" customFormat="1" x14ac:dyDescent="0.25">
      <c r="A786" s="2" t="s">
        <v>1749</v>
      </c>
      <c r="B786" s="6">
        <f>89-89</f>
        <v>0</v>
      </c>
      <c r="C786" s="3">
        <v>2138</v>
      </c>
      <c r="D786" s="2" t="s">
        <v>5</v>
      </c>
      <c r="E786" s="2" t="s">
        <v>1750</v>
      </c>
      <c r="F786" s="36" t="s">
        <v>1751</v>
      </c>
    </row>
    <row r="787" spans="1:6" s="2" customFormat="1" x14ac:dyDescent="0.25">
      <c r="A787" s="2" t="s">
        <v>444</v>
      </c>
      <c r="B787" s="14">
        <f>500-25-25-80-58-83-6</f>
        <v>223</v>
      </c>
      <c r="C787" s="3">
        <v>2017</v>
      </c>
      <c r="D787" s="2" t="s">
        <v>0</v>
      </c>
      <c r="E787" s="2" t="s">
        <v>445</v>
      </c>
      <c r="F787" s="36" t="s">
        <v>442</v>
      </c>
    </row>
    <row r="788" spans="1:6" s="2" customFormat="1" x14ac:dyDescent="0.25">
      <c r="A788" s="2" t="s">
        <v>1850</v>
      </c>
      <c r="B788" s="14">
        <f>81-12-5</f>
        <v>64</v>
      </c>
      <c r="C788" s="3">
        <v>2218</v>
      </c>
      <c r="D788" s="2" t="s">
        <v>5</v>
      </c>
      <c r="E788" s="2" t="s">
        <v>2873</v>
      </c>
      <c r="F788" s="36" t="s">
        <v>442</v>
      </c>
    </row>
    <row r="789" spans="1:6" s="2" customFormat="1" x14ac:dyDescent="0.25">
      <c r="A789" s="2" t="s">
        <v>1850</v>
      </c>
      <c r="B789" s="14">
        <v>1000</v>
      </c>
      <c r="C789" s="3">
        <v>2216</v>
      </c>
      <c r="D789" s="2" t="s">
        <v>5</v>
      </c>
      <c r="E789" s="2" t="s">
        <v>2873</v>
      </c>
      <c r="F789" s="36" t="s">
        <v>442</v>
      </c>
    </row>
    <row r="790" spans="1:6" s="2" customFormat="1" x14ac:dyDescent="0.25">
      <c r="A790" s="2" t="s">
        <v>1619</v>
      </c>
      <c r="B790" s="14">
        <v>732</v>
      </c>
      <c r="C790" s="3">
        <v>1721</v>
      </c>
      <c r="D790" s="2" t="s">
        <v>5</v>
      </c>
      <c r="E790" s="2" t="s">
        <v>2118</v>
      </c>
      <c r="F790" s="36" t="s">
        <v>7</v>
      </c>
    </row>
    <row r="791" spans="1:6" s="2" customFormat="1" x14ac:dyDescent="0.25">
      <c r="A791" s="2" t="s">
        <v>1619</v>
      </c>
      <c r="B791" s="14">
        <v>501</v>
      </c>
      <c r="C791" s="3">
        <v>1721</v>
      </c>
      <c r="D791" s="2" t="s">
        <v>5</v>
      </c>
      <c r="E791" s="2" t="s">
        <v>2118</v>
      </c>
      <c r="F791" s="36" t="s">
        <v>7</v>
      </c>
    </row>
    <row r="792" spans="1:6" s="2" customFormat="1" x14ac:dyDescent="0.25">
      <c r="A792" s="2" t="s">
        <v>3586</v>
      </c>
      <c r="B792" s="14">
        <v>303</v>
      </c>
      <c r="C792" s="3">
        <v>2308</v>
      </c>
      <c r="D792" s="2" t="s">
        <v>0</v>
      </c>
      <c r="E792" s="2" t="s">
        <v>3587</v>
      </c>
      <c r="F792" s="36" t="s">
        <v>442</v>
      </c>
    </row>
    <row r="793" spans="1:6" s="2" customFormat="1" x14ac:dyDescent="0.25">
      <c r="A793" s="2" t="s">
        <v>1952</v>
      </c>
      <c r="B793" s="14">
        <v>30</v>
      </c>
      <c r="C793" s="3">
        <v>2026</v>
      </c>
      <c r="D793" s="2" t="s">
        <v>0</v>
      </c>
      <c r="E793" s="2" t="s">
        <v>1951</v>
      </c>
      <c r="F793" s="36" t="s">
        <v>442</v>
      </c>
    </row>
    <row r="794" spans="1:6" s="2" customFormat="1" x14ac:dyDescent="0.25">
      <c r="A794" s="2" t="s">
        <v>2035</v>
      </c>
      <c r="B794" s="14">
        <v>10</v>
      </c>
      <c r="C794" s="3">
        <v>2026</v>
      </c>
      <c r="D794" s="2" t="s">
        <v>0</v>
      </c>
      <c r="E794" s="2" t="s">
        <v>1951</v>
      </c>
      <c r="F794" s="36" t="s">
        <v>442</v>
      </c>
    </row>
    <row r="795" spans="1:6" s="2" customFormat="1" x14ac:dyDescent="0.25">
      <c r="A795" s="2" t="s">
        <v>1972</v>
      </c>
      <c r="B795" s="14">
        <v>33</v>
      </c>
      <c r="C795" s="3">
        <v>1836</v>
      </c>
      <c r="D795" s="2" t="s">
        <v>1414</v>
      </c>
      <c r="E795" s="2" t="s">
        <v>1951</v>
      </c>
      <c r="F795" s="36" t="s">
        <v>1973</v>
      </c>
    </row>
    <row r="796" spans="1:6" s="2" customFormat="1" x14ac:dyDescent="0.25">
      <c r="A796" s="2" t="s">
        <v>1194</v>
      </c>
      <c r="B796" s="15">
        <f>18-18</f>
        <v>0</v>
      </c>
      <c r="C796" s="3">
        <v>2016</v>
      </c>
      <c r="D796" s="2" t="s">
        <v>5</v>
      </c>
      <c r="E796" s="2" t="s">
        <v>1195</v>
      </c>
      <c r="F796" s="36" t="s">
        <v>7</v>
      </c>
    </row>
    <row r="797" spans="1:6" s="2" customFormat="1" x14ac:dyDescent="0.25">
      <c r="A797" s="2" t="s">
        <v>3040</v>
      </c>
      <c r="B797" s="14">
        <f>950-124-88</f>
        <v>738</v>
      </c>
      <c r="C797" s="3">
        <v>2315</v>
      </c>
      <c r="D797" s="2" t="s">
        <v>5</v>
      </c>
      <c r="E797" s="2" t="s">
        <v>2874</v>
      </c>
      <c r="F797" s="36" t="s">
        <v>673</v>
      </c>
    </row>
    <row r="798" spans="1:6" s="2" customFormat="1" x14ac:dyDescent="0.25">
      <c r="A798" s="2" t="s">
        <v>804</v>
      </c>
      <c r="B798" s="15">
        <f>31-18-13</f>
        <v>0</v>
      </c>
      <c r="C798" s="3" t="s">
        <v>27</v>
      </c>
      <c r="D798" s="2" t="s">
        <v>5</v>
      </c>
      <c r="E798" s="2" t="s">
        <v>2875</v>
      </c>
      <c r="F798" s="36" t="s">
        <v>673</v>
      </c>
    </row>
    <row r="799" spans="1:6" s="2" customFormat="1" x14ac:dyDescent="0.25">
      <c r="A799" s="2" t="s">
        <v>2559</v>
      </c>
      <c r="B799" s="15">
        <f>62-12+1</f>
        <v>51</v>
      </c>
      <c r="C799" s="3">
        <v>2145</v>
      </c>
      <c r="D799" s="2" t="s">
        <v>5</v>
      </c>
      <c r="E799" s="2" t="s">
        <v>2876</v>
      </c>
      <c r="F799" s="36" t="s">
        <v>673</v>
      </c>
    </row>
    <row r="800" spans="1:6" s="2" customFormat="1" x14ac:dyDescent="0.25">
      <c r="A800" s="2" t="s">
        <v>1932</v>
      </c>
      <c r="B800" s="14">
        <f>1464-88-53-113-124-10+10</f>
        <v>1086</v>
      </c>
      <c r="C800" s="3">
        <v>2117</v>
      </c>
      <c r="D800" s="2" t="s">
        <v>0</v>
      </c>
      <c r="E800" s="2" t="s">
        <v>1765</v>
      </c>
      <c r="F800" s="36" t="s">
        <v>1748</v>
      </c>
    </row>
    <row r="801" spans="1:6" s="2" customFormat="1" x14ac:dyDescent="0.25">
      <c r="A801" s="2" t="s">
        <v>670</v>
      </c>
      <c r="B801" s="6">
        <f>10-10</f>
        <v>0</v>
      </c>
      <c r="C801" s="3" t="s">
        <v>27</v>
      </c>
      <c r="D801" s="2" t="s">
        <v>668</v>
      </c>
      <c r="E801" s="2" t="s">
        <v>671</v>
      </c>
      <c r="F801" s="36" t="s">
        <v>672</v>
      </c>
    </row>
    <row r="802" spans="1:6" s="2" customFormat="1" x14ac:dyDescent="0.25">
      <c r="A802" s="2" t="s">
        <v>1298</v>
      </c>
      <c r="B802" s="15">
        <v>0</v>
      </c>
      <c r="C802" s="3" t="s">
        <v>27</v>
      </c>
      <c r="D802" s="2" t="s">
        <v>5</v>
      </c>
      <c r="E802" s="2" t="s">
        <v>1805</v>
      </c>
      <c r="F802" s="36" t="s">
        <v>673</v>
      </c>
    </row>
    <row r="803" spans="1:6" s="2" customFormat="1" x14ac:dyDescent="0.25">
      <c r="A803" s="2" t="s">
        <v>1893</v>
      </c>
      <c r="B803" s="14">
        <f>1000-8-200-50-144-50-50-60-50-22-2-50-106-100-50-45</f>
        <v>13</v>
      </c>
      <c r="C803" s="3">
        <v>2209</v>
      </c>
      <c r="D803" s="2" t="s">
        <v>0</v>
      </c>
      <c r="E803" s="2" t="s">
        <v>1894</v>
      </c>
      <c r="F803" s="36" t="s">
        <v>1748</v>
      </c>
    </row>
    <row r="804" spans="1:6" s="2" customFormat="1" x14ac:dyDescent="0.25">
      <c r="A804" s="2" t="s">
        <v>1746</v>
      </c>
      <c r="B804" s="3">
        <f>451-38-21-50-87-94-21-100-35</f>
        <v>5</v>
      </c>
      <c r="C804" s="3">
        <v>2036</v>
      </c>
      <c r="D804" s="2" t="s">
        <v>0</v>
      </c>
      <c r="E804" s="2" t="s">
        <v>1747</v>
      </c>
      <c r="F804" s="36" t="s">
        <v>1748</v>
      </c>
    </row>
    <row r="805" spans="1:6" s="2" customFormat="1" x14ac:dyDescent="0.25">
      <c r="A805" s="2" t="s">
        <v>1856</v>
      </c>
      <c r="B805" s="3">
        <v>9</v>
      </c>
      <c r="C805" s="3">
        <v>2134</v>
      </c>
      <c r="D805" s="2" t="s">
        <v>5</v>
      </c>
      <c r="E805" s="2" t="s">
        <v>1857</v>
      </c>
      <c r="F805" s="36" t="s">
        <v>673</v>
      </c>
    </row>
    <row r="806" spans="1:6" s="2" customFormat="1" x14ac:dyDescent="0.25">
      <c r="A806" s="2" t="s">
        <v>1856</v>
      </c>
      <c r="B806" s="3">
        <v>926</v>
      </c>
      <c r="C806" s="3">
        <v>2232</v>
      </c>
      <c r="D806" s="2" t="s">
        <v>5</v>
      </c>
      <c r="E806" s="2" t="s">
        <v>1857</v>
      </c>
      <c r="F806" s="36" t="s">
        <v>673</v>
      </c>
    </row>
    <row r="807" spans="1:6" s="2" customFormat="1" x14ac:dyDescent="0.25">
      <c r="A807" s="2" t="s">
        <v>1856</v>
      </c>
      <c r="B807" s="3">
        <v>500</v>
      </c>
      <c r="C807" s="3">
        <v>2217</v>
      </c>
      <c r="D807" s="2" t="s">
        <v>5</v>
      </c>
      <c r="E807" s="2" t="s">
        <v>1857</v>
      </c>
      <c r="F807" s="36" t="s">
        <v>673</v>
      </c>
    </row>
    <row r="808" spans="1:6" s="2" customFormat="1" x14ac:dyDescent="0.25">
      <c r="A808" s="2" t="s">
        <v>809</v>
      </c>
      <c r="B808" s="14">
        <f>632-50</f>
        <v>582</v>
      </c>
      <c r="C808" s="3">
        <v>2150</v>
      </c>
      <c r="D808" s="2" t="s">
        <v>5</v>
      </c>
      <c r="E808" s="2" t="s">
        <v>2877</v>
      </c>
      <c r="F808" s="36" t="s">
        <v>673</v>
      </c>
    </row>
    <row r="809" spans="1:6" s="2" customFormat="1" x14ac:dyDescent="0.25">
      <c r="A809" s="2" t="s">
        <v>1762</v>
      </c>
      <c r="B809" s="14">
        <f>7643-50-50-1684</f>
        <v>5859</v>
      </c>
      <c r="C809" s="3">
        <v>2210</v>
      </c>
      <c r="D809" s="2" t="s">
        <v>668</v>
      </c>
      <c r="E809" s="2" t="s">
        <v>2878</v>
      </c>
      <c r="F809" s="36" t="s">
        <v>1763</v>
      </c>
    </row>
    <row r="810" spans="1:6" s="2" customFormat="1" x14ac:dyDescent="0.25">
      <c r="A810" s="2" t="s">
        <v>2544</v>
      </c>
      <c r="B810" s="15">
        <f>120-28-92</f>
        <v>0</v>
      </c>
      <c r="C810" s="3">
        <v>2145</v>
      </c>
      <c r="D810" s="2" t="s">
        <v>0</v>
      </c>
      <c r="E810" s="2" t="s">
        <v>2879</v>
      </c>
      <c r="F810" s="36" t="s">
        <v>2545</v>
      </c>
    </row>
    <row r="811" spans="1:6" s="2" customFormat="1" x14ac:dyDescent="0.25">
      <c r="A811" s="2" t="s">
        <v>1759</v>
      </c>
      <c r="B811" s="15">
        <f>256-75-15-97-69+384-339-45</f>
        <v>0</v>
      </c>
      <c r="C811" s="3">
        <v>2145</v>
      </c>
      <c r="D811" s="2" t="s">
        <v>668</v>
      </c>
      <c r="E811" s="2" t="s">
        <v>2880</v>
      </c>
      <c r="F811" s="36" t="s">
        <v>1760</v>
      </c>
    </row>
    <row r="812" spans="1:6" s="2" customFormat="1" x14ac:dyDescent="0.25">
      <c r="A812" s="2" t="s">
        <v>685</v>
      </c>
      <c r="B812" s="6">
        <f>7-7</f>
        <v>0</v>
      </c>
      <c r="C812" s="3" t="s">
        <v>27</v>
      </c>
      <c r="D812" s="2" t="s">
        <v>5</v>
      </c>
      <c r="E812" s="2" t="s">
        <v>2881</v>
      </c>
      <c r="F812" s="36" t="s">
        <v>686</v>
      </c>
    </row>
    <row r="813" spans="1:6" s="2" customFormat="1" x14ac:dyDescent="0.25">
      <c r="A813" s="2" t="s">
        <v>1740</v>
      </c>
      <c r="B813" s="14">
        <f>759-30-159-352-44-159-10</f>
        <v>5</v>
      </c>
      <c r="C813" s="3">
        <v>2131</v>
      </c>
      <c r="D813" s="2" t="s">
        <v>5</v>
      </c>
      <c r="E813" s="2" t="s">
        <v>2882</v>
      </c>
      <c r="F813" s="36" t="s">
        <v>1741</v>
      </c>
    </row>
    <row r="814" spans="1:6" s="2" customFormat="1" x14ac:dyDescent="0.25">
      <c r="A814" s="2" t="s">
        <v>3173</v>
      </c>
      <c r="B814" s="14">
        <f>945-50-50-396</f>
        <v>449</v>
      </c>
      <c r="C814" s="3">
        <v>2234</v>
      </c>
      <c r="D814" s="2" t="s">
        <v>0</v>
      </c>
      <c r="E814" s="2" t="s">
        <v>3174</v>
      </c>
      <c r="F814" s="36" t="s">
        <v>1748</v>
      </c>
    </row>
    <row r="815" spans="1:6" s="2" customFormat="1" x14ac:dyDescent="0.25">
      <c r="A815" s="2" t="s">
        <v>1680</v>
      </c>
      <c r="B815" s="14">
        <f>550-75-75-113-100</f>
        <v>187</v>
      </c>
      <c r="C815" s="3">
        <v>2134</v>
      </c>
      <c r="D815" s="2" t="s">
        <v>0</v>
      </c>
      <c r="E815" s="2" t="s">
        <v>1681</v>
      </c>
      <c r="F815" s="36" t="s">
        <v>535</v>
      </c>
    </row>
    <row r="816" spans="1:6" s="2" customFormat="1" x14ac:dyDescent="0.25">
      <c r="A816" s="2" t="s">
        <v>1680</v>
      </c>
      <c r="B816" s="14">
        <v>2012</v>
      </c>
      <c r="C816" s="3">
        <v>2315</v>
      </c>
      <c r="D816" s="2" t="s">
        <v>0</v>
      </c>
      <c r="E816" s="2" t="s">
        <v>1681</v>
      </c>
      <c r="F816" s="36" t="s">
        <v>535</v>
      </c>
    </row>
    <row r="817" spans="1:6" s="2" customFormat="1" x14ac:dyDescent="0.25">
      <c r="A817" s="2" t="s">
        <v>1260</v>
      </c>
      <c r="B817" s="15">
        <f>100-100</f>
        <v>0</v>
      </c>
      <c r="C817" s="3">
        <v>2207</v>
      </c>
      <c r="D817" s="2" t="s">
        <v>0</v>
      </c>
      <c r="E817" s="2" t="s">
        <v>1261</v>
      </c>
      <c r="F817" s="36" t="s">
        <v>442</v>
      </c>
    </row>
    <row r="818" spans="1:6" s="2" customFormat="1" x14ac:dyDescent="0.25">
      <c r="A818" s="2" t="s">
        <v>1364</v>
      </c>
      <c r="B818" s="15">
        <f>14-14</f>
        <v>0</v>
      </c>
      <c r="C818" s="3">
        <v>2032</v>
      </c>
      <c r="D818" s="2" t="s">
        <v>5</v>
      </c>
      <c r="E818" s="2" t="s">
        <v>1261</v>
      </c>
      <c r="F818" s="36" t="s">
        <v>205</v>
      </c>
    </row>
    <row r="819" spans="1:6" s="2" customFormat="1" x14ac:dyDescent="0.25">
      <c r="A819" s="2" t="s">
        <v>1611</v>
      </c>
      <c r="B819" s="15">
        <f>406-291-115</f>
        <v>0</v>
      </c>
      <c r="C819" s="3">
        <v>1922</v>
      </c>
      <c r="D819" s="2" t="s">
        <v>0</v>
      </c>
      <c r="E819" s="2" t="s">
        <v>1612</v>
      </c>
      <c r="F819" s="36" t="s">
        <v>442</v>
      </c>
    </row>
    <row r="820" spans="1:6" s="2" customFormat="1" x14ac:dyDescent="0.25">
      <c r="A820" s="2" t="s">
        <v>196</v>
      </c>
      <c r="B820" s="14">
        <f>40000-3-150-119-7-100-372-24-25-50</f>
        <v>39150</v>
      </c>
      <c r="C820" s="3">
        <v>1533</v>
      </c>
      <c r="D820" s="2" t="s">
        <v>5</v>
      </c>
      <c r="E820" s="2" t="s">
        <v>837</v>
      </c>
      <c r="F820" s="36" t="s">
        <v>205</v>
      </c>
    </row>
    <row r="821" spans="1:6" s="2" customFormat="1" x14ac:dyDescent="0.25">
      <c r="A821" s="2" t="s">
        <v>3470</v>
      </c>
      <c r="B821" s="14">
        <v>95</v>
      </c>
      <c r="C821" s="3">
        <v>2415</v>
      </c>
      <c r="D821" s="2" t="s">
        <v>0</v>
      </c>
      <c r="E821" s="2" t="s">
        <v>3469</v>
      </c>
      <c r="F821" s="36" t="s">
        <v>535</v>
      </c>
    </row>
    <row r="822" spans="1:6" s="2" customFormat="1" x14ac:dyDescent="0.25">
      <c r="A822" s="2" t="s">
        <v>2809</v>
      </c>
      <c r="B822" s="14">
        <f>685-68</f>
        <v>617</v>
      </c>
      <c r="C822" s="3">
        <v>2220</v>
      </c>
      <c r="D822" s="2" t="s">
        <v>0</v>
      </c>
      <c r="E822" s="2" t="s">
        <v>3731</v>
      </c>
      <c r="F822" s="36" t="s">
        <v>442</v>
      </c>
    </row>
    <row r="823" spans="1:6" s="2" customFormat="1" x14ac:dyDescent="0.25">
      <c r="A823" s="2" t="s">
        <v>1766</v>
      </c>
      <c r="B823" s="14">
        <f>608</f>
        <v>608</v>
      </c>
      <c r="C823" s="3">
        <v>2203</v>
      </c>
      <c r="D823" s="2" t="s">
        <v>5</v>
      </c>
      <c r="E823" s="2" t="s">
        <v>1806</v>
      </c>
      <c r="F823" s="36" t="s">
        <v>1767</v>
      </c>
    </row>
    <row r="824" spans="1:6" s="2" customFormat="1" ht="15.75" customHeight="1" x14ac:dyDescent="0.25">
      <c r="A824" s="2" t="s">
        <v>841</v>
      </c>
      <c r="B824" s="14">
        <f>2100-50-50-6-24-36-500-12-176-50-36-350-320-50-160-50-53-51-88-6</f>
        <v>32</v>
      </c>
      <c r="C824" s="3">
        <v>2123</v>
      </c>
      <c r="D824" s="2" t="s">
        <v>5</v>
      </c>
      <c r="E824" s="2" t="s">
        <v>842</v>
      </c>
      <c r="F824" s="36" t="s">
        <v>673</v>
      </c>
    </row>
    <row r="825" spans="1:6" s="2" customFormat="1" ht="15.75" customHeight="1" x14ac:dyDescent="0.25">
      <c r="A825" s="2" t="s">
        <v>3572</v>
      </c>
      <c r="B825" s="14">
        <v>50</v>
      </c>
      <c r="C825" s="3">
        <v>2236</v>
      </c>
      <c r="D825" s="2" t="s">
        <v>5</v>
      </c>
      <c r="E825" s="2" t="s">
        <v>3573</v>
      </c>
      <c r="F825" s="36" t="s">
        <v>673</v>
      </c>
    </row>
    <row r="826" spans="1:6" s="2" customFormat="1" x14ac:dyDescent="0.25">
      <c r="A826" s="2" t="s">
        <v>740</v>
      </c>
      <c r="B826" s="14">
        <f>2500-1000</f>
        <v>1500</v>
      </c>
      <c r="C826" s="3" t="s">
        <v>27</v>
      </c>
      <c r="D826" s="2" t="s">
        <v>5</v>
      </c>
      <c r="E826" s="2" t="s">
        <v>776</v>
      </c>
      <c r="F826" s="36" t="s">
        <v>673</v>
      </c>
    </row>
    <row r="827" spans="1:6" s="2" customFormat="1" x14ac:dyDescent="0.25">
      <c r="A827" s="2" t="s">
        <v>1755</v>
      </c>
      <c r="B827" s="14">
        <f>3701-50-14-14-10-8-62-31-40-53-22</f>
        <v>3397</v>
      </c>
      <c r="C827" s="3">
        <v>2018</v>
      </c>
      <c r="D827" s="2" t="s">
        <v>0</v>
      </c>
      <c r="E827" s="2" t="s">
        <v>1756</v>
      </c>
      <c r="F827" s="36" t="s">
        <v>1748</v>
      </c>
    </row>
    <row r="828" spans="1:6" s="2" customFormat="1" x14ac:dyDescent="0.25">
      <c r="A828" s="2" t="s">
        <v>805</v>
      </c>
      <c r="B828" s="15">
        <f>51-36-15</f>
        <v>0</v>
      </c>
      <c r="C828" s="3" t="s">
        <v>27</v>
      </c>
      <c r="D828" s="2" t="s">
        <v>5</v>
      </c>
      <c r="E828" s="2" t="s">
        <v>1256</v>
      </c>
      <c r="F828" s="36" t="s">
        <v>673</v>
      </c>
    </row>
    <row r="829" spans="1:6" s="2" customFormat="1" x14ac:dyDescent="0.25">
      <c r="A829" s="2" t="s">
        <v>1613</v>
      </c>
      <c r="B829" s="14">
        <v>480</v>
      </c>
      <c r="C829" s="3">
        <v>2030</v>
      </c>
      <c r="D829" s="2" t="s">
        <v>0</v>
      </c>
      <c r="E829" s="2" t="s">
        <v>2883</v>
      </c>
      <c r="F829" s="36" t="s">
        <v>535</v>
      </c>
    </row>
    <row r="830" spans="1:6" s="2" customFormat="1" x14ac:dyDescent="0.25">
      <c r="A830" s="2" t="s">
        <v>649</v>
      </c>
      <c r="B830" s="14">
        <v>3</v>
      </c>
      <c r="C830" s="3" t="s">
        <v>27</v>
      </c>
      <c r="D830" s="2" t="s">
        <v>0</v>
      </c>
      <c r="E830" s="2" t="s">
        <v>2884</v>
      </c>
      <c r="F830" s="36" t="s">
        <v>535</v>
      </c>
    </row>
    <row r="831" spans="1:6" s="2" customFormat="1" x14ac:dyDescent="0.25">
      <c r="A831" s="2" t="s">
        <v>775</v>
      </c>
      <c r="B831" s="15">
        <f>250-50-200</f>
        <v>0</v>
      </c>
      <c r="C831" s="3">
        <v>2140</v>
      </c>
      <c r="D831" s="2" t="s">
        <v>5</v>
      </c>
      <c r="E831" s="2" t="s">
        <v>2885</v>
      </c>
      <c r="F831" s="36" t="s">
        <v>673</v>
      </c>
    </row>
    <row r="832" spans="1:6" s="2" customFormat="1" x14ac:dyDescent="0.25">
      <c r="A832" s="2" t="s">
        <v>1872</v>
      </c>
      <c r="B832" s="14">
        <f>4370-630-945+2-2203-226-172-50-13</f>
        <v>133</v>
      </c>
      <c r="C832" s="3">
        <v>2147</v>
      </c>
      <c r="D832" s="2" t="s">
        <v>0</v>
      </c>
      <c r="E832" s="2" t="s">
        <v>2886</v>
      </c>
      <c r="F832" s="36" t="s">
        <v>535</v>
      </c>
    </row>
    <row r="833" spans="1:6" s="2" customFormat="1" x14ac:dyDescent="0.25">
      <c r="A833" s="2" t="s">
        <v>1872</v>
      </c>
      <c r="B833" s="14">
        <f>598-30-508-25-12-15</f>
        <v>8</v>
      </c>
      <c r="C833" s="3">
        <v>2147</v>
      </c>
      <c r="D833" s="2" t="s">
        <v>0</v>
      </c>
      <c r="E833" s="2" t="s">
        <v>2886</v>
      </c>
      <c r="F833" s="36" t="s">
        <v>535</v>
      </c>
    </row>
    <row r="834" spans="1:6" s="2" customFormat="1" x14ac:dyDescent="0.25">
      <c r="A834" s="2" t="s">
        <v>1872</v>
      </c>
      <c r="B834" s="14">
        <v>3927</v>
      </c>
      <c r="C834" s="3">
        <v>2335</v>
      </c>
      <c r="D834" s="2" t="s">
        <v>0</v>
      </c>
      <c r="E834" s="2" t="s">
        <v>2886</v>
      </c>
      <c r="F834" s="36" t="s">
        <v>535</v>
      </c>
    </row>
    <row r="835" spans="1:6" s="2" customFormat="1" x14ac:dyDescent="0.25">
      <c r="A835" s="2" t="s">
        <v>1739</v>
      </c>
      <c r="B835" s="14">
        <f>1960-80-139-80-9-185-259-10-50-132</f>
        <v>1016</v>
      </c>
      <c r="C835" s="3">
        <v>2126</v>
      </c>
      <c r="D835" s="2" t="s">
        <v>5</v>
      </c>
      <c r="E835" s="2" t="s">
        <v>3665</v>
      </c>
      <c r="F835" s="36" t="s">
        <v>673</v>
      </c>
    </row>
    <row r="836" spans="1:6" s="2" customFormat="1" x14ac:dyDescent="0.25">
      <c r="A836" s="2" t="s">
        <v>1254</v>
      </c>
      <c r="B836" s="15">
        <f>27-27</f>
        <v>0</v>
      </c>
      <c r="C836" s="3" t="s">
        <v>27</v>
      </c>
      <c r="D836" s="2" t="s">
        <v>668</v>
      </c>
      <c r="E836" s="2" t="s">
        <v>2887</v>
      </c>
      <c r="F836" s="36" t="s">
        <v>672</v>
      </c>
    </row>
    <row r="837" spans="1:6" s="2" customFormat="1" x14ac:dyDescent="0.25">
      <c r="A837" s="2" t="s">
        <v>2315</v>
      </c>
      <c r="B837" s="14">
        <v>300</v>
      </c>
      <c r="C837" s="3">
        <v>2139</v>
      </c>
      <c r="D837" s="2" t="s">
        <v>0</v>
      </c>
      <c r="E837" s="2" t="s">
        <v>2888</v>
      </c>
      <c r="F837" s="36" t="s">
        <v>2316</v>
      </c>
    </row>
    <row r="838" spans="1:6" s="2" customFormat="1" x14ac:dyDescent="0.25">
      <c r="A838" s="2" t="s">
        <v>2315</v>
      </c>
      <c r="B838" s="14">
        <v>160</v>
      </c>
      <c r="C838" s="3">
        <v>2139</v>
      </c>
      <c r="D838" s="2" t="s">
        <v>0</v>
      </c>
      <c r="E838" s="2" t="s">
        <v>2888</v>
      </c>
      <c r="F838" s="36" t="s">
        <v>2316</v>
      </c>
    </row>
    <row r="839" spans="1:6" s="2" customFormat="1" x14ac:dyDescent="0.25">
      <c r="A839" s="2" t="s">
        <v>242</v>
      </c>
      <c r="B839" s="14">
        <f>10000-25</f>
        <v>9975</v>
      </c>
      <c r="C839" s="3">
        <v>1541</v>
      </c>
      <c r="D839" s="2" t="s">
        <v>5</v>
      </c>
      <c r="E839" s="2" t="s">
        <v>1363</v>
      </c>
      <c r="F839" s="36" t="s">
        <v>7</v>
      </c>
    </row>
    <row r="840" spans="1:6" s="2" customFormat="1" x14ac:dyDescent="0.25">
      <c r="A840" s="2" t="s">
        <v>2560</v>
      </c>
      <c r="B840" s="14">
        <f>2522-124-88</f>
        <v>2310</v>
      </c>
      <c r="C840" s="3">
        <v>2206</v>
      </c>
      <c r="D840" s="2" t="s">
        <v>5</v>
      </c>
      <c r="E840" s="2" t="s">
        <v>2889</v>
      </c>
      <c r="F840" s="36" t="s">
        <v>7</v>
      </c>
    </row>
    <row r="841" spans="1:6" s="2" customFormat="1" x14ac:dyDescent="0.25">
      <c r="A841" s="2" t="s">
        <v>1744</v>
      </c>
      <c r="B841" s="15">
        <f>64-36-28</f>
        <v>0</v>
      </c>
      <c r="C841" s="3">
        <v>2030</v>
      </c>
      <c r="D841" s="2" t="s">
        <v>5</v>
      </c>
      <c r="E841" s="2" t="s">
        <v>2890</v>
      </c>
      <c r="F841" s="36" t="s">
        <v>1745</v>
      </c>
    </row>
    <row r="842" spans="1:6" s="2" customFormat="1" x14ac:dyDescent="0.25">
      <c r="A842" s="2" t="s">
        <v>1126</v>
      </c>
      <c r="B842" s="14">
        <v>150</v>
      </c>
      <c r="C842" s="3" t="s">
        <v>214</v>
      </c>
      <c r="D842" s="2" t="s">
        <v>5</v>
      </c>
      <c r="E842" s="2" t="s">
        <v>2117</v>
      </c>
      <c r="F842" s="36" t="s">
        <v>7</v>
      </c>
    </row>
    <row r="843" spans="1:6" s="2" customFormat="1" x14ac:dyDescent="0.25">
      <c r="A843" s="2" t="s">
        <v>784</v>
      </c>
      <c r="B843" s="15">
        <f>89-7-18-17-18-16-3-3-5-2</f>
        <v>0</v>
      </c>
      <c r="C843" s="3" t="s">
        <v>27</v>
      </c>
      <c r="D843" s="2" t="s">
        <v>5</v>
      </c>
      <c r="E843" s="2" t="s">
        <v>785</v>
      </c>
      <c r="F843" s="36" t="s">
        <v>7</v>
      </c>
    </row>
    <row r="844" spans="1:6" s="2" customFormat="1" x14ac:dyDescent="0.25">
      <c r="A844" s="2" t="s">
        <v>3729</v>
      </c>
      <c r="B844" s="14">
        <v>934</v>
      </c>
      <c r="C844" s="3">
        <v>2316</v>
      </c>
      <c r="D844" s="2" t="s">
        <v>0</v>
      </c>
      <c r="E844" s="2" t="s">
        <v>3730</v>
      </c>
      <c r="F844" s="36" t="s">
        <v>3732</v>
      </c>
    </row>
    <row r="845" spans="1:6" s="2" customFormat="1" x14ac:dyDescent="0.25">
      <c r="A845" s="2" t="s">
        <v>843</v>
      </c>
      <c r="B845" s="14">
        <f>64-50-9-2-3</f>
        <v>0</v>
      </c>
      <c r="C845" s="3" t="s">
        <v>27</v>
      </c>
      <c r="D845" s="2" t="s">
        <v>5</v>
      </c>
      <c r="E845" s="2" t="s">
        <v>844</v>
      </c>
      <c r="F845" s="36" t="s">
        <v>673</v>
      </c>
    </row>
    <row r="846" spans="1:6" s="2" customFormat="1" x14ac:dyDescent="0.25">
      <c r="A846" s="2" t="s">
        <v>843</v>
      </c>
      <c r="B846" s="14">
        <f>399-18-36-36-50-50-88-6</f>
        <v>115</v>
      </c>
      <c r="C846" s="3" t="s">
        <v>27</v>
      </c>
      <c r="D846" s="2" t="s">
        <v>5</v>
      </c>
      <c r="E846" s="2" t="s">
        <v>844</v>
      </c>
      <c r="F846" s="36" t="s">
        <v>673</v>
      </c>
    </row>
    <row r="847" spans="1:6" s="2" customFormat="1" x14ac:dyDescent="0.25">
      <c r="A847" s="2" t="s">
        <v>1295</v>
      </c>
      <c r="B847" s="14">
        <v>45</v>
      </c>
      <c r="C847" s="3" t="s">
        <v>27</v>
      </c>
      <c r="D847" s="2" t="s">
        <v>5</v>
      </c>
      <c r="E847" s="2" t="s">
        <v>1296</v>
      </c>
      <c r="F847" s="36"/>
    </row>
    <row r="848" spans="1:6" s="2" customFormat="1" x14ac:dyDescent="0.25">
      <c r="A848" s="2" t="s">
        <v>917</v>
      </c>
      <c r="B848" s="14">
        <f>100-72</f>
        <v>28</v>
      </c>
      <c r="C848" s="3" t="s">
        <v>27</v>
      </c>
      <c r="D848" s="2" t="s">
        <v>918</v>
      </c>
      <c r="E848" s="2" t="s">
        <v>3093</v>
      </c>
      <c r="F848" s="36" t="s">
        <v>919</v>
      </c>
    </row>
    <row r="849" spans="1:6" s="2" customFormat="1" x14ac:dyDescent="0.25">
      <c r="A849" s="2" t="s">
        <v>1432</v>
      </c>
      <c r="B849" s="14">
        <v>1</v>
      </c>
      <c r="C849" s="3">
        <v>2136</v>
      </c>
      <c r="D849" s="2" t="s">
        <v>759</v>
      </c>
      <c r="E849" s="2" t="s">
        <v>1433</v>
      </c>
      <c r="F849" s="36" t="s">
        <v>1434</v>
      </c>
    </row>
    <row r="850" spans="1:6" s="2" customFormat="1" x14ac:dyDescent="0.25">
      <c r="A850" s="2" t="s">
        <v>1428</v>
      </c>
      <c r="B850" s="3">
        <v>1</v>
      </c>
      <c r="C850" s="3">
        <v>2101</v>
      </c>
      <c r="D850" s="2" t="s">
        <v>1429</v>
      </c>
      <c r="E850" s="2" t="s">
        <v>1431</v>
      </c>
      <c r="F850" s="36" t="s">
        <v>1430</v>
      </c>
    </row>
    <row r="851" spans="1:6" s="2" customFormat="1" x14ac:dyDescent="0.25">
      <c r="A851" s="2" t="s">
        <v>1455</v>
      </c>
      <c r="B851" s="6">
        <f>113-113</f>
        <v>0</v>
      </c>
      <c r="C851" s="3">
        <v>1411</v>
      </c>
      <c r="D851" s="2" t="s">
        <v>1429</v>
      </c>
      <c r="E851" s="2" t="s">
        <v>1456</v>
      </c>
      <c r="F851" s="36" t="s">
        <v>1430</v>
      </c>
    </row>
    <row r="852" spans="1:6" s="2" customFormat="1" x14ac:dyDescent="0.25">
      <c r="A852" s="2" t="s">
        <v>2242</v>
      </c>
      <c r="B852" s="3">
        <v>500</v>
      </c>
      <c r="C852" s="3">
        <v>2141</v>
      </c>
      <c r="D852" s="2" t="s">
        <v>1429</v>
      </c>
      <c r="E852" s="2" t="s">
        <v>2243</v>
      </c>
      <c r="F852" s="36" t="s">
        <v>2244</v>
      </c>
    </row>
    <row r="853" spans="1:6" s="2" customFormat="1" x14ac:dyDescent="0.25">
      <c r="A853" s="2" t="s">
        <v>2266</v>
      </c>
      <c r="B853" s="3">
        <v>4867</v>
      </c>
      <c r="C853" s="3">
        <v>2047</v>
      </c>
      <c r="D853" s="2" t="s">
        <v>244</v>
      </c>
      <c r="E853" s="2" t="s">
        <v>2267</v>
      </c>
      <c r="F853" s="36" t="s">
        <v>1434</v>
      </c>
    </row>
    <row r="854" spans="1:6" s="2" customFormat="1" x14ac:dyDescent="0.25">
      <c r="A854" s="2" t="s">
        <v>3090</v>
      </c>
      <c r="B854" s="3">
        <v>25</v>
      </c>
      <c r="C854" s="3">
        <v>2316</v>
      </c>
      <c r="D854" s="2" t="s">
        <v>3091</v>
      </c>
      <c r="E854" s="2" t="s">
        <v>3092</v>
      </c>
      <c r="F854" s="36" t="s">
        <v>3094</v>
      </c>
    </row>
    <row r="855" spans="1:6" s="2" customFormat="1" x14ac:dyDescent="0.25">
      <c r="A855" s="2" t="s">
        <v>914</v>
      </c>
      <c r="B855" s="14">
        <f>100-72</f>
        <v>28</v>
      </c>
      <c r="C855" s="3" t="s">
        <v>27</v>
      </c>
      <c r="D855" s="2" t="s">
        <v>759</v>
      </c>
      <c r="E855" s="2" t="s">
        <v>915</v>
      </c>
      <c r="F855" s="36" t="s">
        <v>916</v>
      </c>
    </row>
    <row r="856" spans="1:6" s="2" customFormat="1" x14ac:dyDescent="0.25">
      <c r="A856" s="2" t="s">
        <v>814</v>
      </c>
      <c r="B856" s="14">
        <f>60-30</f>
        <v>30</v>
      </c>
      <c r="C856" s="3" t="s">
        <v>214</v>
      </c>
      <c r="D856" s="5" t="s">
        <v>646</v>
      </c>
      <c r="E856" s="2" t="s">
        <v>1468</v>
      </c>
      <c r="F856" s="36" t="s">
        <v>815</v>
      </c>
    </row>
    <row r="857" spans="1:6" s="2" customFormat="1" x14ac:dyDescent="0.25">
      <c r="A857" s="2" t="s">
        <v>2133</v>
      </c>
      <c r="B857" s="14">
        <v>11</v>
      </c>
      <c r="C857" s="3">
        <v>2217</v>
      </c>
      <c r="D857" s="2" t="s">
        <v>5</v>
      </c>
      <c r="E857" s="2" t="s">
        <v>2134</v>
      </c>
      <c r="F857" s="36" t="s">
        <v>2135</v>
      </c>
    </row>
    <row r="858" spans="1:6" s="2" customFormat="1" x14ac:dyDescent="0.25">
      <c r="A858" s="2" t="s">
        <v>528</v>
      </c>
      <c r="B858" s="15">
        <f>34-3-31</f>
        <v>0</v>
      </c>
      <c r="C858" s="3" t="s">
        <v>214</v>
      </c>
      <c r="D858" s="2" t="s">
        <v>526</v>
      </c>
      <c r="E858" s="2" t="s">
        <v>1467</v>
      </c>
      <c r="F858" s="36" t="s">
        <v>527</v>
      </c>
    </row>
    <row r="859" spans="1:6" s="2" customFormat="1" x14ac:dyDescent="0.25">
      <c r="A859" s="2" t="s">
        <v>349</v>
      </c>
      <c r="B859" s="14">
        <f>3350+12</f>
        <v>3362</v>
      </c>
      <c r="C859" s="3"/>
      <c r="D859" s="2" t="s">
        <v>5</v>
      </c>
      <c r="E859" s="2" t="s">
        <v>1466</v>
      </c>
      <c r="F859" s="36"/>
    </row>
    <row r="860" spans="1:6" s="2" customFormat="1" x14ac:dyDescent="0.25">
      <c r="A860" s="2" t="s">
        <v>2581</v>
      </c>
      <c r="B860" s="14">
        <f>1000-980</f>
        <v>20</v>
      </c>
      <c r="C860" s="3">
        <v>2215</v>
      </c>
      <c r="D860" s="2" t="s">
        <v>1563</v>
      </c>
      <c r="E860" s="2" t="s">
        <v>2582</v>
      </c>
      <c r="F860" s="36" t="s">
        <v>2583</v>
      </c>
    </row>
    <row r="861" spans="1:6" s="2" customFormat="1" x14ac:dyDescent="0.25">
      <c r="A861" s="2" t="s">
        <v>1587</v>
      </c>
      <c r="B861" s="14">
        <v>2</v>
      </c>
      <c r="C861" s="3">
        <v>2017</v>
      </c>
      <c r="D861" s="2" t="s">
        <v>1563</v>
      </c>
      <c r="E861" s="2" t="s">
        <v>1588</v>
      </c>
      <c r="F861" s="36" t="s">
        <v>1589</v>
      </c>
    </row>
    <row r="862" spans="1:6" s="2" customFormat="1" x14ac:dyDescent="0.25">
      <c r="A862" s="2" t="s">
        <v>1465</v>
      </c>
      <c r="B862" s="15">
        <f>200-200</f>
        <v>0</v>
      </c>
      <c r="C862" s="3">
        <v>2036</v>
      </c>
      <c r="D862" s="2" t="s">
        <v>0</v>
      </c>
      <c r="E862" s="2" t="s">
        <v>1469</v>
      </c>
      <c r="F862" s="36" t="s">
        <v>1470</v>
      </c>
    </row>
    <row r="863" spans="1:6" s="2" customFormat="1" x14ac:dyDescent="0.25">
      <c r="A863" s="2" t="s">
        <v>2123</v>
      </c>
      <c r="B863" s="15">
        <f>20-20</f>
        <v>0</v>
      </c>
      <c r="C863" s="3">
        <v>2149</v>
      </c>
      <c r="D863" s="2" t="s">
        <v>668</v>
      </c>
      <c r="E863" s="2" t="s">
        <v>2125</v>
      </c>
      <c r="F863" s="36" t="s">
        <v>2124</v>
      </c>
    </row>
    <row r="864" spans="1:6" s="2" customFormat="1" x14ac:dyDescent="0.25">
      <c r="A864" s="2" t="s">
        <v>1517</v>
      </c>
      <c r="B864" s="14">
        <f>10000-600-25-50-40-800-500-197-51-56-5-1-40-6-50-58-255-5-110-50-100-50-1200-40-24-50-46</f>
        <v>5591</v>
      </c>
      <c r="C864" s="3">
        <v>2146</v>
      </c>
      <c r="D864" s="2" t="s">
        <v>0</v>
      </c>
      <c r="E864" s="2" t="s">
        <v>2891</v>
      </c>
      <c r="F864" s="36" t="s">
        <v>1470</v>
      </c>
    </row>
    <row r="865" spans="1:6" s="2" customFormat="1" x14ac:dyDescent="0.25">
      <c r="A865" s="2" t="s">
        <v>589</v>
      </c>
      <c r="B865" s="15">
        <f>12000-8400-700-300-500-32-200-50-14-6-25-25-4-100-10-7-20-1000-25-100-25-152-50-100-20-4-3-40-4-28-36-10-10</f>
        <v>0</v>
      </c>
      <c r="C865" s="3" t="s">
        <v>590</v>
      </c>
      <c r="D865" s="2" t="s">
        <v>5</v>
      </c>
      <c r="E865" s="2" t="s">
        <v>2892</v>
      </c>
      <c r="F865" s="36" t="s">
        <v>513</v>
      </c>
    </row>
    <row r="866" spans="1:6" s="2" customFormat="1" x14ac:dyDescent="0.25">
      <c r="A866" s="2" t="s">
        <v>589</v>
      </c>
      <c r="B866" s="15">
        <f>4000-4000</f>
        <v>0</v>
      </c>
      <c r="C866" s="3">
        <v>2234</v>
      </c>
      <c r="D866" s="2" t="s">
        <v>5</v>
      </c>
      <c r="E866" s="2" t="s">
        <v>2892</v>
      </c>
      <c r="F866" s="36" t="s">
        <v>513</v>
      </c>
    </row>
    <row r="867" spans="1:6" s="2" customFormat="1" x14ac:dyDescent="0.25">
      <c r="A867" s="2" t="s">
        <v>589</v>
      </c>
      <c r="B867" s="14">
        <f>2000-50-50-50-50-100-35</f>
        <v>1665</v>
      </c>
      <c r="C867" s="3">
        <v>2339</v>
      </c>
      <c r="D867" s="2" t="s">
        <v>5</v>
      </c>
      <c r="E867" s="2" t="s">
        <v>2892</v>
      </c>
      <c r="F867" s="36" t="s">
        <v>513</v>
      </c>
    </row>
    <row r="868" spans="1:6" s="2" customFormat="1" x14ac:dyDescent="0.25">
      <c r="A868" s="2" t="s">
        <v>1590</v>
      </c>
      <c r="B868" s="14">
        <v>24</v>
      </c>
      <c r="C868" s="3">
        <v>1919</v>
      </c>
      <c r="D868" s="2" t="s">
        <v>1563</v>
      </c>
      <c r="E868" s="2" t="s">
        <v>2893</v>
      </c>
      <c r="F868" s="36" t="s">
        <v>1591</v>
      </c>
    </row>
    <row r="869" spans="1:6" s="2" customFormat="1" x14ac:dyDescent="0.25">
      <c r="A869" s="2" t="s">
        <v>1895</v>
      </c>
      <c r="B869" s="14">
        <f>24000-200-10-160-332-500-8218-756-40-1200-50-168-374-40</f>
        <v>11952</v>
      </c>
      <c r="C869" s="3">
        <v>1808</v>
      </c>
      <c r="D869" s="2" t="s">
        <v>0</v>
      </c>
      <c r="E869" s="2" t="s">
        <v>2894</v>
      </c>
      <c r="F869" s="36" t="s">
        <v>1748</v>
      </c>
    </row>
    <row r="870" spans="1:6" s="2" customFormat="1" x14ac:dyDescent="0.25">
      <c r="A870" s="2" t="s">
        <v>1614</v>
      </c>
      <c r="B870" s="15">
        <f>750-500-35-45-20-150</f>
        <v>0</v>
      </c>
      <c r="C870" s="3">
        <v>2129</v>
      </c>
      <c r="D870" s="2" t="s">
        <v>668</v>
      </c>
      <c r="E870" s="2" t="s">
        <v>2895</v>
      </c>
      <c r="F870" s="36"/>
    </row>
    <row r="871" spans="1:6" s="2" customFormat="1" x14ac:dyDescent="0.25">
      <c r="A871" s="2" t="s">
        <v>1851</v>
      </c>
      <c r="B871" s="15">
        <f>3995-1000-120-55-50-185-300-800-50-100-123-148-190-126-50-698</f>
        <v>0</v>
      </c>
      <c r="C871" s="3">
        <v>2233</v>
      </c>
      <c r="D871" s="2" t="s">
        <v>0</v>
      </c>
      <c r="E871" s="2" t="s">
        <v>2895</v>
      </c>
      <c r="F871" s="36" t="s">
        <v>1470</v>
      </c>
    </row>
    <row r="872" spans="1:6" s="2" customFormat="1" x14ac:dyDescent="0.25">
      <c r="A872" s="2" t="s">
        <v>1928</v>
      </c>
      <c r="B872" s="15">
        <f>400000-69-75-154-8-505-20-779-100-11-1060-100-2-45-1010-40-532-164-60-311-87-118000-350-630-272000-126-70-10-1320-50-68-96-50-735-160-1100-65-10-28</f>
        <v>0</v>
      </c>
      <c r="C872" s="3" t="s">
        <v>1929</v>
      </c>
      <c r="D872" s="2" t="s">
        <v>0</v>
      </c>
      <c r="E872" s="2" t="s">
        <v>2896</v>
      </c>
      <c r="F872" s="36" t="s">
        <v>1470</v>
      </c>
    </row>
    <row r="873" spans="1:6" s="2" customFormat="1" x14ac:dyDescent="0.25">
      <c r="A873" s="2" t="s">
        <v>1928</v>
      </c>
      <c r="B873" s="15">
        <f>54886-192-800</f>
        <v>53894</v>
      </c>
      <c r="C873" s="6" t="s">
        <v>1929</v>
      </c>
      <c r="D873" s="2" t="s">
        <v>0</v>
      </c>
      <c r="E873" s="2" t="s">
        <v>2896</v>
      </c>
      <c r="F873" s="36" t="s">
        <v>1470</v>
      </c>
    </row>
    <row r="874" spans="1:6" s="2" customFormat="1" x14ac:dyDescent="0.25">
      <c r="A874" s="2" t="s">
        <v>1928</v>
      </c>
      <c r="B874" s="15">
        <f>3000-1100-3-183-1027-613-7-33-34</f>
        <v>0</v>
      </c>
      <c r="C874" s="3">
        <v>2118</v>
      </c>
      <c r="D874" s="2" t="s">
        <v>0</v>
      </c>
      <c r="E874" s="2" t="s">
        <v>2896</v>
      </c>
      <c r="F874" s="36" t="s">
        <v>1470</v>
      </c>
    </row>
    <row r="875" spans="1:6" s="2" customFormat="1" x14ac:dyDescent="0.25">
      <c r="A875" s="2" t="s">
        <v>637</v>
      </c>
      <c r="B875" s="15">
        <f>17-17</f>
        <v>0</v>
      </c>
      <c r="C875" s="3">
        <v>2213</v>
      </c>
      <c r="D875" s="2" t="s">
        <v>0</v>
      </c>
      <c r="E875" s="2" t="s">
        <v>2897</v>
      </c>
      <c r="F875" s="36" t="s">
        <v>1470</v>
      </c>
    </row>
    <row r="876" spans="1:6" s="2" customFormat="1" x14ac:dyDescent="0.25">
      <c r="A876" s="2" t="s">
        <v>627</v>
      </c>
      <c r="B876" s="15">
        <f>100-20-20-50-10</f>
        <v>0</v>
      </c>
      <c r="C876" s="3" t="s">
        <v>27</v>
      </c>
      <c r="D876" s="2" t="s">
        <v>5</v>
      </c>
      <c r="E876" s="2" t="s">
        <v>2898</v>
      </c>
      <c r="F876" s="36" t="s">
        <v>513</v>
      </c>
    </row>
    <row r="877" spans="1:6" s="2" customFormat="1" x14ac:dyDescent="0.25">
      <c r="A877" s="2" t="s">
        <v>1926</v>
      </c>
      <c r="B877" s="14">
        <f>2000-118-158-620</f>
        <v>1104</v>
      </c>
      <c r="C877" s="3">
        <v>2045</v>
      </c>
      <c r="D877" s="2" t="s">
        <v>0</v>
      </c>
      <c r="E877" s="2" t="s">
        <v>2899</v>
      </c>
      <c r="F877" s="36" t="s">
        <v>1925</v>
      </c>
    </row>
    <row r="878" spans="1:6" s="2" customFormat="1" x14ac:dyDescent="0.25">
      <c r="A878" s="2" t="s">
        <v>1896</v>
      </c>
      <c r="B878" s="15">
        <f>4000-462-20-41-10-130-130-143-50-6-5-150-910-406-70-122-163-50+1-162-62-909</f>
        <v>0</v>
      </c>
      <c r="C878" s="3">
        <v>2133</v>
      </c>
      <c r="D878" s="2" t="s">
        <v>668</v>
      </c>
      <c r="E878" s="2" t="s">
        <v>2900</v>
      </c>
      <c r="F878" s="36" t="s">
        <v>749</v>
      </c>
    </row>
    <row r="879" spans="1:6" s="2" customFormat="1" x14ac:dyDescent="0.25">
      <c r="A879" s="2" t="s">
        <v>1558</v>
      </c>
      <c r="B879" s="15">
        <f>560-100-203-17-15-37-20-100-68</f>
        <v>0</v>
      </c>
      <c r="C879" s="3">
        <v>2240</v>
      </c>
      <c r="D879" s="2" t="s">
        <v>668</v>
      </c>
      <c r="E879" s="2" t="s">
        <v>2901</v>
      </c>
      <c r="F879" s="36" t="s">
        <v>749</v>
      </c>
    </row>
    <row r="880" spans="1:6" s="2" customFormat="1" x14ac:dyDescent="0.25">
      <c r="A880" s="2" t="s">
        <v>422</v>
      </c>
      <c r="B880" s="6">
        <f>900-100-150-25-300-30-10-150-86-40-4-5</f>
        <v>0</v>
      </c>
      <c r="C880" s="3" t="s">
        <v>27</v>
      </c>
      <c r="D880" s="2" t="s">
        <v>5</v>
      </c>
      <c r="E880" s="2" t="s">
        <v>2901</v>
      </c>
      <c r="F880" s="36" t="s">
        <v>7</v>
      </c>
    </row>
    <row r="881" spans="1:6" s="2" customFormat="1" x14ac:dyDescent="0.25">
      <c r="A881" s="2" t="s">
        <v>1924</v>
      </c>
      <c r="B881" s="14">
        <f>4000-180-40-50-50-45-300-6</f>
        <v>3329</v>
      </c>
      <c r="C881" s="3">
        <v>2116</v>
      </c>
      <c r="D881" s="2" t="s">
        <v>0</v>
      </c>
      <c r="E881" s="2" t="s">
        <v>2902</v>
      </c>
      <c r="F881" s="36" t="s">
        <v>1925</v>
      </c>
    </row>
    <row r="882" spans="1:6" s="2" customFormat="1" x14ac:dyDescent="0.25">
      <c r="A882" s="24" t="s">
        <v>1752</v>
      </c>
      <c r="B882" s="14">
        <f>192-83-10-2</f>
        <v>97</v>
      </c>
      <c r="C882" s="3">
        <v>2146</v>
      </c>
      <c r="D882" s="2" t="s">
        <v>0</v>
      </c>
      <c r="E882" s="2" t="s">
        <v>2854</v>
      </c>
      <c r="F882" s="36" t="s">
        <v>1748</v>
      </c>
    </row>
    <row r="883" spans="1:6" s="2" customFormat="1" x14ac:dyDescent="0.25">
      <c r="A883" s="2" t="s">
        <v>836</v>
      </c>
      <c r="B883" s="6">
        <f>756-100-154-90-150-90-172</f>
        <v>0</v>
      </c>
      <c r="C883" s="3" t="s">
        <v>214</v>
      </c>
      <c r="D883" s="2" t="s">
        <v>5</v>
      </c>
      <c r="E883" s="2" t="s">
        <v>2853</v>
      </c>
      <c r="F883" s="36" t="s">
        <v>673</v>
      </c>
    </row>
    <row r="884" spans="1:6" s="2" customFormat="1" x14ac:dyDescent="0.25">
      <c r="A884" s="2" t="s">
        <v>667</v>
      </c>
      <c r="B884" s="3">
        <f>120-10-50</f>
        <v>60</v>
      </c>
      <c r="C884" s="3" t="s">
        <v>27</v>
      </c>
      <c r="D884" s="2" t="s">
        <v>668</v>
      </c>
      <c r="E884" s="2" t="s">
        <v>2852</v>
      </c>
      <c r="F884" s="36" t="s">
        <v>669</v>
      </c>
    </row>
    <row r="885" spans="1:6" s="2" customFormat="1" x14ac:dyDescent="0.25">
      <c r="A885" s="24" t="s">
        <v>2850</v>
      </c>
      <c r="B885" s="6">
        <v>83</v>
      </c>
      <c r="C885" s="3">
        <v>2146</v>
      </c>
      <c r="D885" s="2" t="s">
        <v>5</v>
      </c>
      <c r="E885" s="2" t="s">
        <v>2851</v>
      </c>
      <c r="F885" s="36" t="s">
        <v>2991</v>
      </c>
    </row>
    <row r="886" spans="1:6" s="2" customFormat="1" x14ac:dyDescent="0.25">
      <c r="A886" s="2" t="s">
        <v>3458</v>
      </c>
      <c r="B886" s="14">
        <v>20</v>
      </c>
      <c r="C886" s="3">
        <v>2324</v>
      </c>
      <c r="D886" s="2" t="s">
        <v>5</v>
      </c>
      <c r="E886" s="2" t="s">
        <v>3460</v>
      </c>
      <c r="F886" s="36" t="s">
        <v>3459</v>
      </c>
    </row>
    <row r="887" spans="1:6" s="2" customFormat="1" x14ac:dyDescent="0.25">
      <c r="A887" s="2" t="s">
        <v>536</v>
      </c>
      <c r="B887" s="14">
        <v>1400</v>
      </c>
      <c r="C887" s="3" t="s">
        <v>214</v>
      </c>
      <c r="D887" s="2" t="s">
        <v>0</v>
      </c>
      <c r="E887" s="2" t="s">
        <v>538</v>
      </c>
      <c r="F887" s="36" t="s">
        <v>535</v>
      </c>
    </row>
    <row r="888" spans="1:6" s="2" customFormat="1" x14ac:dyDescent="0.25">
      <c r="A888" s="2" t="s">
        <v>2846</v>
      </c>
      <c r="B888" s="14">
        <v>1894</v>
      </c>
      <c r="C888" s="3">
        <v>2118</v>
      </c>
      <c r="D888" s="2" t="s">
        <v>0</v>
      </c>
      <c r="E888" s="2" t="s">
        <v>2847</v>
      </c>
      <c r="F888" s="36" t="s">
        <v>535</v>
      </c>
    </row>
    <row r="889" spans="1:6" s="2" customFormat="1" x14ac:dyDescent="0.25">
      <c r="A889" s="2" t="s">
        <v>1995</v>
      </c>
      <c r="B889" s="14">
        <v>800</v>
      </c>
      <c r="C889" s="3">
        <v>2145</v>
      </c>
      <c r="D889" s="2" t="s">
        <v>0</v>
      </c>
      <c r="E889" s="2" t="s">
        <v>1996</v>
      </c>
      <c r="F889" s="36" t="s">
        <v>535</v>
      </c>
    </row>
    <row r="890" spans="1:6" s="2" customFormat="1" x14ac:dyDescent="0.25">
      <c r="A890" s="2" t="s">
        <v>257</v>
      </c>
      <c r="B890" s="14">
        <f>20000-6-4000</f>
        <v>15994</v>
      </c>
      <c r="C890" s="3" t="s">
        <v>258</v>
      </c>
      <c r="D890" s="2" t="s">
        <v>5</v>
      </c>
      <c r="E890" s="2" t="s">
        <v>1807</v>
      </c>
      <c r="F890" s="36" t="s">
        <v>7</v>
      </c>
    </row>
    <row r="891" spans="1:6" s="2" customFormat="1" x14ac:dyDescent="0.25">
      <c r="A891" s="2" t="s">
        <v>656</v>
      </c>
      <c r="B891" s="14">
        <f>100-10</f>
        <v>90</v>
      </c>
      <c r="C891" s="3" t="s">
        <v>214</v>
      </c>
      <c r="D891" s="2" t="s">
        <v>5</v>
      </c>
      <c r="E891" s="2" t="s">
        <v>2903</v>
      </c>
      <c r="F891" s="36" t="s">
        <v>657</v>
      </c>
    </row>
    <row r="892" spans="1:6" s="2" customFormat="1" x14ac:dyDescent="0.25">
      <c r="A892" s="2" t="s">
        <v>2751</v>
      </c>
      <c r="B892" s="14">
        <f>50-6-10</f>
        <v>34</v>
      </c>
      <c r="C892" s="3">
        <v>2241</v>
      </c>
      <c r="D892" s="2" t="s">
        <v>0</v>
      </c>
      <c r="E892" s="2" t="s">
        <v>2752</v>
      </c>
      <c r="F892" s="36" t="s">
        <v>1470</v>
      </c>
    </row>
    <row r="893" spans="1:6" s="2" customFormat="1" x14ac:dyDescent="0.25">
      <c r="A893" s="2" t="s">
        <v>3334</v>
      </c>
      <c r="B893" s="14">
        <f>485-403</f>
        <v>82</v>
      </c>
      <c r="C893" s="3">
        <v>2236</v>
      </c>
      <c r="D893" s="2" t="s">
        <v>5</v>
      </c>
      <c r="E893" s="2" t="s">
        <v>3335</v>
      </c>
      <c r="F893" s="36" t="s">
        <v>7</v>
      </c>
    </row>
    <row r="894" spans="1:6" s="2" customFormat="1" x14ac:dyDescent="0.25">
      <c r="A894" s="2" t="s">
        <v>525</v>
      </c>
      <c r="B894" s="14">
        <v>34</v>
      </c>
      <c r="C894" s="3" t="s">
        <v>214</v>
      </c>
      <c r="D894" s="2" t="s">
        <v>526</v>
      </c>
      <c r="E894" s="2" t="s">
        <v>2753</v>
      </c>
      <c r="F894" s="36" t="s">
        <v>527</v>
      </c>
    </row>
    <row r="895" spans="1:6" s="2" customFormat="1" x14ac:dyDescent="0.25">
      <c r="A895" s="2" t="s">
        <v>348</v>
      </c>
      <c r="B895" s="14">
        <f>400-5-50</f>
        <v>345</v>
      </c>
      <c r="C895" s="3" t="s">
        <v>214</v>
      </c>
      <c r="D895" s="2" t="s">
        <v>5</v>
      </c>
      <c r="E895" s="2" t="s">
        <v>1808</v>
      </c>
      <c r="F895" s="36" t="s">
        <v>7</v>
      </c>
    </row>
    <row r="896" spans="1:6" s="2" customFormat="1" x14ac:dyDescent="0.25">
      <c r="A896" s="2" t="s">
        <v>457</v>
      </c>
      <c r="B896" s="14">
        <v>30</v>
      </c>
      <c r="C896" s="3" t="s">
        <v>214</v>
      </c>
      <c r="D896" s="2" t="s">
        <v>0</v>
      </c>
      <c r="E896" s="2" t="s">
        <v>2904</v>
      </c>
      <c r="F896" s="36" t="s">
        <v>598</v>
      </c>
    </row>
    <row r="897" spans="1:6" s="2" customFormat="1" x14ac:dyDescent="0.25">
      <c r="A897" s="2" t="s">
        <v>1073</v>
      </c>
      <c r="B897" s="14">
        <v>9</v>
      </c>
      <c r="C897" s="3" t="s">
        <v>214</v>
      </c>
      <c r="D897" s="2" t="s">
        <v>0</v>
      </c>
      <c r="E897" s="2" t="s">
        <v>1232</v>
      </c>
      <c r="F897" s="36" t="s">
        <v>598</v>
      </c>
    </row>
    <row r="898" spans="1:6" s="2" customFormat="1" x14ac:dyDescent="0.25">
      <c r="A898" s="2" t="s">
        <v>1592</v>
      </c>
      <c r="B898" s="14">
        <v>2</v>
      </c>
      <c r="C898" s="3">
        <v>2024</v>
      </c>
      <c r="D898" s="2" t="s">
        <v>1563</v>
      </c>
      <c r="E898" s="2" t="s">
        <v>1593</v>
      </c>
      <c r="F898" s="36" t="s">
        <v>1594</v>
      </c>
    </row>
    <row r="899" spans="1:6" s="2" customFormat="1" x14ac:dyDescent="0.25">
      <c r="A899" s="2" t="s">
        <v>1927</v>
      </c>
      <c r="B899" s="15">
        <f>1600-1200-400</f>
        <v>0</v>
      </c>
      <c r="C899" s="3">
        <v>2022</v>
      </c>
      <c r="D899" s="2" t="s">
        <v>0</v>
      </c>
      <c r="E899" s="2" t="s">
        <v>2905</v>
      </c>
      <c r="F899" s="36" t="s">
        <v>1470</v>
      </c>
    </row>
    <row r="900" spans="1:6" s="2" customFormat="1" x14ac:dyDescent="0.25">
      <c r="A900" s="2" t="s">
        <v>1438</v>
      </c>
      <c r="B900" s="15">
        <f>612-612</f>
        <v>0</v>
      </c>
      <c r="C900" s="3">
        <v>1827</v>
      </c>
      <c r="D900" s="2" t="s">
        <v>668</v>
      </c>
      <c r="E900" s="2" t="s">
        <v>1439</v>
      </c>
      <c r="F900" s="36" t="s">
        <v>669</v>
      </c>
    </row>
    <row r="901" spans="1:6" s="2" customFormat="1" x14ac:dyDescent="0.25">
      <c r="A901" s="2" t="s">
        <v>645</v>
      </c>
      <c r="B901" s="3">
        <f>2500-1050-80-40-1000-7-20-25-25-4-4-5-1-6-25-50-50-16</f>
        <v>92</v>
      </c>
      <c r="C901" s="3" t="s">
        <v>214</v>
      </c>
      <c r="D901" s="2" t="s">
        <v>646</v>
      </c>
      <c r="E901" s="2" t="s">
        <v>1440</v>
      </c>
      <c r="F901" s="36" t="s">
        <v>598</v>
      </c>
    </row>
    <row r="902" spans="1:6" s="2" customFormat="1" x14ac:dyDescent="0.25">
      <c r="A902" s="2" t="s">
        <v>128</v>
      </c>
      <c r="B902" s="3">
        <v>3483</v>
      </c>
      <c r="C902" s="4" t="s">
        <v>125</v>
      </c>
      <c r="D902" s="2" t="s">
        <v>5</v>
      </c>
      <c r="E902" s="2" t="s">
        <v>2906</v>
      </c>
      <c r="F902" s="36" t="s">
        <v>7</v>
      </c>
    </row>
    <row r="903" spans="1:6" s="2" customFormat="1" x14ac:dyDescent="0.25">
      <c r="A903" s="2" t="s">
        <v>10</v>
      </c>
      <c r="B903" s="3">
        <f>4000-500</f>
        <v>3500</v>
      </c>
      <c r="C903" s="3">
        <v>1323</v>
      </c>
      <c r="D903" s="2" t="s">
        <v>5</v>
      </c>
      <c r="E903" s="2" t="s">
        <v>1122</v>
      </c>
      <c r="F903" s="36" t="s">
        <v>7</v>
      </c>
    </row>
    <row r="904" spans="1:6" s="2" customFormat="1" x14ac:dyDescent="0.25">
      <c r="A904" s="2" t="s">
        <v>11</v>
      </c>
      <c r="B904" s="3">
        <f>4000-500</f>
        <v>3500</v>
      </c>
      <c r="C904" s="3">
        <v>1315</v>
      </c>
      <c r="D904" s="2" t="s">
        <v>5</v>
      </c>
      <c r="E904" s="2" t="s">
        <v>1121</v>
      </c>
      <c r="F904" s="36" t="s">
        <v>7</v>
      </c>
    </row>
    <row r="905" spans="1:6" s="2" customFormat="1" x14ac:dyDescent="0.25">
      <c r="A905" s="2" t="s">
        <v>1119</v>
      </c>
      <c r="B905" s="3">
        <f>80-50-6-4</f>
        <v>20</v>
      </c>
      <c r="C905" s="3">
        <v>2005</v>
      </c>
      <c r="D905" s="2" t="s">
        <v>5</v>
      </c>
      <c r="E905" s="2" t="s">
        <v>1120</v>
      </c>
      <c r="F905" s="36" t="s">
        <v>7</v>
      </c>
    </row>
    <row r="906" spans="1:6" s="2" customFormat="1" x14ac:dyDescent="0.25">
      <c r="A906" s="2" t="s">
        <v>2843</v>
      </c>
      <c r="B906" s="6">
        <f>7-7</f>
        <v>0</v>
      </c>
      <c r="C906" s="3">
        <v>2216</v>
      </c>
      <c r="D906" s="2" t="s">
        <v>646</v>
      </c>
      <c r="E906" s="2" t="s">
        <v>2907</v>
      </c>
      <c r="F906" s="36" t="s">
        <v>2844</v>
      </c>
    </row>
    <row r="907" spans="1:6" s="2" customFormat="1" x14ac:dyDescent="0.25">
      <c r="A907" s="2" t="s">
        <v>2768</v>
      </c>
      <c r="B907" s="3">
        <f>6740-50-10</f>
        <v>6680</v>
      </c>
      <c r="C907" s="3" t="s">
        <v>2769</v>
      </c>
      <c r="D907" s="2" t="s">
        <v>646</v>
      </c>
      <c r="E907" s="2" t="s">
        <v>2908</v>
      </c>
      <c r="F907" s="36" t="s">
        <v>598</v>
      </c>
    </row>
    <row r="908" spans="1:6" s="2" customFormat="1" x14ac:dyDescent="0.25">
      <c r="A908" s="2" t="s">
        <v>1742</v>
      </c>
      <c r="B908" s="3">
        <f>337-8-60-24-50-50-50-50</f>
        <v>45</v>
      </c>
      <c r="C908" s="3">
        <v>2132</v>
      </c>
      <c r="D908" s="2" t="s">
        <v>668</v>
      </c>
      <c r="E908" s="2" t="s">
        <v>2909</v>
      </c>
      <c r="F908" s="36" t="s">
        <v>1743</v>
      </c>
    </row>
    <row r="909" spans="1:6" s="2" customFormat="1" x14ac:dyDescent="0.25">
      <c r="A909" s="2" t="s">
        <v>928</v>
      </c>
      <c r="B909" s="6">
        <f>690-647-6-37</f>
        <v>0</v>
      </c>
      <c r="C909" s="3">
        <v>2149</v>
      </c>
      <c r="D909" s="2" t="s">
        <v>5</v>
      </c>
      <c r="E909" s="2" t="s">
        <v>2910</v>
      </c>
      <c r="F909" s="36" t="s">
        <v>7</v>
      </c>
    </row>
    <row r="910" spans="1:6" s="2" customFormat="1" x14ac:dyDescent="0.25">
      <c r="A910" s="2" t="s">
        <v>2300</v>
      </c>
      <c r="B910" s="14">
        <f>50-21-20</f>
        <v>9</v>
      </c>
      <c r="C910" s="3">
        <v>2214</v>
      </c>
      <c r="D910" s="2" t="s">
        <v>646</v>
      </c>
      <c r="E910" s="2" t="s">
        <v>2911</v>
      </c>
      <c r="F910" s="36" t="s">
        <v>1925</v>
      </c>
    </row>
    <row r="911" spans="1:6" s="2" customFormat="1" x14ac:dyDescent="0.25">
      <c r="A911" s="2" t="s">
        <v>757</v>
      </c>
      <c r="B911" s="3">
        <f>100-50</f>
        <v>50</v>
      </c>
      <c r="C911" s="3" t="s">
        <v>214</v>
      </c>
      <c r="D911" s="2" t="s">
        <v>5</v>
      </c>
      <c r="E911" s="2" t="s">
        <v>2203</v>
      </c>
      <c r="F911" s="36" t="s">
        <v>598</v>
      </c>
    </row>
    <row r="912" spans="1:6" s="2" customFormat="1" x14ac:dyDescent="0.25">
      <c r="A912" s="2" t="s">
        <v>3367</v>
      </c>
      <c r="B912" s="3">
        <v>1</v>
      </c>
      <c r="C912" s="3">
        <v>2217</v>
      </c>
      <c r="D912" s="2" t="s">
        <v>3331</v>
      </c>
      <c r="E912" s="2" t="s">
        <v>3369</v>
      </c>
      <c r="F912" s="36" t="s">
        <v>3368</v>
      </c>
    </row>
    <row r="913" spans="1:6" s="2" customFormat="1" x14ac:dyDescent="0.25">
      <c r="A913" s="2" t="s">
        <v>2201</v>
      </c>
      <c r="B913" s="6">
        <f>1600-1600</f>
        <v>0</v>
      </c>
      <c r="C913" s="3">
        <v>2239</v>
      </c>
      <c r="D913" s="2" t="s">
        <v>646</v>
      </c>
      <c r="E913" s="2" t="s">
        <v>2202</v>
      </c>
      <c r="F913" s="36" t="s">
        <v>598</v>
      </c>
    </row>
    <row r="914" spans="1:6" s="2" customFormat="1" x14ac:dyDescent="0.25">
      <c r="A914" s="2" t="s">
        <v>347</v>
      </c>
      <c r="B914" s="6">
        <f>400-299-101</f>
        <v>0</v>
      </c>
      <c r="C914" s="3" t="s">
        <v>214</v>
      </c>
      <c r="D914" s="2" t="s">
        <v>5</v>
      </c>
      <c r="E914" s="2" t="s">
        <v>2202</v>
      </c>
      <c r="F914" s="36" t="s">
        <v>7</v>
      </c>
    </row>
    <row r="915" spans="1:6" s="2" customFormat="1" x14ac:dyDescent="0.25">
      <c r="A915" s="2" t="s">
        <v>3414</v>
      </c>
      <c r="B915" s="14">
        <f>50-22</f>
        <v>28</v>
      </c>
      <c r="C915" s="3">
        <v>2224</v>
      </c>
      <c r="D915" s="2" t="s">
        <v>5</v>
      </c>
      <c r="E915" s="2" t="s">
        <v>3415</v>
      </c>
      <c r="F915" s="36" t="s">
        <v>7</v>
      </c>
    </row>
    <row r="916" spans="1:6" s="2" customFormat="1" x14ac:dyDescent="0.25">
      <c r="A916" s="2" t="s">
        <v>3412</v>
      </c>
      <c r="B916" s="3">
        <f>50+22</f>
        <v>72</v>
      </c>
      <c r="C916" s="3">
        <v>2230</v>
      </c>
      <c r="D916" s="2" t="s">
        <v>646</v>
      </c>
      <c r="E916" s="2" t="s">
        <v>3413</v>
      </c>
      <c r="F916" s="36" t="s">
        <v>598</v>
      </c>
    </row>
    <row r="917" spans="1:6" s="2" customFormat="1" x14ac:dyDescent="0.25">
      <c r="A917" s="2" t="s">
        <v>8</v>
      </c>
      <c r="B917" s="3">
        <f>4000-500-100</f>
        <v>3400</v>
      </c>
      <c r="C917" s="3" t="s">
        <v>214</v>
      </c>
      <c r="D917" s="2" t="s">
        <v>5</v>
      </c>
      <c r="E917" s="2" t="s">
        <v>9</v>
      </c>
      <c r="F917" s="36" t="s">
        <v>7</v>
      </c>
    </row>
    <row r="918" spans="1:6" s="2" customFormat="1" x14ac:dyDescent="0.25">
      <c r="A918" s="2" t="s">
        <v>3557</v>
      </c>
      <c r="B918" s="3">
        <v>84</v>
      </c>
      <c r="C918" s="3">
        <v>2316</v>
      </c>
      <c r="D918" s="2" t="s">
        <v>646</v>
      </c>
      <c r="E918" s="2" t="s">
        <v>3558</v>
      </c>
      <c r="F918" s="36" t="s">
        <v>598</v>
      </c>
    </row>
    <row r="919" spans="1:6" s="2" customFormat="1" x14ac:dyDescent="0.25">
      <c r="A919" s="5" t="s">
        <v>4</v>
      </c>
      <c r="B919" s="3">
        <f>4000-500-500</f>
        <v>3000</v>
      </c>
      <c r="C919" s="3">
        <v>1341</v>
      </c>
      <c r="D919" s="2" t="s">
        <v>5</v>
      </c>
      <c r="E919" s="2" t="s">
        <v>6</v>
      </c>
      <c r="F919" s="36" t="s">
        <v>7</v>
      </c>
    </row>
    <row r="920" spans="1:6" s="2" customFormat="1" x14ac:dyDescent="0.25">
      <c r="A920" s="5" t="s">
        <v>534</v>
      </c>
      <c r="B920" s="3">
        <f>1500+1300-195</f>
        <v>2605</v>
      </c>
      <c r="C920" s="3" t="s">
        <v>214</v>
      </c>
      <c r="D920" s="2" t="s">
        <v>0</v>
      </c>
      <c r="E920" s="2" t="s">
        <v>537</v>
      </c>
      <c r="F920" s="36" t="s">
        <v>535</v>
      </c>
    </row>
    <row r="921" spans="1:6" s="2" customFormat="1" x14ac:dyDescent="0.25">
      <c r="A921" s="5" t="s">
        <v>1990</v>
      </c>
      <c r="B921" s="3">
        <f>1270-14+1</f>
        <v>1257</v>
      </c>
      <c r="C921" s="3">
        <v>2139</v>
      </c>
      <c r="D921" s="2" t="s">
        <v>0</v>
      </c>
      <c r="E921" s="2" t="s">
        <v>1991</v>
      </c>
      <c r="F921" s="36" t="s">
        <v>1914</v>
      </c>
    </row>
    <row r="922" spans="1:6" s="2" customFormat="1" x14ac:dyDescent="0.25">
      <c r="A922" s="5" t="s">
        <v>1992</v>
      </c>
      <c r="B922" s="3">
        <f>1770-47</f>
        <v>1723</v>
      </c>
      <c r="C922" s="3">
        <v>2222</v>
      </c>
      <c r="D922" s="2" t="s">
        <v>0</v>
      </c>
      <c r="E922" s="2" t="s">
        <v>1993</v>
      </c>
      <c r="F922" s="36" t="s">
        <v>1914</v>
      </c>
    </row>
    <row r="923" spans="1:6" s="2" customFormat="1" x14ac:dyDescent="0.25">
      <c r="A923" s="5" t="s">
        <v>3149</v>
      </c>
      <c r="B923" s="3">
        <v>4000</v>
      </c>
      <c r="C923" s="3">
        <v>2316</v>
      </c>
      <c r="D923" s="2" t="s">
        <v>5</v>
      </c>
      <c r="E923" s="2" t="s">
        <v>3150</v>
      </c>
      <c r="F923" s="36" t="s">
        <v>3151</v>
      </c>
    </row>
    <row r="924" spans="1:6" s="2" customFormat="1" x14ac:dyDescent="0.25">
      <c r="A924" s="5" t="s">
        <v>3330</v>
      </c>
      <c r="B924" s="3">
        <v>28</v>
      </c>
      <c r="C924" s="3">
        <v>2225</v>
      </c>
      <c r="D924" s="2" t="s">
        <v>3331</v>
      </c>
      <c r="E924" s="2" t="s">
        <v>3332</v>
      </c>
      <c r="F924" s="36" t="s">
        <v>3333</v>
      </c>
    </row>
    <row r="925" spans="1:6" s="2" customFormat="1" x14ac:dyDescent="0.25">
      <c r="A925" s="2" t="s">
        <v>1917</v>
      </c>
      <c r="B925" s="14">
        <f>1252-3-247-512-114-49</f>
        <v>327</v>
      </c>
      <c r="C925" s="3">
        <v>2207</v>
      </c>
      <c r="D925" s="2" t="s">
        <v>1414</v>
      </c>
      <c r="E925" s="2" t="s">
        <v>1918</v>
      </c>
      <c r="F925" s="36" t="s">
        <v>1919</v>
      </c>
    </row>
    <row r="926" spans="1:6" s="2" customFormat="1" x14ac:dyDescent="0.25">
      <c r="A926" s="2" t="s">
        <v>1917</v>
      </c>
      <c r="B926" s="14">
        <f>114-10-32-39-20</f>
        <v>13</v>
      </c>
      <c r="C926" s="3">
        <v>2206</v>
      </c>
      <c r="D926" s="2" t="s">
        <v>1414</v>
      </c>
      <c r="E926" s="2" t="s">
        <v>1918</v>
      </c>
      <c r="F926" s="36" t="s">
        <v>1919</v>
      </c>
    </row>
    <row r="927" spans="1:6" s="2" customFormat="1" x14ac:dyDescent="0.25">
      <c r="A927" s="2" t="s">
        <v>3666</v>
      </c>
      <c r="B927" s="14">
        <v>23</v>
      </c>
      <c r="C927" s="3">
        <v>2338</v>
      </c>
      <c r="D927" s="2" t="s">
        <v>0</v>
      </c>
      <c r="E927" s="2" t="s">
        <v>3667</v>
      </c>
      <c r="F927" s="36" t="s">
        <v>598</v>
      </c>
    </row>
    <row r="928" spans="1:6" s="2" customFormat="1" x14ac:dyDescent="0.25">
      <c r="A928" s="2" t="s">
        <v>1074</v>
      </c>
      <c r="B928" s="14">
        <f>12-10</f>
        <v>2</v>
      </c>
      <c r="C928" s="3" t="s">
        <v>214</v>
      </c>
      <c r="D928" s="2" t="s">
        <v>0</v>
      </c>
      <c r="E928" s="2" t="s">
        <v>1075</v>
      </c>
      <c r="F928" s="36" t="s">
        <v>598</v>
      </c>
    </row>
    <row r="929" spans="1:6" s="2" customFormat="1" x14ac:dyDescent="0.25">
      <c r="A929" s="5" t="s">
        <v>2282</v>
      </c>
      <c r="B929" s="3">
        <f>500-20-36-34-13-27</f>
        <v>370</v>
      </c>
      <c r="C929" s="3">
        <v>2233</v>
      </c>
      <c r="D929" s="2" t="s">
        <v>5</v>
      </c>
      <c r="E929" s="2" t="s">
        <v>2912</v>
      </c>
      <c r="F929" s="36" t="s">
        <v>2283</v>
      </c>
    </row>
    <row r="930" spans="1:6" s="2" customFormat="1" x14ac:dyDescent="0.25">
      <c r="A930" s="5" t="s">
        <v>2161</v>
      </c>
      <c r="B930" s="3">
        <f>3000-50-125-179-50-50</f>
        <v>2546</v>
      </c>
      <c r="C930" s="3">
        <v>2101</v>
      </c>
      <c r="D930" s="2" t="s">
        <v>0</v>
      </c>
      <c r="E930" s="2" t="s">
        <v>2913</v>
      </c>
      <c r="F930" s="36" t="s">
        <v>598</v>
      </c>
    </row>
    <row r="931" spans="1:6" s="2" customFormat="1" x14ac:dyDescent="0.25">
      <c r="A931" s="5" t="s">
        <v>459</v>
      </c>
      <c r="B931" s="3">
        <f>3495-100-7-100-500-42-16-50</f>
        <v>2680</v>
      </c>
      <c r="C931" s="3">
        <v>1802</v>
      </c>
      <c r="D931" s="2" t="s">
        <v>5</v>
      </c>
      <c r="E931" s="2" t="s">
        <v>2914</v>
      </c>
      <c r="F931" s="36" t="s">
        <v>7</v>
      </c>
    </row>
    <row r="932" spans="1:6" s="2" customFormat="1" x14ac:dyDescent="0.25">
      <c r="A932" s="5" t="s">
        <v>1910</v>
      </c>
      <c r="B932" s="3">
        <f>526-50-50-250</f>
        <v>176</v>
      </c>
      <c r="C932" s="3">
        <v>2143</v>
      </c>
      <c r="D932" s="2" t="s">
        <v>0</v>
      </c>
      <c r="E932" s="2" t="s">
        <v>2915</v>
      </c>
      <c r="F932" s="36" t="s">
        <v>598</v>
      </c>
    </row>
    <row r="933" spans="1:6" s="2" customFormat="1" x14ac:dyDescent="0.25">
      <c r="A933" s="5" t="s">
        <v>1157</v>
      </c>
      <c r="B933" s="3">
        <f>3764-80-149-69-77-113-40</f>
        <v>3236</v>
      </c>
      <c r="C933" s="3">
        <v>2110</v>
      </c>
      <c r="D933" s="2" t="s">
        <v>668</v>
      </c>
      <c r="E933" s="2" t="s">
        <v>2916</v>
      </c>
      <c r="F933" s="36" t="s">
        <v>1046</v>
      </c>
    </row>
    <row r="934" spans="1:6" s="2" customFormat="1" x14ac:dyDescent="0.25">
      <c r="A934" s="5" t="s">
        <v>912</v>
      </c>
      <c r="B934" s="6">
        <f>10-5-5</f>
        <v>0</v>
      </c>
      <c r="C934" s="3" t="s">
        <v>214</v>
      </c>
      <c r="D934" s="2" t="s">
        <v>250</v>
      </c>
      <c r="E934" s="2" t="s">
        <v>2917</v>
      </c>
      <c r="F934" s="36" t="s">
        <v>913</v>
      </c>
    </row>
    <row r="935" spans="1:6" s="2" customFormat="1" x14ac:dyDescent="0.25">
      <c r="A935" s="5" t="s">
        <v>2049</v>
      </c>
      <c r="B935" s="3">
        <f>13186-718-1066-50-128-123-77-203-50-203-50-163-50-788-768-1000-104-561-21-365-123+1</f>
        <v>6576</v>
      </c>
      <c r="C935" s="3">
        <v>2019</v>
      </c>
      <c r="D935" s="2" t="s">
        <v>0</v>
      </c>
      <c r="E935" s="2" t="s">
        <v>2917</v>
      </c>
      <c r="F935" s="36" t="s">
        <v>598</v>
      </c>
    </row>
    <row r="936" spans="1:6" s="2" customFormat="1" x14ac:dyDescent="0.25">
      <c r="A936" s="5" t="s">
        <v>1615</v>
      </c>
      <c r="B936" s="6">
        <f>450-70-3-151-170-6-50</f>
        <v>0</v>
      </c>
      <c r="C936" s="3">
        <v>2124</v>
      </c>
      <c r="D936" s="2" t="s">
        <v>668</v>
      </c>
      <c r="E936" s="2" t="s">
        <v>2918</v>
      </c>
      <c r="F936" s="36" t="s">
        <v>1046</v>
      </c>
    </row>
    <row r="937" spans="1:6" s="2" customFormat="1" x14ac:dyDescent="0.25">
      <c r="A937" s="5" t="s">
        <v>1573</v>
      </c>
      <c r="B937" s="6">
        <f>98-98</f>
        <v>0</v>
      </c>
      <c r="C937" s="3">
        <v>2135</v>
      </c>
      <c r="D937" s="2" t="s">
        <v>668</v>
      </c>
      <c r="E937" s="2" t="s">
        <v>2919</v>
      </c>
      <c r="F937" s="36" t="s">
        <v>1046</v>
      </c>
    </row>
    <row r="938" spans="1:6" s="2" customFormat="1" x14ac:dyDescent="0.25">
      <c r="A938" s="5" t="s">
        <v>1994</v>
      </c>
      <c r="B938" s="3">
        <f>1574-47-43</f>
        <v>1484</v>
      </c>
      <c r="C938" s="3">
        <v>2123</v>
      </c>
      <c r="D938" s="2" t="s">
        <v>0</v>
      </c>
      <c r="E938" s="2" t="s">
        <v>2119</v>
      </c>
      <c r="F938" s="36" t="s">
        <v>1914</v>
      </c>
    </row>
    <row r="939" spans="1:6" s="2" customFormat="1" x14ac:dyDescent="0.25">
      <c r="A939" s="5" t="s">
        <v>641</v>
      </c>
      <c r="B939" s="3">
        <f>200-10-33-50</f>
        <v>107</v>
      </c>
      <c r="C939" s="3" t="s">
        <v>214</v>
      </c>
      <c r="D939" s="2" t="s">
        <v>5</v>
      </c>
      <c r="E939" s="2" t="s">
        <v>2920</v>
      </c>
      <c r="F939" s="36" t="s">
        <v>7</v>
      </c>
    </row>
    <row r="940" spans="1:6" s="2" customFormat="1" x14ac:dyDescent="0.25">
      <c r="A940" s="5" t="s">
        <v>1149</v>
      </c>
      <c r="B940" s="3">
        <v>446</v>
      </c>
      <c r="C940" s="3" t="s">
        <v>214</v>
      </c>
      <c r="D940" s="2" t="s">
        <v>0</v>
      </c>
      <c r="E940" s="2" t="s">
        <v>2140</v>
      </c>
      <c r="F940" s="36" t="s">
        <v>598</v>
      </c>
    </row>
    <row r="941" spans="1:6" s="2" customFormat="1" x14ac:dyDescent="0.25">
      <c r="A941" s="2" t="s">
        <v>320</v>
      </c>
      <c r="B941" s="3">
        <v>12000</v>
      </c>
      <c r="C941" s="3">
        <v>1629</v>
      </c>
      <c r="D941" s="2" t="s">
        <v>13</v>
      </c>
      <c r="E941" s="2" t="s">
        <v>1998</v>
      </c>
      <c r="F941" s="36" t="s">
        <v>367</v>
      </c>
    </row>
    <row r="942" spans="1:6" s="2" customFormat="1" x14ac:dyDescent="0.25">
      <c r="A942" s="2" t="s">
        <v>1997</v>
      </c>
      <c r="B942" s="3">
        <f>1470-14</f>
        <v>1456</v>
      </c>
      <c r="C942" s="3">
        <v>2144</v>
      </c>
      <c r="D942" s="2" t="s">
        <v>0</v>
      </c>
      <c r="E942" s="2" t="s">
        <v>1998</v>
      </c>
      <c r="F942" s="36" t="s">
        <v>598</v>
      </c>
    </row>
    <row r="943" spans="1:6" s="2" customFormat="1" x14ac:dyDescent="0.25">
      <c r="A943" s="2" t="s">
        <v>2036</v>
      </c>
      <c r="B943" s="3">
        <f>1270-86</f>
        <v>1184</v>
      </c>
      <c r="C943" s="3">
        <v>2215</v>
      </c>
      <c r="D943" s="2" t="s">
        <v>5</v>
      </c>
      <c r="E943" s="2" t="s">
        <v>2058</v>
      </c>
      <c r="F943" s="36" t="s">
        <v>7</v>
      </c>
    </row>
    <row r="944" spans="1:6" s="2" customFormat="1" x14ac:dyDescent="0.25">
      <c r="A944" s="5" t="s">
        <v>2200</v>
      </c>
      <c r="B944" s="3">
        <v>500</v>
      </c>
      <c r="C944" s="3">
        <v>2127</v>
      </c>
      <c r="D944" s="2" t="s">
        <v>5</v>
      </c>
      <c r="E944" s="2" t="s">
        <v>2921</v>
      </c>
      <c r="F944" s="36" t="s">
        <v>7</v>
      </c>
    </row>
    <row r="945" spans="1:6" s="2" customFormat="1" x14ac:dyDescent="0.25">
      <c r="A945" s="2" t="s">
        <v>1999</v>
      </c>
      <c r="B945" s="3">
        <f>647-106</f>
        <v>541</v>
      </c>
      <c r="C945" s="3">
        <v>2108</v>
      </c>
      <c r="D945" s="2" t="s">
        <v>5</v>
      </c>
      <c r="E945" s="2" t="s">
        <v>2000</v>
      </c>
      <c r="F945" s="36" t="s">
        <v>7</v>
      </c>
    </row>
    <row r="946" spans="1:6" s="2" customFormat="1" x14ac:dyDescent="0.25">
      <c r="A946" s="2" t="s">
        <v>2626</v>
      </c>
      <c r="B946" s="14">
        <v>40</v>
      </c>
      <c r="C946" s="3">
        <v>2023</v>
      </c>
      <c r="D946" s="2" t="s">
        <v>2627</v>
      </c>
      <c r="E946" s="2" t="s">
        <v>2628</v>
      </c>
      <c r="F946" s="36" t="s">
        <v>2629</v>
      </c>
    </row>
    <row r="947" spans="1:6" s="2" customFormat="1" x14ac:dyDescent="0.25">
      <c r="A947" s="2" t="s">
        <v>2626</v>
      </c>
      <c r="B947" s="14">
        <v>50</v>
      </c>
      <c r="C947" s="3">
        <v>2023</v>
      </c>
      <c r="D947" s="2" t="s">
        <v>2627</v>
      </c>
      <c r="E947" s="2" t="s">
        <v>2628</v>
      </c>
      <c r="F947" s="36" t="s">
        <v>2629</v>
      </c>
    </row>
    <row r="948" spans="1:6" s="2" customFormat="1" x14ac:dyDescent="0.25">
      <c r="A948" s="2" t="s">
        <v>2001</v>
      </c>
      <c r="B948" s="3">
        <f>1370-33</f>
        <v>1337</v>
      </c>
      <c r="C948" s="3">
        <v>2132</v>
      </c>
      <c r="D948" s="2" t="s">
        <v>0</v>
      </c>
      <c r="E948" s="2" t="s">
        <v>2002</v>
      </c>
      <c r="F948" s="36" t="s">
        <v>598</v>
      </c>
    </row>
    <row r="949" spans="1:6" s="2" customFormat="1" x14ac:dyDescent="0.25">
      <c r="A949" s="2" t="s">
        <v>2003</v>
      </c>
      <c r="B949" s="3">
        <f>457-86-10-20-50</f>
        <v>291</v>
      </c>
      <c r="C949" s="3">
        <v>2135</v>
      </c>
      <c r="D949" s="2" t="s">
        <v>5</v>
      </c>
      <c r="E949" s="2" t="s">
        <v>2004</v>
      </c>
      <c r="F949" s="36" t="s">
        <v>7</v>
      </c>
    </row>
    <row r="950" spans="1:6" s="2" customFormat="1" x14ac:dyDescent="0.25">
      <c r="A950" s="2" t="s">
        <v>1905</v>
      </c>
      <c r="B950" s="3">
        <f>700-27-5</f>
        <v>668</v>
      </c>
      <c r="C950" s="3">
        <v>2142</v>
      </c>
      <c r="D950" s="2" t="s">
        <v>0</v>
      </c>
      <c r="E950" s="2" t="s">
        <v>2007</v>
      </c>
      <c r="F950" s="36" t="s">
        <v>598</v>
      </c>
    </row>
    <row r="951" spans="1:6" s="2" customFormat="1" x14ac:dyDescent="0.25">
      <c r="A951" s="2" t="s">
        <v>1905</v>
      </c>
      <c r="B951" s="3">
        <v>1670</v>
      </c>
      <c r="C951" s="3">
        <v>2144</v>
      </c>
      <c r="D951" s="2" t="s">
        <v>0</v>
      </c>
      <c r="E951" s="2" t="s">
        <v>2007</v>
      </c>
      <c r="F951" s="36" t="s">
        <v>598</v>
      </c>
    </row>
    <row r="952" spans="1:6" s="2" customFormat="1" x14ac:dyDescent="0.25">
      <c r="A952" s="2" t="s">
        <v>2005</v>
      </c>
      <c r="B952" s="3">
        <f>770-14</f>
        <v>756</v>
      </c>
      <c r="C952" s="3">
        <v>2131</v>
      </c>
      <c r="D952" s="2" t="s">
        <v>0</v>
      </c>
      <c r="E952" s="2" t="s">
        <v>2006</v>
      </c>
      <c r="F952" s="36" t="s">
        <v>598</v>
      </c>
    </row>
    <row r="953" spans="1:6" s="2" customFormat="1" x14ac:dyDescent="0.25">
      <c r="A953" s="2" t="s">
        <v>882</v>
      </c>
      <c r="B953" s="3">
        <f>1000-35</f>
        <v>965</v>
      </c>
      <c r="C953" s="3" t="s">
        <v>214</v>
      </c>
      <c r="D953" s="2" t="s">
        <v>13</v>
      </c>
      <c r="E953" s="2" t="s">
        <v>1906</v>
      </c>
      <c r="F953" s="36" t="s">
        <v>883</v>
      </c>
    </row>
    <row r="954" spans="1:6" s="2" customFormat="1" x14ac:dyDescent="0.25">
      <c r="A954" s="2" t="s">
        <v>268</v>
      </c>
      <c r="B954" s="14">
        <f>8000-5-30</f>
        <v>7965</v>
      </c>
      <c r="C954" s="3" t="s">
        <v>269</v>
      </c>
      <c r="D954" s="2" t="s">
        <v>250</v>
      </c>
      <c r="E954" s="2" t="s">
        <v>2008</v>
      </c>
      <c r="F954" s="36" t="s">
        <v>270</v>
      </c>
    </row>
    <row r="955" spans="1:6" s="2" customFormat="1" x14ac:dyDescent="0.25">
      <c r="A955" s="2" t="s">
        <v>2009</v>
      </c>
      <c r="B955" s="3">
        <f>1370-14</f>
        <v>1356</v>
      </c>
      <c r="C955" s="3">
        <v>2214</v>
      </c>
      <c r="D955" s="2" t="s">
        <v>0</v>
      </c>
      <c r="E955" s="2" t="s">
        <v>2010</v>
      </c>
      <c r="F955" s="36" t="s">
        <v>598</v>
      </c>
    </row>
    <row r="956" spans="1:6" s="2" customFormat="1" x14ac:dyDescent="0.25">
      <c r="A956" s="2" t="s">
        <v>2011</v>
      </c>
      <c r="B956" s="3">
        <f>1070-27</f>
        <v>1043</v>
      </c>
      <c r="C956" s="3">
        <v>2201</v>
      </c>
      <c r="D956" s="2" t="s">
        <v>0</v>
      </c>
      <c r="E956" s="2" t="s">
        <v>2012</v>
      </c>
      <c r="F956" s="36" t="s">
        <v>598</v>
      </c>
    </row>
    <row r="957" spans="1:6" s="2" customFormat="1" x14ac:dyDescent="0.25">
      <c r="A957" s="2" t="s">
        <v>2013</v>
      </c>
      <c r="B957" s="3">
        <v>5890</v>
      </c>
      <c r="C957" s="3">
        <v>2318</v>
      </c>
      <c r="D957" s="2" t="s">
        <v>0</v>
      </c>
      <c r="E957" s="2" t="s">
        <v>2014</v>
      </c>
      <c r="F957" s="36" t="s">
        <v>598</v>
      </c>
    </row>
    <row r="958" spans="1:6" s="2" customFormat="1" x14ac:dyDescent="0.25">
      <c r="A958" s="2" t="s">
        <v>2091</v>
      </c>
      <c r="B958" s="6">
        <f>459-57-22-240-140</f>
        <v>0</v>
      </c>
      <c r="C958" s="3">
        <v>2232</v>
      </c>
      <c r="D958" s="2" t="s">
        <v>668</v>
      </c>
      <c r="E958" s="2" t="s">
        <v>2014</v>
      </c>
      <c r="F958" s="36" t="s">
        <v>1919</v>
      </c>
    </row>
    <row r="959" spans="1:6" s="2" customFormat="1" x14ac:dyDescent="0.25">
      <c r="A959" s="2" t="s">
        <v>3214</v>
      </c>
      <c r="B959" s="3">
        <f>519-20-18-25-5-33-30-120</f>
        <v>268</v>
      </c>
      <c r="C959" s="3">
        <v>2235</v>
      </c>
      <c r="D959" s="2" t="s">
        <v>668</v>
      </c>
      <c r="E959" s="2" t="s">
        <v>3215</v>
      </c>
      <c r="F959" s="36" t="s">
        <v>1919</v>
      </c>
    </row>
    <row r="960" spans="1:6" s="2" customFormat="1" x14ac:dyDescent="0.25">
      <c r="A960" s="2" t="s">
        <v>596</v>
      </c>
      <c r="B960" s="14">
        <f>1200-500-14-30-30-14</f>
        <v>612</v>
      </c>
      <c r="C960" s="3" t="s">
        <v>214</v>
      </c>
      <c r="D960" s="2" t="s">
        <v>0</v>
      </c>
      <c r="E960" s="2" t="s">
        <v>597</v>
      </c>
      <c r="F960" s="36" t="s">
        <v>598</v>
      </c>
    </row>
    <row r="961" spans="1:6" s="2" customFormat="1" x14ac:dyDescent="0.25">
      <c r="A961" s="2" t="s">
        <v>1131</v>
      </c>
      <c r="B961" s="14">
        <f>85-30-30-20</f>
        <v>5</v>
      </c>
      <c r="C961" s="3" t="s">
        <v>214</v>
      </c>
      <c r="D961" s="2" t="s">
        <v>0</v>
      </c>
      <c r="E961" s="2" t="s">
        <v>1132</v>
      </c>
      <c r="F961" s="36" t="s">
        <v>598</v>
      </c>
    </row>
    <row r="962" spans="1:6" s="2" customFormat="1" x14ac:dyDescent="0.25">
      <c r="A962" s="2" t="s">
        <v>2015</v>
      </c>
      <c r="B962" s="3">
        <f>1270-33</f>
        <v>1237</v>
      </c>
      <c r="C962" s="3">
        <v>2202</v>
      </c>
      <c r="D962" s="2" t="s">
        <v>668</v>
      </c>
      <c r="E962" s="2" t="s">
        <v>2016</v>
      </c>
      <c r="F962" s="36" t="s">
        <v>1919</v>
      </c>
    </row>
    <row r="963" spans="1:6" s="2" customFormat="1" x14ac:dyDescent="0.25">
      <c r="A963" s="2" t="s">
        <v>2023</v>
      </c>
      <c r="B963" s="3">
        <f>257-86</f>
        <v>171</v>
      </c>
      <c r="C963" s="3">
        <v>2105</v>
      </c>
      <c r="D963" s="2" t="s">
        <v>5</v>
      </c>
      <c r="E963" s="2" t="s">
        <v>2045</v>
      </c>
      <c r="F963" s="36" t="s">
        <v>7</v>
      </c>
    </row>
    <row r="964" spans="1:6" s="2" customFormat="1" x14ac:dyDescent="0.25">
      <c r="A964" s="2" t="s">
        <v>529</v>
      </c>
      <c r="B964" s="14">
        <v>50</v>
      </c>
      <c r="C964" s="3" t="s">
        <v>214</v>
      </c>
      <c r="D964" s="2" t="s">
        <v>5</v>
      </c>
      <c r="E964" s="2" t="s">
        <v>2922</v>
      </c>
      <c r="F964" s="36" t="s">
        <v>7</v>
      </c>
    </row>
    <row r="965" spans="1:6" s="2" customFormat="1" x14ac:dyDescent="0.25">
      <c r="A965" s="2" t="s">
        <v>2028</v>
      </c>
      <c r="B965" s="14">
        <f>969-20</f>
        <v>949</v>
      </c>
      <c r="C965" s="3">
        <v>2015</v>
      </c>
      <c r="D965" s="2" t="s">
        <v>0</v>
      </c>
      <c r="E965" s="2" t="s">
        <v>2040</v>
      </c>
      <c r="F965" s="36" t="s">
        <v>598</v>
      </c>
    </row>
    <row r="966" spans="1:6" s="2" customFormat="1" x14ac:dyDescent="0.25">
      <c r="A966" s="2" t="s">
        <v>2029</v>
      </c>
      <c r="B966" s="3">
        <f>1270-20</f>
        <v>1250</v>
      </c>
      <c r="C966" s="3">
        <v>2044</v>
      </c>
      <c r="D966" s="2" t="s">
        <v>0</v>
      </c>
      <c r="E966" s="2" t="s">
        <v>2038</v>
      </c>
      <c r="F966" s="36" t="s">
        <v>598</v>
      </c>
    </row>
    <row r="967" spans="1:6" s="2" customFormat="1" x14ac:dyDescent="0.25">
      <c r="A967" s="2" t="s">
        <v>2017</v>
      </c>
      <c r="B967" s="3">
        <f>1370-33</f>
        <v>1337</v>
      </c>
      <c r="C967" s="3">
        <v>2133</v>
      </c>
      <c r="D967" s="2" t="s">
        <v>0</v>
      </c>
      <c r="E967" s="2" t="s">
        <v>2018</v>
      </c>
      <c r="F967" s="36" t="s">
        <v>598</v>
      </c>
    </row>
    <row r="968" spans="1:6" s="2" customFormat="1" x14ac:dyDescent="0.25">
      <c r="A968" s="2" t="s">
        <v>2019</v>
      </c>
      <c r="B968" s="3">
        <f>1473-33-3-2-4-4</f>
        <v>1427</v>
      </c>
      <c r="C968" s="3">
        <v>2214</v>
      </c>
      <c r="D968" s="2" t="s">
        <v>0</v>
      </c>
      <c r="E968" s="2" t="s">
        <v>2020</v>
      </c>
      <c r="F968" s="36" t="s">
        <v>598</v>
      </c>
    </row>
    <row r="969" spans="1:6" s="2" customFormat="1" x14ac:dyDescent="0.25">
      <c r="A969" s="2" t="s">
        <v>2713</v>
      </c>
      <c r="B969" s="3">
        <f>154-3-70-56-14</f>
        <v>11</v>
      </c>
      <c r="C969" s="3">
        <v>2216</v>
      </c>
      <c r="D969" s="2" t="s">
        <v>0</v>
      </c>
      <c r="E969" s="2" t="s">
        <v>2714</v>
      </c>
      <c r="F969" s="36" t="s">
        <v>598</v>
      </c>
    </row>
    <row r="970" spans="1:6" s="2" customFormat="1" x14ac:dyDescent="0.25">
      <c r="A970" s="2" t="s">
        <v>1911</v>
      </c>
      <c r="B970" s="14">
        <v>292</v>
      </c>
      <c r="C970" s="3">
        <v>2147</v>
      </c>
      <c r="D970" s="2" t="s">
        <v>0</v>
      </c>
      <c r="E970" s="2" t="s">
        <v>1912</v>
      </c>
      <c r="F970" s="36" t="s">
        <v>598</v>
      </c>
    </row>
    <row r="971" spans="1:6" s="2" customFormat="1" x14ac:dyDescent="0.25">
      <c r="A971" s="2" t="s">
        <v>2354</v>
      </c>
      <c r="B971" s="14">
        <v>160</v>
      </c>
      <c r="C971" s="3">
        <v>2136</v>
      </c>
      <c r="D971" s="2" t="s">
        <v>0</v>
      </c>
      <c r="E971" s="2" t="s">
        <v>2355</v>
      </c>
      <c r="F971" s="36" t="s">
        <v>598</v>
      </c>
    </row>
    <row r="972" spans="1:6" s="2" customFormat="1" x14ac:dyDescent="0.25">
      <c r="A972" s="2" t="s">
        <v>1133</v>
      </c>
      <c r="B972" s="14">
        <v>1193</v>
      </c>
      <c r="C972" s="3">
        <v>2126</v>
      </c>
      <c r="D972" s="2" t="s">
        <v>0</v>
      </c>
      <c r="E972" s="2" t="s">
        <v>2039</v>
      </c>
      <c r="F972" s="36" t="s">
        <v>598</v>
      </c>
    </row>
    <row r="973" spans="1:6" s="2" customFormat="1" x14ac:dyDescent="0.25">
      <c r="A973" s="2" t="s">
        <v>2024</v>
      </c>
      <c r="B973" s="14">
        <f>1470-40</f>
        <v>1430</v>
      </c>
      <c r="C973" s="3">
        <v>2135</v>
      </c>
      <c r="D973" s="2" t="s">
        <v>0</v>
      </c>
      <c r="E973" s="2" t="s">
        <v>2027</v>
      </c>
      <c r="F973" s="36" t="s">
        <v>598</v>
      </c>
    </row>
    <row r="974" spans="1:6" s="2" customFormat="1" x14ac:dyDescent="0.25">
      <c r="A974" s="2" t="s">
        <v>2802</v>
      </c>
      <c r="B974" s="15">
        <f>2-2</f>
        <v>0</v>
      </c>
      <c r="C974" s="3">
        <v>2143</v>
      </c>
      <c r="D974" s="2" t="s">
        <v>5</v>
      </c>
      <c r="E974" s="2" t="s">
        <v>2803</v>
      </c>
      <c r="F974" s="36" t="s">
        <v>2804</v>
      </c>
    </row>
    <row r="975" spans="1:6" s="2" customFormat="1" x14ac:dyDescent="0.25">
      <c r="A975" s="2" t="s">
        <v>2025</v>
      </c>
      <c r="B975" s="14">
        <f>1469-40</f>
        <v>1429</v>
      </c>
      <c r="C975" s="3">
        <v>2052</v>
      </c>
      <c r="D975" s="2" t="s">
        <v>0</v>
      </c>
      <c r="E975" s="2" t="s">
        <v>2026</v>
      </c>
      <c r="F975" s="36" t="s">
        <v>598</v>
      </c>
    </row>
    <row r="976" spans="1:6" s="2" customFormat="1" x14ac:dyDescent="0.25">
      <c r="A976" s="2" t="s">
        <v>2030</v>
      </c>
      <c r="B976" s="14">
        <f>1270-27</f>
        <v>1243</v>
      </c>
      <c r="C976" s="3">
        <v>2216</v>
      </c>
      <c r="D976" s="2" t="s">
        <v>0</v>
      </c>
      <c r="E976" s="2" t="s">
        <v>2037</v>
      </c>
      <c r="F976" s="36" t="s">
        <v>598</v>
      </c>
    </row>
    <row r="977" spans="1:6" s="2" customFormat="1" x14ac:dyDescent="0.25">
      <c r="A977" s="2" t="s">
        <v>2031</v>
      </c>
      <c r="B977" s="14">
        <f>1370-27</f>
        <v>1343</v>
      </c>
      <c r="C977" s="3">
        <v>2217</v>
      </c>
      <c r="D977" s="2" t="s">
        <v>0</v>
      </c>
      <c r="E977" s="2" t="s">
        <v>2041</v>
      </c>
      <c r="F977" s="36" t="s">
        <v>598</v>
      </c>
    </row>
    <row r="978" spans="1:6" s="2" customFormat="1" x14ac:dyDescent="0.25">
      <c r="A978" s="2" t="s">
        <v>1907</v>
      </c>
      <c r="B978" s="14">
        <f>352-10</f>
        <v>342</v>
      </c>
      <c r="C978" s="3">
        <v>2217</v>
      </c>
      <c r="D978" s="2" t="s">
        <v>0</v>
      </c>
      <c r="E978" s="2" t="s">
        <v>1908</v>
      </c>
      <c r="F978" s="36" t="s">
        <v>598</v>
      </c>
    </row>
    <row r="979" spans="1:6" s="2" customFormat="1" x14ac:dyDescent="0.25">
      <c r="A979" s="2" t="s">
        <v>1129</v>
      </c>
      <c r="B979" s="14">
        <v>70</v>
      </c>
      <c r="C979" s="3" t="s">
        <v>214</v>
      </c>
      <c r="D979" s="2" t="s">
        <v>0</v>
      </c>
      <c r="E979" s="2" t="s">
        <v>1130</v>
      </c>
      <c r="F979" s="36" t="s">
        <v>598</v>
      </c>
    </row>
    <row r="980" spans="1:6" s="2" customFormat="1" x14ac:dyDescent="0.25">
      <c r="A980" s="2" t="s">
        <v>1083</v>
      </c>
      <c r="B980" s="14">
        <v>2</v>
      </c>
      <c r="C980" s="3" t="s">
        <v>214</v>
      </c>
      <c r="D980" s="2" t="s">
        <v>5</v>
      </c>
      <c r="E980" s="2" t="s">
        <v>1084</v>
      </c>
      <c r="F980" s="36" t="s">
        <v>7</v>
      </c>
    </row>
    <row r="981" spans="1:6" s="2" customFormat="1" x14ac:dyDescent="0.25">
      <c r="A981" s="2" t="s">
        <v>2845</v>
      </c>
      <c r="B981" s="14">
        <v>293</v>
      </c>
      <c r="C981" s="3">
        <v>2147</v>
      </c>
      <c r="D981" s="2" t="s">
        <v>0</v>
      </c>
      <c r="E981" s="2" t="s">
        <v>2924</v>
      </c>
      <c r="F981" s="36" t="s">
        <v>598</v>
      </c>
    </row>
    <row r="982" spans="1:6" s="2" customFormat="1" x14ac:dyDescent="0.25">
      <c r="A982" s="2" t="s">
        <v>1913</v>
      </c>
      <c r="B982" s="14">
        <f>822</f>
        <v>822</v>
      </c>
      <c r="C982" s="3">
        <v>2231</v>
      </c>
      <c r="D982" s="2" t="s">
        <v>0</v>
      </c>
      <c r="E982" s="2" t="s">
        <v>2923</v>
      </c>
      <c r="F982" s="36" t="s">
        <v>598</v>
      </c>
    </row>
    <row r="983" spans="1:6" s="2" customFormat="1" x14ac:dyDescent="0.25">
      <c r="A983" s="2" t="s">
        <v>53</v>
      </c>
      <c r="B983" s="6">
        <f>200-60-50-25-25-10-30</f>
        <v>0</v>
      </c>
      <c r="C983" s="3" t="s">
        <v>27</v>
      </c>
      <c r="D983" s="2" t="s">
        <v>5</v>
      </c>
      <c r="E983" s="2" t="s">
        <v>2925</v>
      </c>
      <c r="F983" s="36" t="s">
        <v>7</v>
      </c>
    </row>
    <row r="984" spans="1:6" s="2" customFormat="1" x14ac:dyDescent="0.25">
      <c r="A984" s="2" t="s">
        <v>2204</v>
      </c>
      <c r="B984" s="3">
        <f>420-18-91-50-11-50</f>
        <v>200</v>
      </c>
      <c r="C984" s="3">
        <v>2135</v>
      </c>
      <c r="D984" s="2" t="s">
        <v>668</v>
      </c>
      <c r="E984" s="2" t="s">
        <v>2926</v>
      </c>
      <c r="F984" s="36" t="s">
        <v>1919</v>
      </c>
    </row>
    <row r="985" spans="1:6" s="2" customFormat="1" x14ac:dyDescent="0.25">
      <c r="A985" s="2" t="s">
        <v>2204</v>
      </c>
      <c r="B985" s="3">
        <v>333</v>
      </c>
      <c r="C985" s="3">
        <v>2235</v>
      </c>
      <c r="D985" s="2" t="s">
        <v>668</v>
      </c>
      <c r="E985" s="2" t="s">
        <v>2926</v>
      </c>
      <c r="F985" s="36" t="s">
        <v>1919</v>
      </c>
    </row>
    <row r="986" spans="1:6" s="2" customFormat="1" x14ac:dyDescent="0.25">
      <c r="A986" s="2" t="s">
        <v>3243</v>
      </c>
      <c r="B986" s="3">
        <f>50-10</f>
        <v>40</v>
      </c>
      <c r="C986" s="3">
        <v>2306</v>
      </c>
      <c r="D986" s="2" t="s">
        <v>2573</v>
      </c>
      <c r="E986" s="2" t="s">
        <v>3244</v>
      </c>
      <c r="F986" s="36" t="s">
        <v>3245</v>
      </c>
    </row>
    <row r="987" spans="1:6" s="2" customFormat="1" x14ac:dyDescent="0.25">
      <c r="A987" s="2" t="s">
        <v>152</v>
      </c>
      <c r="B987" s="3">
        <v>2378</v>
      </c>
      <c r="C987" s="3" t="s">
        <v>153</v>
      </c>
      <c r="D987" s="2" t="s">
        <v>154</v>
      </c>
      <c r="E987" s="2" t="s">
        <v>2927</v>
      </c>
      <c r="F987" s="36" t="s">
        <v>155</v>
      </c>
    </row>
    <row r="988" spans="1:6" s="2" customFormat="1" x14ac:dyDescent="0.25">
      <c r="A988" s="2" t="s">
        <v>566</v>
      </c>
      <c r="B988" s="3">
        <f>1000-100-36-100-5-50-100-14-3</f>
        <v>592</v>
      </c>
      <c r="C988" s="3">
        <v>2135</v>
      </c>
      <c r="D988" s="2" t="s">
        <v>5</v>
      </c>
      <c r="E988" s="2" t="s">
        <v>2928</v>
      </c>
      <c r="F988" s="36" t="s">
        <v>7</v>
      </c>
    </row>
    <row r="989" spans="1:6" s="2" customFormat="1" x14ac:dyDescent="0.25">
      <c r="A989" s="2" t="s">
        <v>2551</v>
      </c>
      <c r="B989" s="3">
        <v>550</v>
      </c>
      <c r="C989" s="3">
        <v>2138</v>
      </c>
      <c r="D989" s="2" t="s">
        <v>2552</v>
      </c>
      <c r="E989" s="2" t="s">
        <v>2928</v>
      </c>
      <c r="F989" s="36" t="s">
        <v>2553</v>
      </c>
    </row>
    <row r="990" spans="1:6" s="2" customFormat="1" x14ac:dyDescent="0.25">
      <c r="A990" s="2" t="s">
        <v>3342</v>
      </c>
      <c r="B990" s="14">
        <f>209-8-12-11</f>
        <v>178</v>
      </c>
      <c r="C990" s="3">
        <v>2312</v>
      </c>
      <c r="D990" s="2" t="s">
        <v>668</v>
      </c>
      <c r="E990" s="2" t="s">
        <v>3343</v>
      </c>
      <c r="F990" s="36" t="s">
        <v>3344</v>
      </c>
    </row>
    <row r="991" spans="1:6" s="2" customFormat="1" x14ac:dyDescent="0.25">
      <c r="A991" s="2" t="s">
        <v>1134</v>
      </c>
      <c r="B991" s="3">
        <v>42</v>
      </c>
      <c r="C991" s="3">
        <v>2113</v>
      </c>
      <c r="D991" s="2" t="s">
        <v>668</v>
      </c>
      <c r="E991" s="2" t="s">
        <v>1135</v>
      </c>
      <c r="F991" s="36" t="s">
        <v>1046</v>
      </c>
    </row>
    <row r="992" spans="1:6" s="2" customFormat="1" x14ac:dyDescent="0.25">
      <c r="A992" s="2" t="s">
        <v>2033</v>
      </c>
      <c r="B992" s="3">
        <f>1270-27</f>
        <v>1243</v>
      </c>
      <c r="C992" s="3">
        <v>2134</v>
      </c>
      <c r="D992" s="2" t="s">
        <v>0</v>
      </c>
      <c r="E992" s="2" t="s">
        <v>2043</v>
      </c>
      <c r="F992" s="36" t="s">
        <v>1891</v>
      </c>
    </row>
    <row r="993" spans="1:6" s="2" customFormat="1" x14ac:dyDescent="0.25">
      <c r="A993" s="2" t="s">
        <v>1953</v>
      </c>
      <c r="B993" s="3">
        <v>30</v>
      </c>
      <c r="C993" s="3">
        <v>2145</v>
      </c>
      <c r="D993" s="2" t="s">
        <v>0</v>
      </c>
      <c r="E993" s="2" t="s">
        <v>1954</v>
      </c>
      <c r="F993" s="36" t="s">
        <v>1891</v>
      </c>
    </row>
    <row r="994" spans="1:6" s="2" customFormat="1" x14ac:dyDescent="0.25">
      <c r="A994" s="2" t="s">
        <v>1889</v>
      </c>
      <c r="B994" s="3">
        <v>592</v>
      </c>
      <c r="C994" s="3">
        <v>2304</v>
      </c>
      <c r="D994" s="2" t="s">
        <v>0</v>
      </c>
      <c r="E994" s="2" t="s">
        <v>1890</v>
      </c>
      <c r="F994" s="36" t="s">
        <v>1891</v>
      </c>
    </row>
    <row r="995" spans="1:6" s="2" customFormat="1" x14ac:dyDescent="0.25">
      <c r="A995" s="2" t="s">
        <v>2021</v>
      </c>
      <c r="B995" s="3">
        <f>1170-30-14</f>
        <v>1126</v>
      </c>
      <c r="C995" s="3">
        <v>2210</v>
      </c>
      <c r="D995" s="2" t="s">
        <v>0</v>
      </c>
      <c r="E995" s="2" t="s">
        <v>2022</v>
      </c>
      <c r="F995" s="36" t="s">
        <v>1891</v>
      </c>
    </row>
    <row r="996" spans="1:6" s="2" customFormat="1" x14ac:dyDescent="0.25">
      <c r="A996" s="2" t="s">
        <v>2032</v>
      </c>
      <c r="B996" s="3">
        <f>370-14</f>
        <v>356</v>
      </c>
      <c r="C996" s="3">
        <v>2218</v>
      </c>
      <c r="D996" s="2" t="s">
        <v>0</v>
      </c>
      <c r="E996" s="2" t="s">
        <v>2042</v>
      </c>
      <c r="F996" s="36" t="s">
        <v>1939</v>
      </c>
    </row>
    <row r="997" spans="1:6" s="2" customFormat="1" x14ac:dyDescent="0.25">
      <c r="A997" s="2" t="s">
        <v>2093</v>
      </c>
      <c r="B997" s="6">
        <f>1200-500-700</f>
        <v>0</v>
      </c>
      <c r="C997" s="3">
        <v>2202</v>
      </c>
      <c r="D997" s="2" t="s">
        <v>0</v>
      </c>
      <c r="E997" s="2" t="s">
        <v>2092</v>
      </c>
      <c r="F997" s="36" t="s">
        <v>1891</v>
      </c>
    </row>
    <row r="998" spans="1:6" s="2" customFormat="1" x14ac:dyDescent="0.25">
      <c r="A998" s="2" t="s">
        <v>2070</v>
      </c>
      <c r="B998" s="3">
        <v>7</v>
      </c>
      <c r="C998" s="3">
        <v>2145</v>
      </c>
      <c r="D998" s="2" t="s">
        <v>0</v>
      </c>
      <c r="E998" s="2" t="s">
        <v>2071</v>
      </c>
      <c r="F998" s="36" t="s">
        <v>1939</v>
      </c>
    </row>
    <row r="999" spans="1:6" s="2" customFormat="1" x14ac:dyDescent="0.25">
      <c r="A999" s="2" t="s">
        <v>2070</v>
      </c>
      <c r="B999" s="3">
        <v>2500</v>
      </c>
      <c r="C999" s="3">
        <v>2128</v>
      </c>
      <c r="D999" s="2" t="s">
        <v>0</v>
      </c>
      <c r="E999" s="2" t="s">
        <v>2071</v>
      </c>
      <c r="F999" s="36" t="s">
        <v>1939</v>
      </c>
    </row>
    <row r="1000" spans="1:6" s="2" customFormat="1" x14ac:dyDescent="0.25">
      <c r="A1000" s="2" t="s">
        <v>1937</v>
      </c>
      <c r="B1000" s="6">
        <f>204-204</f>
        <v>0</v>
      </c>
      <c r="C1000" s="3">
        <v>2151</v>
      </c>
      <c r="D1000" s="2" t="s">
        <v>5</v>
      </c>
      <c r="E1000" s="2" t="s">
        <v>1938</v>
      </c>
      <c r="F1000" s="36" t="s">
        <v>1939</v>
      </c>
    </row>
    <row r="1001" spans="1:6" s="2" customFormat="1" x14ac:dyDescent="0.25">
      <c r="A1001" s="2" t="s">
        <v>2145</v>
      </c>
      <c r="B1001" s="3">
        <v>714</v>
      </c>
      <c r="C1001" s="3">
        <v>2145</v>
      </c>
      <c r="D1001" s="2" t="s">
        <v>0</v>
      </c>
      <c r="E1001" s="2" t="s">
        <v>2146</v>
      </c>
      <c r="F1001" s="36" t="s">
        <v>1891</v>
      </c>
    </row>
    <row r="1002" spans="1:6" s="2" customFormat="1" x14ac:dyDescent="0.25">
      <c r="A1002" s="2" t="s">
        <v>2034</v>
      </c>
      <c r="B1002" s="3">
        <f>470-14-22</f>
        <v>434</v>
      </c>
      <c r="C1002" s="3">
        <v>2148</v>
      </c>
      <c r="D1002" s="2" t="s">
        <v>0</v>
      </c>
      <c r="E1002" s="2" t="s">
        <v>2044</v>
      </c>
      <c r="F1002" s="36" t="s">
        <v>1891</v>
      </c>
    </row>
    <row r="1003" spans="1:6" s="2" customFormat="1" x14ac:dyDescent="0.25">
      <c r="A1003" s="2" t="s">
        <v>1909</v>
      </c>
      <c r="B1003" s="3">
        <v>996</v>
      </c>
      <c r="C1003" s="3">
        <v>2151</v>
      </c>
      <c r="D1003" s="2" t="s">
        <v>0</v>
      </c>
      <c r="E1003" s="2" t="s">
        <v>2120</v>
      </c>
      <c r="F1003" s="36" t="s">
        <v>1891</v>
      </c>
    </row>
    <row r="1004" spans="1:6" s="2" customFormat="1" x14ac:dyDescent="0.25">
      <c r="A1004" s="2" t="s">
        <v>3756</v>
      </c>
      <c r="B1004" s="3">
        <v>4</v>
      </c>
      <c r="C1004" s="3">
        <v>1819</v>
      </c>
      <c r="D1004" s="7" t="s">
        <v>918</v>
      </c>
      <c r="E1004" s="2" t="s">
        <v>3757</v>
      </c>
      <c r="F1004" s="36" t="s">
        <v>3121</v>
      </c>
    </row>
    <row r="1005" spans="1:6" s="2" customFormat="1" x14ac:dyDescent="0.25">
      <c r="A1005" s="2" t="s">
        <v>3119</v>
      </c>
      <c r="B1005" s="3">
        <v>5</v>
      </c>
      <c r="C1005" s="3">
        <v>1830</v>
      </c>
      <c r="D1005" s="7" t="s">
        <v>918</v>
      </c>
      <c r="E1005" s="2" t="s">
        <v>3120</v>
      </c>
      <c r="F1005" s="36" t="s">
        <v>3121</v>
      </c>
    </row>
    <row r="1006" spans="1:6" s="2" customFormat="1" x14ac:dyDescent="0.25">
      <c r="A1006" s="2" t="s">
        <v>3095</v>
      </c>
      <c r="B1006" s="3">
        <v>601</v>
      </c>
      <c r="C1006" s="3">
        <v>2220</v>
      </c>
      <c r="D1006" s="2" t="s">
        <v>5</v>
      </c>
      <c r="E1006" s="2" t="s">
        <v>3096</v>
      </c>
      <c r="F1006" s="36" t="s">
        <v>3097</v>
      </c>
    </row>
    <row r="1007" spans="1:6" s="2" customFormat="1" x14ac:dyDescent="0.25">
      <c r="A1007" s="2" t="s">
        <v>3095</v>
      </c>
      <c r="B1007" s="3">
        <v>302</v>
      </c>
      <c r="C1007" s="3">
        <v>2220</v>
      </c>
      <c r="D1007" s="2" t="s">
        <v>5</v>
      </c>
      <c r="E1007" s="2" t="s">
        <v>3096</v>
      </c>
      <c r="F1007" s="36" t="s">
        <v>3097</v>
      </c>
    </row>
    <row r="1008" spans="1:6" s="2" customFormat="1" x14ac:dyDescent="0.25">
      <c r="A1008" s="2" t="s">
        <v>1262</v>
      </c>
      <c r="B1008" s="6">
        <f>10-10</f>
        <v>0</v>
      </c>
      <c r="C1008" s="3">
        <v>2013</v>
      </c>
      <c r="D1008" s="2" t="s">
        <v>5</v>
      </c>
      <c r="E1008" s="2" t="s">
        <v>1263</v>
      </c>
      <c r="F1008" s="36" t="s">
        <v>7</v>
      </c>
    </row>
    <row r="1009" spans="1:6" s="2" customFormat="1" x14ac:dyDescent="0.25">
      <c r="A1009" s="2" t="s">
        <v>54</v>
      </c>
      <c r="B1009" s="3">
        <v>1000</v>
      </c>
      <c r="C1009" s="3" t="s">
        <v>27</v>
      </c>
      <c r="D1009" s="2" t="s">
        <v>5</v>
      </c>
      <c r="E1009" s="2" t="s">
        <v>2929</v>
      </c>
      <c r="F1009" s="36" t="s">
        <v>7</v>
      </c>
    </row>
    <row r="1010" spans="1:6" s="2" customFormat="1" x14ac:dyDescent="0.25">
      <c r="A1010" s="2" t="s">
        <v>3106</v>
      </c>
      <c r="B1010" s="6">
        <f>50-5-45</f>
        <v>0</v>
      </c>
      <c r="C1010" s="3">
        <v>2217</v>
      </c>
      <c r="D1010" s="2" t="s">
        <v>668</v>
      </c>
      <c r="E1010" s="2" t="s">
        <v>3107</v>
      </c>
      <c r="F1010" s="36" t="s">
        <v>3108</v>
      </c>
    </row>
    <row r="1011" spans="1:6" s="2" customFormat="1" x14ac:dyDescent="0.25">
      <c r="A1011" s="2" t="s">
        <v>512</v>
      </c>
      <c r="B1011" s="6">
        <f>78-10-68</f>
        <v>0</v>
      </c>
      <c r="C1011" s="3" t="s">
        <v>214</v>
      </c>
      <c r="D1011" s="2" t="s">
        <v>5</v>
      </c>
      <c r="E1011" s="2" t="s">
        <v>2930</v>
      </c>
      <c r="F1011" s="36" t="s">
        <v>513</v>
      </c>
    </row>
    <row r="1012" spans="1:6" s="2" customFormat="1" x14ac:dyDescent="0.25">
      <c r="A1012" s="2" t="s">
        <v>3079</v>
      </c>
      <c r="B1012" s="25">
        <v>112</v>
      </c>
      <c r="C1012" s="3">
        <v>2149</v>
      </c>
      <c r="D1012" s="2" t="s">
        <v>2992</v>
      </c>
      <c r="E1012" s="2" t="s">
        <v>2993</v>
      </c>
      <c r="F1012" s="36" t="s">
        <v>2994</v>
      </c>
    </row>
    <row r="1013" spans="1:6" s="2" customFormat="1" x14ac:dyDescent="0.25">
      <c r="A1013" s="2" t="s">
        <v>3079</v>
      </c>
      <c r="B1013" s="25">
        <v>112</v>
      </c>
      <c r="C1013" s="3">
        <v>2149</v>
      </c>
      <c r="D1013" s="2" t="s">
        <v>2992</v>
      </c>
      <c r="E1013" s="2" t="s">
        <v>2993</v>
      </c>
      <c r="F1013" s="36" t="s">
        <v>2994</v>
      </c>
    </row>
    <row r="1014" spans="1:6" s="2" customFormat="1" x14ac:dyDescent="0.25">
      <c r="A1014" s="2" t="s">
        <v>3570</v>
      </c>
      <c r="B1014" s="3">
        <v>17</v>
      </c>
      <c r="C1014" s="3">
        <v>2313</v>
      </c>
      <c r="D1014" s="2" t="s">
        <v>0</v>
      </c>
      <c r="E1014" s="2" t="s">
        <v>3571</v>
      </c>
      <c r="F1014" s="36"/>
    </row>
    <row r="1015" spans="1:6" s="2" customFormat="1" x14ac:dyDescent="0.25">
      <c r="A1015" s="2" t="s">
        <v>1770</v>
      </c>
      <c r="B1015" s="6">
        <f>143-48-95</f>
        <v>0</v>
      </c>
      <c r="C1015" s="3">
        <v>2128</v>
      </c>
      <c r="D1015" s="2" t="s">
        <v>1414</v>
      </c>
      <c r="E1015" s="2" t="s">
        <v>2931</v>
      </c>
      <c r="F1015" s="36" t="s">
        <v>1771</v>
      </c>
    </row>
    <row r="1016" spans="1:6" s="2" customFormat="1" x14ac:dyDescent="0.25">
      <c r="A1016" s="2" t="s">
        <v>1915</v>
      </c>
      <c r="B1016" s="3">
        <v>1492</v>
      </c>
      <c r="C1016" s="3">
        <v>2212</v>
      </c>
      <c r="D1016" s="2" t="s">
        <v>0</v>
      </c>
      <c r="E1016" s="18" t="s">
        <v>2932</v>
      </c>
      <c r="F1016" s="36" t="s">
        <v>1914</v>
      </c>
    </row>
    <row r="1017" spans="1:6" s="2" customFormat="1" x14ac:dyDescent="0.25">
      <c r="A1017" s="2" t="s">
        <v>1682</v>
      </c>
      <c r="B1017" s="3">
        <v>300</v>
      </c>
      <c r="C1017" s="3">
        <v>2128</v>
      </c>
      <c r="D1017" s="2" t="s">
        <v>0</v>
      </c>
      <c r="E1017" s="18" t="s">
        <v>1683</v>
      </c>
      <c r="F1017" s="36" t="s">
        <v>1914</v>
      </c>
    </row>
    <row r="1018" spans="1:6" s="2" customFormat="1" x14ac:dyDescent="0.25">
      <c r="A1018" s="2" t="s">
        <v>1682</v>
      </c>
      <c r="B1018" s="3">
        <v>496</v>
      </c>
      <c r="C1018" s="3">
        <v>2150</v>
      </c>
      <c r="D1018" s="2" t="s">
        <v>0</v>
      </c>
      <c r="E1018" s="18" t="s">
        <v>1683</v>
      </c>
      <c r="F1018" s="36" t="s">
        <v>1914</v>
      </c>
    </row>
    <row r="1019" spans="1:6" s="2" customFormat="1" x14ac:dyDescent="0.25">
      <c r="A1019" s="2" t="s">
        <v>806</v>
      </c>
      <c r="B1019" s="6">
        <v>0</v>
      </c>
      <c r="C1019" s="3" t="s">
        <v>214</v>
      </c>
      <c r="D1019" s="2" t="s">
        <v>5</v>
      </c>
      <c r="E1019" s="2" t="s">
        <v>807</v>
      </c>
      <c r="F1019" s="36" t="s">
        <v>808</v>
      </c>
    </row>
    <row r="1020" spans="1:6" s="2" customFormat="1" x14ac:dyDescent="0.25">
      <c r="A1020" s="2" t="s">
        <v>365</v>
      </c>
      <c r="B1020" s="3">
        <v>1</v>
      </c>
      <c r="C1020" s="3" t="s">
        <v>27</v>
      </c>
      <c r="D1020" s="2" t="s">
        <v>366</v>
      </c>
      <c r="E1020" s="2" t="s">
        <v>2933</v>
      </c>
      <c r="F1020" s="36" t="s">
        <v>368</v>
      </c>
    </row>
    <row r="1021" spans="1:6" s="2" customFormat="1" x14ac:dyDescent="0.25">
      <c r="A1021" s="2" t="s">
        <v>2848</v>
      </c>
      <c r="B1021" s="3">
        <v>39</v>
      </c>
      <c r="C1021" s="3">
        <v>2227</v>
      </c>
      <c r="D1021" s="2" t="s">
        <v>1414</v>
      </c>
      <c r="E1021" s="2" t="s">
        <v>2934</v>
      </c>
      <c r="F1021" s="36" t="s">
        <v>2849</v>
      </c>
    </row>
    <row r="1022" spans="1:6" s="2" customFormat="1" x14ac:dyDescent="0.25">
      <c r="A1022" s="18" t="s">
        <v>1409</v>
      </c>
      <c r="B1022" s="19">
        <v>5</v>
      </c>
      <c r="C1022" s="19">
        <v>2032</v>
      </c>
      <c r="D1022" s="18" t="s">
        <v>1410</v>
      </c>
      <c r="E1022" s="18" t="s">
        <v>1411</v>
      </c>
      <c r="F1022" s="36" t="s">
        <v>1412</v>
      </c>
    </row>
    <row r="1023" spans="1:6" s="2" customFormat="1" x14ac:dyDescent="0.25">
      <c r="A1023" s="18" t="s">
        <v>2697</v>
      </c>
      <c r="B1023" s="19">
        <v>2500</v>
      </c>
      <c r="C1023" s="19">
        <v>2212</v>
      </c>
      <c r="D1023" s="18" t="s">
        <v>1563</v>
      </c>
      <c r="E1023" s="2" t="s">
        <v>2935</v>
      </c>
      <c r="F1023" s="36" t="s">
        <v>1564</v>
      </c>
    </row>
    <row r="1024" spans="1:6" s="2" customFormat="1" x14ac:dyDescent="0.25">
      <c r="A1024" s="2" t="s">
        <v>1400</v>
      </c>
      <c r="B1024" s="3">
        <v>7</v>
      </c>
      <c r="C1024" s="3">
        <v>2051</v>
      </c>
      <c r="D1024" s="2" t="s">
        <v>1401</v>
      </c>
      <c r="E1024" s="2" t="s">
        <v>2936</v>
      </c>
      <c r="F1024" s="36"/>
    </row>
    <row r="1025" spans="1:6" s="2" customFormat="1" ht="30" x14ac:dyDescent="0.25">
      <c r="A1025" s="2" t="s">
        <v>1898</v>
      </c>
      <c r="B1025" s="3">
        <f>3000-25-739-50-2</f>
        <v>2184</v>
      </c>
      <c r="C1025" s="3">
        <v>2144</v>
      </c>
      <c r="D1025" s="2" t="s">
        <v>5</v>
      </c>
      <c r="E1025" s="5" t="s">
        <v>2937</v>
      </c>
      <c r="F1025" s="36" t="s">
        <v>625</v>
      </c>
    </row>
    <row r="1026" spans="1:6" s="2" customFormat="1" x14ac:dyDescent="0.25">
      <c r="A1026" s="2" t="s">
        <v>1897</v>
      </c>
      <c r="B1026" s="3">
        <f>10000-2550-50+1-61-115-3717-46-10-28</f>
        <v>3424</v>
      </c>
      <c r="C1026" s="3">
        <v>2213</v>
      </c>
      <c r="D1026" s="2" t="s">
        <v>1414</v>
      </c>
      <c r="E1026" s="2" t="s">
        <v>2937</v>
      </c>
      <c r="F1026" s="36" t="s">
        <v>1763</v>
      </c>
    </row>
    <row r="1027" spans="1:6" s="2" customFormat="1" x14ac:dyDescent="0.25">
      <c r="A1027" s="2" t="s">
        <v>1930</v>
      </c>
      <c r="B1027" s="3">
        <f>4000-3700-250-1+1-49</f>
        <v>1</v>
      </c>
      <c r="C1027" s="3">
        <v>2214</v>
      </c>
      <c r="D1027" s="2" t="s">
        <v>1414</v>
      </c>
      <c r="E1027" s="2" t="s">
        <v>2938</v>
      </c>
      <c r="F1027" s="36" t="s">
        <v>1763</v>
      </c>
    </row>
    <row r="1028" spans="1:6" s="2" customFormat="1" x14ac:dyDescent="0.25">
      <c r="A1028" s="2" t="s">
        <v>1930</v>
      </c>
      <c r="B1028" s="3">
        <f>677-2</f>
        <v>675</v>
      </c>
      <c r="C1028" s="3">
        <v>2240</v>
      </c>
      <c r="D1028" s="2" t="s">
        <v>1414</v>
      </c>
      <c r="E1028" s="2" t="s">
        <v>2938</v>
      </c>
      <c r="F1028" s="36" t="s">
        <v>1763</v>
      </c>
    </row>
    <row r="1029" spans="1:6" s="2" customFormat="1" x14ac:dyDescent="0.25">
      <c r="A1029" s="2" t="s">
        <v>3463</v>
      </c>
      <c r="B1029" s="3">
        <v>3</v>
      </c>
      <c r="C1029" s="3">
        <v>2321</v>
      </c>
      <c r="D1029" s="2" t="s">
        <v>2158</v>
      </c>
      <c r="E1029" s="2" t="s">
        <v>3464</v>
      </c>
      <c r="F1029" s="36" t="s">
        <v>3465</v>
      </c>
    </row>
    <row r="1030" spans="1:6" s="2" customFormat="1" x14ac:dyDescent="0.25">
      <c r="A1030" s="18" t="s">
        <v>1535</v>
      </c>
      <c r="B1030" s="25">
        <f>100-100</f>
        <v>0</v>
      </c>
      <c r="C1030" s="19">
        <v>2131</v>
      </c>
      <c r="D1030" s="18" t="s">
        <v>1410</v>
      </c>
      <c r="E1030" s="18" t="s">
        <v>2939</v>
      </c>
      <c r="F1030" s="36" t="s">
        <v>1412</v>
      </c>
    </row>
    <row r="1031" spans="1:6" s="2" customFormat="1" x14ac:dyDescent="0.25">
      <c r="A1031" s="5" t="s">
        <v>1413</v>
      </c>
      <c r="B1031" s="3">
        <f>277-225</f>
        <v>52</v>
      </c>
      <c r="C1031" s="3" t="s">
        <v>271</v>
      </c>
      <c r="D1031" s="2" t="s">
        <v>1414</v>
      </c>
      <c r="E1031" s="2" t="s">
        <v>2940</v>
      </c>
      <c r="F1031" s="36" t="s">
        <v>1415</v>
      </c>
    </row>
    <row r="1032" spans="1:6" s="2" customFormat="1" x14ac:dyDescent="0.25">
      <c r="A1032" s="5" t="s">
        <v>1413</v>
      </c>
      <c r="B1032" s="3">
        <v>225</v>
      </c>
      <c r="C1032" s="3" t="s">
        <v>271</v>
      </c>
      <c r="D1032" s="2" t="s">
        <v>1414</v>
      </c>
      <c r="E1032" s="2" t="s">
        <v>2940</v>
      </c>
      <c r="F1032" s="36" t="s">
        <v>1415</v>
      </c>
    </row>
    <row r="1033" spans="1:6" s="2" customFormat="1" x14ac:dyDescent="0.25">
      <c r="A1033" s="2" t="s">
        <v>1772</v>
      </c>
      <c r="B1033" s="6">
        <f>46-46</f>
        <v>0</v>
      </c>
      <c r="C1033" s="3">
        <v>2147</v>
      </c>
      <c r="D1033" s="2" t="s">
        <v>1414</v>
      </c>
      <c r="E1033" s="2" t="s">
        <v>2941</v>
      </c>
      <c r="F1033" s="36" t="s">
        <v>1773</v>
      </c>
    </row>
    <row r="1034" spans="1:6" s="2" customFormat="1" x14ac:dyDescent="0.25">
      <c r="A1034" s="2" t="s">
        <v>628</v>
      </c>
      <c r="B1034" s="6">
        <f>56-15-41</f>
        <v>0</v>
      </c>
      <c r="C1034" s="3">
        <v>2229</v>
      </c>
      <c r="D1034" s="2" t="s">
        <v>5</v>
      </c>
      <c r="E1034" s="2" t="s">
        <v>2942</v>
      </c>
      <c r="F1034" s="36" t="s">
        <v>625</v>
      </c>
    </row>
    <row r="1035" spans="1:6" s="2" customFormat="1" x14ac:dyDescent="0.25">
      <c r="A1035" s="2" t="s">
        <v>1902</v>
      </c>
      <c r="B1035" s="3">
        <v>2</v>
      </c>
      <c r="C1035" s="3">
        <v>2218</v>
      </c>
      <c r="D1035" s="2" t="s">
        <v>5</v>
      </c>
      <c r="E1035" s="2" t="s">
        <v>1903</v>
      </c>
      <c r="F1035" s="36" t="s">
        <v>1904</v>
      </c>
    </row>
    <row r="1036" spans="1:6" s="2" customFormat="1" x14ac:dyDescent="0.25">
      <c r="A1036" s="18" t="s">
        <v>2156</v>
      </c>
      <c r="B1036" s="19">
        <f>700+2</f>
        <v>702</v>
      </c>
      <c r="C1036" s="19">
        <v>1933</v>
      </c>
      <c r="D1036" s="18" t="s">
        <v>1563</v>
      </c>
      <c r="E1036" s="2" t="s">
        <v>2943</v>
      </c>
      <c r="F1036" s="36" t="s">
        <v>1564</v>
      </c>
    </row>
    <row r="1037" spans="1:6" s="2" customFormat="1" x14ac:dyDescent="0.25">
      <c r="A1037" s="18" t="s">
        <v>2090</v>
      </c>
      <c r="B1037" s="19">
        <v>5</v>
      </c>
      <c r="C1037" s="19">
        <v>2151</v>
      </c>
      <c r="D1037" s="18" t="s">
        <v>1563</v>
      </c>
      <c r="E1037" s="2" t="s">
        <v>2944</v>
      </c>
      <c r="F1037" s="36" t="s">
        <v>1564</v>
      </c>
    </row>
    <row r="1038" spans="1:6" s="2" customFormat="1" x14ac:dyDescent="0.25">
      <c r="A1038" s="18" t="s">
        <v>2090</v>
      </c>
      <c r="B1038" s="19">
        <v>4</v>
      </c>
      <c r="C1038" s="19">
        <v>2147</v>
      </c>
      <c r="D1038" s="18" t="s">
        <v>1563</v>
      </c>
      <c r="E1038" s="2" t="s">
        <v>2944</v>
      </c>
      <c r="F1038" s="36" t="s">
        <v>1564</v>
      </c>
    </row>
    <row r="1039" spans="1:6" s="2" customFormat="1" x14ac:dyDescent="0.25">
      <c r="A1039" s="2" t="s">
        <v>829</v>
      </c>
      <c r="B1039" s="3">
        <v>2</v>
      </c>
      <c r="C1039" s="3" t="s">
        <v>214</v>
      </c>
      <c r="D1039" s="2" t="s">
        <v>5</v>
      </c>
      <c r="E1039" s="2" t="s">
        <v>1268</v>
      </c>
      <c r="F1039" s="36" t="s">
        <v>830</v>
      </c>
    </row>
    <row r="1040" spans="1:6" s="2" customFormat="1" x14ac:dyDescent="0.25">
      <c r="A1040" s="2" t="s">
        <v>1449</v>
      </c>
      <c r="B1040" s="3">
        <v>4</v>
      </c>
      <c r="C1040" s="3">
        <v>2019</v>
      </c>
      <c r="D1040" s="2" t="s">
        <v>5</v>
      </c>
      <c r="E1040" s="2" t="s">
        <v>1450</v>
      </c>
      <c r="F1040" s="36" t="s">
        <v>1451</v>
      </c>
    </row>
    <row r="1041" spans="1:6" s="2" customFormat="1" x14ac:dyDescent="0.25">
      <c r="A1041" s="2" t="s">
        <v>1916</v>
      </c>
      <c r="B1041" s="3">
        <v>1000</v>
      </c>
      <c r="C1041" s="3">
        <v>2244</v>
      </c>
      <c r="D1041" s="2" t="s">
        <v>0</v>
      </c>
      <c r="E1041" s="2" t="s">
        <v>2945</v>
      </c>
      <c r="F1041" s="36" t="s">
        <v>1470</v>
      </c>
    </row>
    <row r="1042" spans="1:6" s="2" customFormat="1" x14ac:dyDescent="0.25">
      <c r="A1042" s="2" t="s">
        <v>3481</v>
      </c>
      <c r="B1042" s="3">
        <v>1000</v>
      </c>
      <c r="C1042" s="3">
        <v>2252</v>
      </c>
      <c r="D1042" s="2" t="s">
        <v>5</v>
      </c>
      <c r="E1042" s="2" t="s">
        <v>3482</v>
      </c>
      <c r="F1042" s="36" t="s">
        <v>2592</v>
      </c>
    </row>
    <row r="1043" spans="1:6" s="2" customFormat="1" x14ac:dyDescent="0.25">
      <c r="A1043" s="2" t="s">
        <v>2591</v>
      </c>
      <c r="B1043" s="3">
        <v>401</v>
      </c>
      <c r="C1043" s="3">
        <v>2236</v>
      </c>
      <c r="D1043" s="2" t="s">
        <v>5</v>
      </c>
      <c r="E1043" s="2" t="s">
        <v>2946</v>
      </c>
      <c r="F1043" s="36" t="s">
        <v>2592</v>
      </c>
    </row>
    <row r="1044" spans="1:6" s="2" customFormat="1" x14ac:dyDescent="0.25">
      <c r="A1044" s="2" t="s">
        <v>2719</v>
      </c>
      <c r="B1044" s="3">
        <v>8</v>
      </c>
      <c r="C1044" s="3">
        <v>1938</v>
      </c>
      <c r="D1044" s="2" t="s">
        <v>2158</v>
      </c>
      <c r="E1044" s="2" t="s">
        <v>2720</v>
      </c>
      <c r="F1044" s="36" t="s">
        <v>2721</v>
      </c>
    </row>
    <row r="1045" spans="1:6" s="2" customFormat="1" x14ac:dyDescent="0.25">
      <c r="A1045" s="2" t="s">
        <v>1709</v>
      </c>
      <c r="B1045" s="6">
        <f>5-5</f>
        <v>0</v>
      </c>
      <c r="C1045" s="3">
        <v>2219</v>
      </c>
      <c r="D1045" s="7" t="s">
        <v>1710</v>
      </c>
      <c r="E1045" s="2" t="s">
        <v>2947</v>
      </c>
      <c r="F1045" s="36" t="s">
        <v>1711</v>
      </c>
    </row>
    <row r="1046" spans="1:6" s="2" customFormat="1" x14ac:dyDescent="0.25">
      <c r="A1046" s="2" t="s">
        <v>2059</v>
      </c>
      <c r="B1046" s="3">
        <f>96-50-30</f>
        <v>16</v>
      </c>
      <c r="C1046" s="3">
        <v>2229</v>
      </c>
      <c r="D1046" s="7" t="s">
        <v>5</v>
      </c>
      <c r="E1046" s="2" t="s">
        <v>2948</v>
      </c>
      <c r="F1046" s="36" t="s">
        <v>2060</v>
      </c>
    </row>
    <row r="1047" spans="1:6" s="2" customFormat="1" ht="14.65" customHeight="1" x14ac:dyDescent="0.25">
      <c r="A1047" s="2" t="s">
        <v>2258</v>
      </c>
      <c r="B1047" s="6">
        <f>326-1-325</f>
        <v>0</v>
      </c>
      <c r="C1047" s="3">
        <v>2148</v>
      </c>
      <c r="D1047" s="26" t="s">
        <v>1859</v>
      </c>
      <c r="E1047" s="2" t="s">
        <v>2949</v>
      </c>
      <c r="F1047" s="36" t="s">
        <v>1860</v>
      </c>
    </row>
    <row r="1048" spans="1:6" s="2" customFormat="1" ht="14.65" customHeight="1" x14ac:dyDescent="0.25">
      <c r="A1048" s="2" t="s">
        <v>1858</v>
      </c>
      <c r="B1048" s="6">
        <f>3-3</f>
        <v>0</v>
      </c>
      <c r="C1048" s="3">
        <v>2137</v>
      </c>
      <c r="D1048" s="26" t="s">
        <v>1859</v>
      </c>
      <c r="E1048" s="2" t="s">
        <v>2950</v>
      </c>
      <c r="F1048" s="36" t="s">
        <v>1860</v>
      </c>
    </row>
    <row r="1049" spans="1:6" s="2" customFormat="1" ht="14.65" customHeight="1" x14ac:dyDescent="0.25">
      <c r="A1049" s="2" t="s">
        <v>1858</v>
      </c>
      <c r="B1049" s="6">
        <f>100-100</f>
        <v>0</v>
      </c>
      <c r="C1049" s="3">
        <v>2222</v>
      </c>
      <c r="D1049" s="26" t="s">
        <v>1859</v>
      </c>
      <c r="E1049" s="2" t="s">
        <v>2949</v>
      </c>
      <c r="F1049" s="36" t="s">
        <v>1860</v>
      </c>
    </row>
    <row r="1050" spans="1:6" s="2" customFormat="1" x14ac:dyDescent="0.25">
      <c r="A1050" s="2" t="s">
        <v>833</v>
      </c>
      <c r="B1050" s="3">
        <v>117</v>
      </c>
      <c r="C1050" s="3" t="s">
        <v>214</v>
      </c>
      <c r="D1050" s="2" t="s">
        <v>526</v>
      </c>
      <c r="E1050" s="2" t="s">
        <v>1294</v>
      </c>
      <c r="F1050" s="36" t="s">
        <v>832</v>
      </c>
    </row>
    <row r="1051" spans="1:6" s="2" customFormat="1" x14ac:dyDescent="0.25">
      <c r="A1051" s="2" t="s">
        <v>2575</v>
      </c>
      <c r="B1051" s="3">
        <v>150</v>
      </c>
      <c r="C1051" s="3">
        <v>2204</v>
      </c>
      <c r="D1051" s="5" t="s">
        <v>816</v>
      </c>
      <c r="E1051" s="2" t="s">
        <v>2951</v>
      </c>
      <c r="F1051" s="36" t="s">
        <v>2576</v>
      </c>
    </row>
    <row r="1052" spans="1:6" s="2" customFormat="1" x14ac:dyDescent="0.25">
      <c r="A1052" s="2" t="s">
        <v>2711</v>
      </c>
      <c r="B1052" s="6">
        <f>400-200-200</f>
        <v>0</v>
      </c>
      <c r="C1052" s="3">
        <v>1551</v>
      </c>
      <c r="D1052" s="5" t="s">
        <v>76</v>
      </c>
      <c r="E1052" s="2" t="s">
        <v>2952</v>
      </c>
      <c r="F1052" s="36" t="s">
        <v>2712</v>
      </c>
    </row>
    <row r="1053" spans="1:6" s="2" customFormat="1" ht="60" x14ac:dyDescent="0.25">
      <c r="A1053" s="2" t="s">
        <v>2646</v>
      </c>
      <c r="B1053" s="3">
        <v>6</v>
      </c>
      <c r="C1053" s="3">
        <v>2212</v>
      </c>
      <c r="D1053" s="5" t="s">
        <v>2647</v>
      </c>
      <c r="E1053" s="5" t="s">
        <v>2648</v>
      </c>
      <c r="F1053" s="36" t="s">
        <v>2649</v>
      </c>
    </row>
    <row r="1054" spans="1:6" s="2" customFormat="1" x14ac:dyDescent="0.25">
      <c r="A1054" s="2" t="s">
        <v>2159</v>
      </c>
      <c r="B1054" s="3">
        <v>2764</v>
      </c>
      <c r="C1054" s="3">
        <v>2209</v>
      </c>
      <c r="D1054" s="2" t="s">
        <v>2160</v>
      </c>
      <c r="E1054" s="2" t="s">
        <v>2953</v>
      </c>
      <c r="F1054" s="36"/>
    </row>
    <row r="1055" spans="1:6" s="2" customFormat="1" x14ac:dyDescent="0.25">
      <c r="A1055" s="5" t="s">
        <v>879</v>
      </c>
      <c r="B1055" s="3">
        <v>3</v>
      </c>
      <c r="C1055" s="3" t="s">
        <v>214</v>
      </c>
      <c r="D1055" s="5" t="s">
        <v>860</v>
      </c>
      <c r="E1055" s="2" t="s">
        <v>2954</v>
      </c>
      <c r="F1055" s="36" t="s">
        <v>880</v>
      </c>
    </row>
    <row r="1056" spans="1:6" s="2" customFormat="1" x14ac:dyDescent="0.25">
      <c r="A1056" s="5" t="s">
        <v>3604</v>
      </c>
      <c r="B1056" s="3">
        <v>5</v>
      </c>
      <c r="C1056" s="3">
        <v>2213</v>
      </c>
      <c r="D1056" s="5" t="s">
        <v>860</v>
      </c>
      <c r="E1056" s="2" t="s">
        <v>3605</v>
      </c>
      <c r="F1056" s="36" t="s">
        <v>3606</v>
      </c>
    </row>
    <row r="1057" spans="1:6" s="2" customFormat="1" ht="45" x14ac:dyDescent="0.25">
      <c r="A1057" s="5" t="s">
        <v>2686</v>
      </c>
      <c r="B1057" s="3">
        <v>8</v>
      </c>
      <c r="C1057" s="3">
        <v>2205</v>
      </c>
      <c r="D1057" s="5" t="s">
        <v>2158</v>
      </c>
      <c r="E1057" s="2" t="s">
        <v>2955</v>
      </c>
      <c r="F1057" s="1" t="s">
        <v>2687</v>
      </c>
    </row>
    <row r="1058" spans="1:6" s="2" customFormat="1" ht="30" x14ac:dyDescent="0.25">
      <c r="A1058" s="5" t="s">
        <v>3131</v>
      </c>
      <c r="B1058" s="3">
        <v>98</v>
      </c>
      <c r="C1058" s="3"/>
      <c r="D1058" s="5" t="s">
        <v>2992</v>
      </c>
      <c r="E1058" s="5" t="s">
        <v>3110</v>
      </c>
      <c r="F1058" s="1" t="s">
        <v>3111</v>
      </c>
    </row>
    <row r="1059" spans="1:6" s="2" customFormat="1" x14ac:dyDescent="0.25">
      <c r="A1059" s="5" t="s">
        <v>834</v>
      </c>
      <c r="B1059" s="3">
        <v>64</v>
      </c>
      <c r="C1059" s="3"/>
      <c r="D1059" s="2" t="s">
        <v>816</v>
      </c>
      <c r="E1059" s="2" t="s">
        <v>2956</v>
      </c>
      <c r="F1059" s="36" t="s">
        <v>835</v>
      </c>
    </row>
    <row r="1060" spans="1:6" s="2" customFormat="1" x14ac:dyDescent="0.25">
      <c r="A1060" s="18" t="s">
        <v>3059</v>
      </c>
      <c r="B1060" s="3">
        <v>30</v>
      </c>
      <c r="C1060" s="19" t="s">
        <v>743</v>
      </c>
      <c r="D1060" s="18" t="s">
        <v>816</v>
      </c>
      <c r="E1060" s="18" t="s">
        <v>2957</v>
      </c>
      <c r="F1060" s="36" t="s">
        <v>2958</v>
      </c>
    </row>
    <row r="1061" spans="1:6" s="2" customFormat="1" ht="30" x14ac:dyDescent="0.25">
      <c r="A1061" s="18" t="s">
        <v>2722</v>
      </c>
      <c r="B1061" s="3">
        <v>10</v>
      </c>
      <c r="C1061" s="19">
        <v>2306</v>
      </c>
      <c r="D1061" s="18" t="s">
        <v>2723</v>
      </c>
      <c r="E1061" s="20" t="s">
        <v>2959</v>
      </c>
      <c r="F1061" s="36" t="s">
        <v>2724</v>
      </c>
    </row>
    <row r="1062" spans="1:6" s="2" customFormat="1" x14ac:dyDescent="0.25">
      <c r="A1062" s="2" t="s">
        <v>1222</v>
      </c>
      <c r="B1062" s="3">
        <v>64</v>
      </c>
      <c r="C1062" s="3">
        <v>1813</v>
      </c>
      <c r="D1062" s="2" t="s">
        <v>759</v>
      </c>
      <c r="E1062" s="2" t="s">
        <v>2960</v>
      </c>
      <c r="F1062" s="36" t="s">
        <v>2725</v>
      </c>
    </row>
    <row r="1063" spans="1:6" s="2" customFormat="1" x14ac:dyDescent="0.25">
      <c r="A1063" s="2" t="s">
        <v>862</v>
      </c>
      <c r="B1063" s="14">
        <v>2</v>
      </c>
      <c r="C1063" s="3">
        <v>2019</v>
      </c>
      <c r="D1063" s="5" t="s">
        <v>863</v>
      </c>
      <c r="E1063" s="2" t="s">
        <v>864</v>
      </c>
      <c r="F1063" s="36" t="s">
        <v>865</v>
      </c>
    </row>
    <row r="1064" spans="1:6" s="2" customFormat="1" x14ac:dyDescent="0.25">
      <c r="A1064" s="2" t="s">
        <v>1196</v>
      </c>
      <c r="B1064" s="3">
        <v>8</v>
      </c>
      <c r="C1064" s="3"/>
      <c r="D1064" s="2" t="s">
        <v>759</v>
      </c>
      <c r="E1064" s="2" t="s">
        <v>1197</v>
      </c>
      <c r="F1064" s="36"/>
    </row>
    <row r="1065" spans="1:6" s="2" customFormat="1" x14ac:dyDescent="0.25">
      <c r="A1065" s="2" t="s">
        <v>2279</v>
      </c>
      <c r="B1065" s="3">
        <v>10</v>
      </c>
      <c r="C1065" s="3">
        <v>1707</v>
      </c>
      <c r="E1065" s="2" t="s">
        <v>2961</v>
      </c>
      <c r="F1065" s="36" t="s">
        <v>2280</v>
      </c>
    </row>
    <row r="1066" spans="1:6" s="2" customFormat="1" x14ac:dyDescent="0.25">
      <c r="A1066" s="2" t="s">
        <v>3454</v>
      </c>
      <c r="B1066" s="3">
        <v>5</v>
      </c>
      <c r="C1066" s="3">
        <v>2305</v>
      </c>
      <c r="D1066" s="2" t="s">
        <v>250</v>
      </c>
      <c r="E1066" s="2" t="s">
        <v>3457</v>
      </c>
      <c r="F1066" s="36" t="s">
        <v>1476</v>
      </c>
    </row>
    <row r="1067" spans="1:6" s="2" customFormat="1" x14ac:dyDescent="0.25">
      <c r="A1067" s="2" t="s">
        <v>622</v>
      </c>
      <c r="B1067" s="3">
        <v>1400</v>
      </c>
      <c r="C1067" s="3">
        <v>2018</v>
      </c>
      <c r="D1067" s="2" t="s">
        <v>250</v>
      </c>
      <c r="E1067" s="2" t="s">
        <v>3456</v>
      </c>
      <c r="F1067" s="36" t="s">
        <v>623</v>
      </c>
    </row>
    <row r="1068" spans="1:6" s="2" customFormat="1" x14ac:dyDescent="0.25">
      <c r="A1068" s="2" t="s">
        <v>989</v>
      </c>
      <c r="B1068" s="3">
        <f>18-2-1</f>
        <v>15</v>
      </c>
      <c r="C1068" s="3">
        <v>1921</v>
      </c>
      <c r="D1068" s="2" t="s">
        <v>16</v>
      </c>
      <c r="E1068" s="2" t="s">
        <v>3455</v>
      </c>
      <c r="F1068" s="36" t="s">
        <v>990</v>
      </c>
    </row>
    <row r="1069" spans="1:6" s="2" customFormat="1" ht="45" x14ac:dyDescent="0.25">
      <c r="A1069" s="2" t="s">
        <v>3516</v>
      </c>
      <c r="B1069" s="6">
        <f>34000-1000-33000</f>
        <v>0</v>
      </c>
      <c r="C1069" s="26" t="s">
        <v>3517</v>
      </c>
      <c r="D1069" s="2" t="s">
        <v>250</v>
      </c>
      <c r="E1069" s="2" t="s">
        <v>3518</v>
      </c>
      <c r="F1069" s="36" t="s">
        <v>626</v>
      </c>
    </row>
    <row r="1070" spans="1:6" s="2" customFormat="1" x14ac:dyDescent="0.25">
      <c r="A1070" s="2" t="s">
        <v>2144</v>
      </c>
      <c r="B1070" s="6">
        <f>6-6</f>
        <v>0</v>
      </c>
      <c r="C1070" s="3">
        <v>2213</v>
      </c>
      <c r="D1070" s="2" t="s">
        <v>250</v>
      </c>
      <c r="E1070" s="2" t="s">
        <v>2962</v>
      </c>
      <c r="F1070" s="36" t="s">
        <v>626</v>
      </c>
    </row>
    <row r="1071" spans="1:6" s="2" customFormat="1" x14ac:dyDescent="0.25">
      <c r="A1071" s="2" t="s">
        <v>1971</v>
      </c>
      <c r="B1071" s="3">
        <f>6-4</f>
        <v>2</v>
      </c>
      <c r="C1071" s="3">
        <v>2124</v>
      </c>
      <c r="D1071" s="2" t="s">
        <v>250</v>
      </c>
      <c r="E1071" s="2" t="s">
        <v>2963</v>
      </c>
      <c r="F1071" s="36" t="s">
        <v>626</v>
      </c>
    </row>
    <row r="1072" spans="1:6" s="2" customFormat="1" x14ac:dyDescent="0.25">
      <c r="A1072" s="2" t="s">
        <v>15</v>
      </c>
      <c r="B1072" s="3">
        <v>2000</v>
      </c>
      <c r="C1072" s="3">
        <v>1048</v>
      </c>
      <c r="D1072" s="2" t="s">
        <v>16</v>
      </c>
      <c r="E1072" s="2" t="s">
        <v>2964</v>
      </c>
      <c r="F1072" s="36" t="s">
        <v>17</v>
      </c>
    </row>
    <row r="1073" spans="1:6" s="2" customFormat="1" x14ac:dyDescent="0.25">
      <c r="A1073" s="2" t="s">
        <v>12</v>
      </c>
      <c r="B1073" s="3">
        <f>800-500</f>
        <v>300</v>
      </c>
      <c r="C1073" s="3">
        <v>1338</v>
      </c>
      <c r="D1073" s="2" t="s">
        <v>13</v>
      </c>
      <c r="E1073" s="2" t="s">
        <v>2965</v>
      </c>
      <c r="F1073" s="36" t="s">
        <v>14</v>
      </c>
    </row>
    <row r="1074" spans="1:6" s="2" customFormat="1" x14ac:dyDescent="0.25">
      <c r="A1074" s="2" t="s">
        <v>1970</v>
      </c>
      <c r="B1074" s="3">
        <v>5</v>
      </c>
      <c r="C1074" s="3">
        <v>2020</v>
      </c>
      <c r="D1074" s="2" t="s">
        <v>250</v>
      </c>
      <c r="E1074" s="2" t="s">
        <v>2965</v>
      </c>
      <c r="F1074" s="36" t="s">
        <v>626</v>
      </c>
    </row>
    <row r="1075" spans="1:6" s="2" customFormat="1" x14ac:dyDescent="0.25">
      <c r="A1075" s="2" t="s">
        <v>644</v>
      </c>
      <c r="B1075" s="6">
        <f>2000-2000</f>
        <v>0</v>
      </c>
      <c r="C1075" s="3">
        <v>1807</v>
      </c>
      <c r="D1075" s="2" t="s">
        <v>250</v>
      </c>
      <c r="E1075" s="2" t="s">
        <v>2966</v>
      </c>
      <c r="F1075" s="36" t="s">
        <v>626</v>
      </c>
    </row>
    <row r="1076" spans="1:6" s="2" customFormat="1" x14ac:dyDescent="0.25">
      <c r="A1076" s="18" t="s">
        <v>249</v>
      </c>
      <c r="B1076" s="19">
        <v>2000</v>
      </c>
      <c r="C1076" s="19">
        <v>1533</v>
      </c>
      <c r="D1076" s="18" t="s">
        <v>250</v>
      </c>
      <c r="E1076" s="18" t="s">
        <v>2967</v>
      </c>
      <c r="F1076" s="36" t="s">
        <v>626</v>
      </c>
    </row>
    <row r="1077" spans="1:6" s="2" customFormat="1" x14ac:dyDescent="0.25">
      <c r="A1077" s="18" t="s">
        <v>2064</v>
      </c>
      <c r="B1077" s="3">
        <v>11</v>
      </c>
      <c r="C1077" s="3">
        <v>2113</v>
      </c>
      <c r="D1077" s="2" t="s">
        <v>250</v>
      </c>
      <c r="E1077" s="2" t="s">
        <v>2968</v>
      </c>
      <c r="F1077" s="36" t="s">
        <v>626</v>
      </c>
    </row>
    <row r="1078" spans="1:6" s="2" customFormat="1" x14ac:dyDescent="0.25">
      <c r="A1078" s="18" t="s">
        <v>2063</v>
      </c>
      <c r="B1078" s="3">
        <f>18-2</f>
        <v>16</v>
      </c>
      <c r="C1078" s="3">
        <v>2035</v>
      </c>
      <c r="D1078" s="2" t="s">
        <v>250</v>
      </c>
      <c r="E1078" s="2" t="s">
        <v>2969</v>
      </c>
      <c r="F1078" s="36" t="s">
        <v>626</v>
      </c>
    </row>
    <row r="1079" spans="1:6" s="2" customFormat="1" x14ac:dyDescent="0.25">
      <c r="A1079" s="2" t="s">
        <v>1441</v>
      </c>
      <c r="B1079" s="3">
        <v>3</v>
      </c>
      <c r="C1079" s="3"/>
      <c r="D1079" s="2" t="s">
        <v>250</v>
      </c>
      <c r="E1079" s="2" t="s">
        <v>2970</v>
      </c>
      <c r="F1079" s="36" t="s">
        <v>626</v>
      </c>
    </row>
    <row r="1080" spans="1:6" s="2" customFormat="1" x14ac:dyDescent="0.25">
      <c r="A1080" s="2" t="s">
        <v>2197</v>
      </c>
      <c r="B1080" s="3">
        <v>190</v>
      </c>
      <c r="C1080" s="3">
        <v>2231</v>
      </c>
      <c r="D1080" s="2" t="s">
        <v>250</v>
      </c>
      <c r="E1080" s="2" t="s">
        <v>2971</v>
      </c>
      <c r="F1080" s="36" t="s">
        <v>626</v>
      </c>
    </row>
    <row r="1081" spans="1:6" s="2" customFormat="1" x14ac:dyDescent="0.25">
      <c r="A1081" s="2" t="s">
        <v>2157</v>
      </c>
      <c r="B1081" s="3">
        <v>109</v>
      </c>
      <c r="C1081" s="3">
        <v>2144</v>
      </c>
      <c r="D1081" s="2" t="s">
        <v>2158</v>
      </c>
      <c r="E1081" s="2" t="s">
        <v>2972</v>
      </c>
      <c r="F1081" s="36" t="s">
        <v>1849</v>
      </c>
    </row>
    <row r="1082" spans="1:6" s="2" customFormat="1" x14ac:dyDescent="0.25">
      <c r="A1082" s="2" t="s">
        <v>2157</v>
      </c>
      <c r="B1082" s="3">
        <v>25</v>
      </c>
      <c r="C1082" s="3">
        <v>2149</v>
      </c>
      <c r="D1082" s="2" t="s">
        <v>2158</v>
      </c>
      <c r="E1082" s="2" t="s">
        <v>2972</v>
      </c>
      <c r="F1082" s="36" t="s">
        <v>1849</v>
      </c>
    </row>
    <row r="1083" spans="1:6" s="2" customFormat="1" x14ac:dyDescent="0.25">
      <c r="A1083" s="2" t="s">
        <v>2198</v>
      </c>
      <c r="B1083" s="3">
        <v>2</v>
      </c>
      <c r="C1083" s="3">
        <v>2207</v>
      </c>
      <c r="D1083" s="2" t="s">
        <v>2158</v>
      </c>
      <c r="E1083" s="2" t="s">
        <v>2973</v>
      </c>
      <c r="F1083" s="36" t="s">
        <v>1849</v>
      </c>
    </row>
    <row r="1084" spans="1:6" s="2" customFormat="1" x14ac:dyDescent="0.25">
      <c r="A1084" s="2" t="s">
        <v>3631</v>
      </c>
      <c r="B1084" s="3">
        <v>21</v>
      </c>
      <c r="C1084" s="3">
        <v>2333</v>
      </c>
      <c r="D1084" s="2" t="s">
        <v>250</v>
      </c>
      <c r="E1084" s="2" t="s">
        <v>3632</v>
      </c>
      <c r="F1084" s="36" t="s">
        <v>626</v>
      </c>
    </row>
    <row r="1085" spans="1:6" s="2" customFormat="1" x14ac:dyDescent="0.25">
      <c r="A1085" s="2" t="s">
        <v>1090</v>
      </c>
      <c r="B1085" s="3">
        <v>8</v>
      </c>
      <c r="C1085" s="3"/>
      <c r="D1085" s="2" t="s">
        <v>250</v>
      </c>
      <c r="E1085" s="2" t="s">
        <v>2974</v>
      </c>
      <c r="F1085" s="36" t="s">
        <v>626</v>
      </c>
    </row>
    <row r="1086" spans="1:6" s="2" customFormat="1" x14ac:dyDescent="0.25">
      <c r="A1086" s="2" t="s">
        <v>1565</v>
      </c>
      <c r="B1086" s="3">
        <f>75-10</f>
        <v>65</v>
      </c>
      <c r="C1086" s="3">
        <v>2104</v>
      </c>
      <c r="D1086" s="2" t="s">
        <v>250</v>
      </c>
      <c r="E1086" s="2" t="s">
        <v>2975</v>
      </c>
      <c r="F1086" s="36" t="s">
        <v>626</v>
      </c>
    </row>
    <row r="1087" spans="1:6" s="2" customFormat="1" x14ac:dyDescent="0.25">
      <c r="A1087" s="2" t="s">
        <v>2227</v>
      </c>
      <c r="B1087" s="3">
        <v>4</v>
      </c>
      <c r="C1087" s="3">
        <v>2207</v>
      </c>
      <c r="D1087" s="2" t="s">
        <v>1563</v>
      </c>
      <c r="E1087" s="2" t="s">
        <v>2976</v>
      </c>
      <c r="F1087" s="36" t="s">
        <v>1599</v>
      </c>
    </row>
    <row r="1088" spans="1:6" s="2" customFormat="1" x14ac:dyDescent="0.25">
      <c r="A1088" s="18" t="s">
        <v>474</v>
      </c>
      <c r="B1088" s="19">
        <v>210</v>
      </c>
      <c r="C1088" s="19" t="s">
        <v>214</v>
      </c>
      <c r="D1088" s="18" t="s">
        <v>16</v>
      </c>
      <c r="E1088" s="18" t="s">
        <v>2977</v>
      </c>
      <c r="F1088" s="36" t="s">
        <v>17</v>
      </c>
    </row>
    <row r="1089" spans="1:6" s="2" customFormat="1" x14ac:dyDescent="0.25">
      <c r="A1089" s="18" t="s">
        <v>3519</v>
      </c>
      <c r="B1089" s="25">
        <f>140000-5250-14-3-134733</f>
        <v>0</v>
      </c>
      <c r="C1089" s="19" t="s">
        <v>3520</v>
      </c>
      <c r="D1089" s="2" t="s">
        <v>250</v>
      </c>
      <c r="E1089" s="2" t="s">
        <v>3521</v>
      </c>
      <c r="F1089" s="36" t="s">
        <v>943</v>
      </c>
    </row>
    <row r="1090" spans="1:6" s="2" customFormat="1" x14ac:dyDescent="0.25">
      <c r="A1090" s="2" t="s">
        <v>3453</v>
      </c>
      <c r="B1090" s="6">
        <f>21-21</f>
        <v>0</v>
      </c>
      <c r="C1090" s="3">
        <v>1951</v>
      </c>
      <c r="D1090" s="2" t="s">
        <v>250</v>
      </c>
      <c r="E1090" s="2" t="s">
        <v>2978</v>
      </c>
      <c r="F1090" s="36" t="s">
        <v>943</v>
      </c>
    </row>
    <row r="1091" spans="1:6" s="2" customFormat="1" x14ac:dyDescent="0.25">
      <c r="A1091" s="2" t="s">
        <v>942</v>
      </c>
      <c r="B1091" s="3">
        <v>5</v>
      </c>
      <c r="C1091" s="3"/>
      <c r="D1091" s="2" t="s">
        <v>250</v>
      </c>
      <c r="E1091" s="2" t="s">
        <v>2979</v>
      </c>
      <c r="F1091" s="36" t="s">
        <v>943</v>
      </c>
    </row>
    <row r="1092" spans="1:6" s="2" customFormat="1" x14ac:dyDescent="0.25">
      <c r="A1092" s="2" t="s">
        <v>1598</v>
      </c>
      <c r="B1092" s="3">
        <v>1</v>
      </c>
      <c r="C1092" s="3">
        <v>2130</v>
      </c>
      <c r="D1092" s="2" t="s">
        <v>1563</v>
      </c>
      <c r="E1092" s="2" t="s">
        <v>2980</v>
      </c>
      <c r="F1092" s="36" t="s">
        <v>1599</v>
      </c>
    </row>
    <row r="1093" spans="1:6" s="2" customFormat="1" x14ac:dyDescent="0.25">
      <c r="A1093" s="2" t="s">
        <v>2630</v>
      </c>
      <c r="B1093" s="3">
        <v>2</v>
      </c>
      <c r="C1093" s="3">
        <v>2111</v>
      </c>
      <c r="D1093" s="2" t="s">
        <v>759</v>
      </c>
      <c r="E1093" s="2" t="s">
        <v>2989</v>
      </c>
      <c r="F1093" s="36" t="s">
        <v>2631</v>
      </c>
    </row>
    <row r="1094" spans="1:6" s="2" customFormat="1" x14ac:dyDescent="0.25">
      <c r="A1094" s="2" t="s">
        <v>3461</v>
      </c>
      <c r="B1094" s="3">
        <v>6</v>
      </c>
      <c r="C1094" s="3">
        <v>2235</v>
      </c>
      <c r="D1094" s="2" t="s">
        <v>2158</v>
      </c>
      <c r="E1094" s="2" t="s">
        <v>3462</v>
      </c>
      <c r="F1094" s="36" t="s">
        <v>1599</v>
      </c>
    </row>
    <row r="1095" spans="1:6" s="2" customFormat="1" x14ac:dyDescent="0.25">
      <c r="A1095" s="2" t="s">
        <v>3442</v>
      </c>
      <c r="B1095" s="3">
        <f>1000-100-11</f>
        <v>889</v>
      </c>
      <c r="C1095" s="3">
        <v>2310</v>
      </c>
      <c r="D1095" s="2" t="s">
        <v>2158</v>
      </c>
      <c r="E1095" s="2" t="s">
        <v>3443</v>
      </c>
      <c r="F1095" s="36" t="s">
        <v>1599</v>
      </c>
    </row>
    <row r="1096" spans="1:6" s="2" customFormat="1" x14ac:dyDescent="0.25">
      <c r="A1096" s="2" t="s">
        <v>3663</v>
      </c>
      <c r="B1096" s="3">
        <v>3</v>
      </c>
      <c r="C1096" s="3">
        <v>2322</v>
      </c>
      <c r="D1096" s="2" t="s">
        <v>250</v>
      </c>
      <c r="E1096" s="2" t="s">
        <v>3664</v>
      </c>
      <c r="F1096" s="36" t="s">
        <v>1476</v>
      </c>
    </row>
    <row r="1097" spans="1:6" s="2" customFormat="1" x14ac:dyDescent="0.25">
      <c r="A1097" s="2" t="s">
        <v>2062</v>
      </c>
      <c r="B1097" s="6">
        <f>2-2</f>
        <v>0</v>
      </c>
      <c r="C1097" s="3">
        <v>2150</v>
      </c>
      <c r="D1097" s="2" t="s">
        <v>250</v>
      </c>
      <c r="E1097" s="2" t="s">
        <v>2981</v>
      </c>
      <c r="F1097" s="36" t="s">
        <v>1476</v>
      </c>
    </row>
    <row r="1098" spans="1:6" s="2" customFormat="1" x14ac:dyDescent="0.25">
      <c r="A1098" s="2" t="s">
        <v>2188</v>
      </c>
      <c r="B1098" s="3">
        <v>171</v>
      </c>
      <c r="C1098" s="3">
        <v>2218</v>
      </c>
      <c r="D1098" s="2" t="s">
        <v>1563</v>
      </c>
      <c r="E1098" s="2" t="s">
        <v>2982</v>
      </c>
      <c r="F1098" s="36" t="s">
        <v>1849</v>
      </c>
    </row>
    <row r="1099" spans="1:6" s="2" customFormat="1" x14ac:dyDescent="0.25">
      <c r="A1099" s="2" t="s">
        <v>1848</v>
      </c>
      <c r="B1099" s="3">
        <v>200</v>
      </c>
      <c r="C1099" s="3">
        <v>2137</v>
      </c>
      <c r="D1099" s="2" t="s">
        <v>1563</v>
      </c>
      <c r="E1099" s="2" t="s">
        <v>2983</v>
      </c>
      <c r="F1099" s="36" t="s">
        <v>1849</v>
      </c>
    </row>
    <row r="1100" spans="1:6" s="2" customFormat="1" x14ac:dyDescent="0.25">
      <c r="A1100" s="2" t="s">
        <v>3502</v>
      </c>
      <c r="B1100" s="3">
        <v>20</v>
      </c>
      <c r="C1100" s="3">
        <v>2217</v>
      </c>
      <c r="D1100" s="2" t="s">
        <v>250</v>
      </c>
      <c r="E1100" s="2" t="s">
        <v>2983</v>
      </c>
      <c r="F1100" s="36" t="s">
        <v>1476</v>
      </c>
    </row>
    <row r="1101" spans="1:6" s="2" customFormat="1" x14ac:dyDescent="0.25">
      <c r="A1101" s="2" t="s">
        <v>2299</v>
      </c>
      <c r="B1101" s="3">
        <v>3</v>
      </c>
      <c r="C1101" s="3">
        <v>2236</v>
      </c>
      <c r="D1101" s="2" t="s">
        <v>1563</v>
      </c>
      <c r="E1101" s="2" t="s">
        <v>2990</v>
      </c>
      <c r="F1101" s="36" t="s">
        <v>1849</v>
      </c>
    </row>
    <row r="1102" spans="1:6" s="2" customFormat="1" x14ac:dyDescent="0.25">
      <c r="A1102" s="2" t="s">
        <v>1608</v>
      </c>
      <c r="B1102" s="3">
        <v>1</v>
      </c>
      <c r="C1102" s="3">
        <v>2027</v>
      </c>
      <c r="D1102" s="2" t="s">
        <v>250</v>
      </c>
      <c r="E1102" s="2" t="s">
        <v>2984</v>
      </c>
      <c r="F1102" s="36"/>
    </row>
    <row r="1103" spans="1:6" s="2" customFormat="1" x14ac:dyDescent="0.25">
      <c r="A1103" s="2" t="s">
        <v>1608</v>
      </c>
      <c r="B1103" s="3">
        <v>1</v>
      </c>
      <c r="C1103" s="3">
        <v>2204</v>
      </c>
      <c r="D1103" s="2" t="s">
        <v>250</v>
      </c>
      <c r="E1103" s="2" t="s">
        <v>2984</v>
      </c>
      <c r="F1103" s="36"/>
    </row>
    <row r="1104" spans="1:6" s="2" customFormat="1" x14ac:dyDescent="0.25">
      <c r="A1104" s="2" t="s">
        <v>2796</v>
      </c>
      <c r="B1104" s="3">
        <v>8</v>
      </c>
      <c r="C1104" s="3">
        <v>2247</v>
      </c>
      <c r="D1104" s="2" t="s">
        <v>2158</v>
      </c>
      <c r="E1104" s="2" t="s">
        <v>2985</v>
      </c>
      <c r="F1104" s="36" t="s">
        <v>2797</v>
      </c>
    </row>
    <row r="1105" spans="1:6" s="2" customFormat="1" x14ac:dyDescent="0.25">
      <c r="A1105" s="2" t="s">
        <v>1339</v>
      </c>
      <c r="B1105" s="3">
        <v>8</v>
      </c>
      <c r="C1105" s="3"/>
      <c r="D1105" s="2" t="s">
        <v>250</v>
      </c>
      <c r="E1105" s="2" t="s">
        <v>2986</v>
      </c>
      <c r="F1105" s="36" t="s">
        <v>943</v>
      </c>
    </row>
    <row r="1106" spans="1:6" s="2" customFormat="1" x14ac:dyDescent="0.25">
      <c r="A1106" s="2" t="s">
        <v>1655</v>
      </c>
      <c r="B1106" s="3">
        <f>600-50-70-330-1-100</f>
        <v>49</v>
      </c>
      <c r="C1106" s="3">
        <v>2134</v>
      </c>
      <c r="D1106" s="2" t="s">
        <v>1563</v>
      </c>
      <c r="E1106" s="2" t="s">
        <v>2986</v>
      </c>
      <c r="F1106" s="36" t="s">
        <v>1656</v>
      </c>
    </row>
    <row r="1107" spans="1:6" s="2" customFormat="1" x14ac:dyDescent="0.25">
      <c r="A1107" s="2" t="s">
        <v>1655</v>
      </c>
      <c r="B1107" s="3">
        <v>100</v>
      </c>
      <c r="C1107" s="3">
        <v>2134</v>
      </c>
      <c r="D1107" s="2" t="s">
        <v>1563</v>
      </c>
      <c r="E1107" s="2" t="s">
        <v>2986</v>
      </c>
      <c r="F1107" s="36" t="s">
        <v>1656</v>
      </c>
    </row>
    <row r="1108" spans="1:6" s="2" customFormat="1" x14ac:dyDescent="0.25">
      <c r="A1108" s="2" t="s">
        <v>1385</v>
      </c>
      <c r="B1108" s="3">
        <v>1</v>
      </c>
      <c r="C1108" s="3"/>
      <c r="D1108" s="2" t="s">
        <v>250</v>
      </c>
      <c r="E1108" s="2" t="s">
        <v>2987</v>
      </c>
      <c r="F1108" s="36"/>
    </row>
    <row r="1109" spans="1:6" s="2" customFormat="1" x14ac:dyDescent="0.25">
      <c r="A1109" s="2" t="s">
        <v>1461</v>
      </c>
      <c r="B1109" s="6">
        <f>40-20-20</f>
        <v>0</v>
      </c>
      <c r="C1109" s="3">
        <v>2136</v>
      </c>
      <c r="D1109" s="2" t="s">
        <v>208</v>
      </c>
      <c r="E1109" s="2" t="s">
        <v>2988</v>
      </c>
      <c r="F1109" s="36" t="s">
        <v>1462</v>
      </c>
    </row>
    <row r="1110" spans="1:6" s="2" customFormat="1" x14ac:dyDescent="0.25">
      <c r="A1110" s="5" t="s">
        <v>1600</v>
      </c>
      <c r="B1110" s="3">
        <v>10</v>
      </c>
      <c r="C1110" s="3">
        <v>2111</v>
      </c>
      <c r="D1110" s="7" t="s">
        <v>1601</v>
      </c>
      <c r="E1110" s="2" t="s">
        <v>2373</v>
      </c>
      <c r="F1110" s="36"/>
    </row>
    <row r="1111" spans="1:6" s="2" customFormat="1" x14ac:dyDescent="0.25">
      <c r="A1111" s="2" t="s">
        <v>514</v>
      </c>
      <c r="B1111" s="3">
        <f>300-2</f>
        <v>298</v>
      </c>
      <c r="C1111" s="4" t="s">
        <v>214</v>
      </c>
      <c r="D1111" s="2" t="s">
        <v>76</v>
      </c>
      <c r="E1111" s="2" t="s">
        <v>516</v>
      </c>
      <c r="F1111" s="36" t="s">
        <v>515</v>
      </c>
    </row>
    <row r="1112" spans="1:6" s="2" customFormat="1" x14ac:dyDescent="0.25">
      <c r="A1112" s="2" t="s">
        <v>1292</v>
      </c>
      <c r="B1112" s="3">
        <v>1</v>
      </c>
      <c r="C1112" s="4" t="s">
        <v>1293</v>
      </c>
      <c r="D1112" s="2" t="s">
        <v>76</v>
      </c>
      <c r="E1112" s="2" t="s">
        <v>2374</v>
      </c>
      <c r="F1112" s="36"/>
    </row>
    <row r="1113" spans="1:6" s="2" customFormat="1" x14ac:dyDescent="0.25">
      <c r="A1113" s="2" t="s">
        <v>210</v>
      </c>
      <c r="B1113" s="3">
        <v>22</v>
      </c>
      <c r="C1113" s="4" t="s">
        <v>3087</v>
      </c>
      <c r="D1113" s="2" t="s">
        <v>76</v>
      </c>
      <c r="E1113" s="2" t="s">
        <v>2376</v>
      </c>
      <c r="F1113" s="36" t="s">
        <v>231</v>
      </c>
    </row>
    <row r="1114" spans="1:6" s="2" customFormat="1" x14ac:dyDescent="0.25">
      <c r="A1114" s="2" t="s">
        <v>210</v>
      </c>
      <c r="B1114" s="3">
        <v>4</v>
      </c>
      <c r="C1114" s="4"/>
      <c r="D1114" s="2" t="s">
        <v>76</v>
      </c>
      <c r="E1114" s="2" t="s">
        <v>2376</v>
      </c>
      <c r="F1114" s="36" t="s">
        <v>231</v>
      </c>
    </row>
    <row r="1115" spans="1:6" s="2" customFormat="1" x14ac:dyDescent="0.25">
      <c r="A1115" s="5" t="s">
        <v>273</v>
      </c>
      <c r="B1115" s="3">
        <v>500</v>
      </c>
      <c r="C1115" s="3" t="s">
        <v>271</v>
      </c>
      <c r="D1115" s="7" t="s">
        <v>272</v>
      </c>
      <c r="E1115" s="2" t="s">
        <v>274</v>
      </c>
      <c r="F1115" s="36"/>
    </row>
    <row r="1116" spans="1:6" s="2" customFormat="1" x14ac:dyDescent="0.25">
      <c r="A1116" s="2" t="s">
        <v>1238</v>
      </c>
      <c r="B1116" s="3">
        <v>12</v>
      </c>
      <c r="C1116" s="4" t="s">
        <v>393</v>
      </c>
      <c r="D1116" s="2" t="s">
        <v>82</v>
      </c>
      <c r="E1116" s="2" t="s">
        <v>2375</v>
      </c>
      <c r="F1116" s="36"/>
    </row>
    <row r="1117" spans="1:6" s="2" customFormat="1" x14ac:dyDescent="0.25">
      <c r="A1117" s="2" t="s">
        <v>3057</v>
      </c>
      <c r="B1117" s="3">
        <v>10</v>
      </c>
      <c r="C1117" s="4" t="s">
        <v>3015</v>
      </c>
      <c r="E1117" s="2" t="s">
        <v>3016</v>
      </c>
      <c r="F1117" s="36"/>
    </row>
    <row r="1118" spans="1:6" s="2" customFormat="1" x14ac:dyDescent="0.25">
      <c r="A1118" s="2" t="s">
        <v>1616</v>
      </c>
      <c r="B1118" s="3">
        <v>4</v>
      </c>
      <c r="C1118" s="4" t="s">
        <v>1617</v>
      </c>
      <c r="E1118" s="2" t="s">
        <v>1618</v>
      </c>
      <c r="F1118" s="36"/>
    </row>
    <row r="1119" spans="1:6" s="2" customFormat="1" x14ac:dyDescent="0.25">
      <c r="A1119" s="2" t="s">
        <v>659</v>
      </c>
      <c r="B1119" s="3">
        <v>2</v>
      </c>
      <c r="C1119" s="3" t="s">
        <v>473</v>
      </c>
      <c r="D1119" s="2" t="s">
        <v>646</v>
      </c>
      <c r="E1119" s="2" t="s">
        <v>663</v>
      </c>
      <c r="F1119" s="36" t="s">
        <v>662</v>
      </c>
    </row>
    <row r="1120" spans="1:6" s="2" customFormat="1" x14ac:dyDescent="0.25">
      <c r="A1120" s="2" t="s">
        <v>660</v>
      </c>
      <c r="B1120" s="3">
        <v>2</v>
      </c>
      <c r="C1120" s="3" t="s">
        <v>473</v>
      </c>
      <c r="D1120" s="2" t="s">
        <v>0</v>
      </c>
      <c r="E1120" s="2" t="s">
        <v>664</v>
      </c>
      <c r="F1120" s="36" t="s">
        <v>662</v>
      </c>
    </row>
    <row r="1121" spans="1:6" s="2" customFormat="1" x14ac:dyDescent="0.25">
      <c r="A1121" s="2" t="s">
        <v>658</v>
      </c>
      <c r="B1121" s="3">
        <v>2</v>
      </c>
      <c r="C1121" s="3" t="s">
        <v>473</v>
      </c>
      <c r="D1121" s="2" t="s">
        <v>646</v>
      </c>
      <c r="E1121" s="2" t="s">
        <v>661</v>
      </c>
      <c r="F1121" s="36" t="s">
        <v>662</v>
      </c>
    </row>
    <row r="1122" spans="1:6" s="2" customFormat="1" x14ac:dyDescent="0.25">
      <c r="A1122" s="2" t="s">
        <v>3086</v>
      </c>
      <c r="B1122" s="3">
        <v>10</v>
      </c>
      <c r="C1122" s="3" t="s">
        <v>473</v>
      </c>
      <c r="D1122" s="2" t="s">
        <v>646</v>
      </c>
      <c r="E1122" s="2" t="s">
        <v>3012</v>
      </c>
      <c r="F1122" s="36" t="s">
        <v>881</v>
      </c>
    </row>
    <row r="1123" spans="1:6" s="2" customFormat="1" ht="30" x14ac:dyDescent="0.25">
      <c r="A1123" s="2" t="s">
        <v>3019</v>
      </c>
      <c r="B1123" s="3">
        <v>4</v>
      </c>
      <c r="C1123" s="3">
        <v>2146</v>
      </c>
      <c r="D1123" s="2" t="s">
        <v>646</v>
      </c>
      <c r="E1123" s="2" t="s">
        <v>3020</v>
      </c>
      <c r="F1123" s="1" t="s">
        <v>3018</v>
      </c>
    </row>
    <row r="1124" spans="1:6" s="2" customFormat="1" x14ac:dyDescent="0.25">
      <c r="A1124" s="2" t="s">
        <v>1576</v>
      </c>
      <c r="B1124" s="3">
        <v>4</v>
      </c>
      <c r="C1124" s="3">
        <v>2137</v>
      </c>
      <c r="D1124" s="2" t="s">
        <v>646</v>
      </c>
      <c r="E1124" s="2" t="s">
        <v>3013</v>
      </c>
      <c r="F1124" s="36" t="s">
        <v>1575</v>
      </c>
    </row>
    <row r="1125" spans="1:6" s="2" customFormat="1" x14ac:dyDescent="0.25">
      <c r="A1125" s="2" t="s">
        <v>1574</v>
      </c>
      <c r="B1125" s="3">
        <v>9</v>
      </c>
      <c r="C1125" s="3">
        <v>2145</v>
      </c>
      <c r="D1125" s="2" t="s">
        <v>646</v>
      </c>
      <c r="E1125" s="2" t="s">
        <v>3014</v>
      </c>
      <c r="F1125" s="36" t="s">
        <v>1575</v>
      </c>
    </row>
    <row r="1126" spans="1:6" s="2" customFormat="1" x14ac:dyDescent="0.25">
      <c r="A1126" s="2" t="s">
        <v>3056</v>
      </c>
      <c r="B1126" s="3">
        <v>10</v>
      </c>
      <c r="C1126" s="3">
        <v>2146</v>
      </c>
      <c r="D1126" s="2" t="s">
        <v>646</v>
      </c>
      <c r="E1126" s="2" t="s">
        <v>3017</v>
      </c>
      <c r="F1126" s="36" t="s">
        <v>3018</v>
      </c>
    </row>
    <row r="1127" spans="1:6" s="2" customFormat="1" x14ac:dyDescent="0.25">
      <c r="A1127" s="2" t="s">
        <v>3229</v>
      </c>
      <c r="B1127" s="3">
        <v>4</v>
      </c>
      <c r="C1127" s="3">
        <v>2236</v>
      </c>
      <c r="D1127" s="2" t="s">
        <v>3199</v>
      </c>
      <c r="E1127" s="2" t="s">
        <v>3230</v>
      </c>
      <c r="F1127" s="36" t="s">
        <v>3231</v>
      </c>
    </row>
    <row r="1128" spans="1:6" s="2" customFormat="1" x14ac:dyDescent="0.25">
      <c r="A1128" s="2" t="s">
        <v>1789</v>
      </c>
      <c r="B1128" s="3">
        <v>6</v>
      </c>
      <c r="C1128" s="3">
        <v>2118</v>
      </c>
      <c r="D1128" s="2" t="s">
        <v>76</v>
      </c>
      <c r="E1128" s="2" t="s">
        <v>1790</v>
      </c>
      <c r="F1128" s="36" t="s">
        <v>1791</v>
      </c>
    </row>
    <row r="1129" spans="1:6" s="2" customFormat="1" x14ac:dyDescent="0.25">
      <c r="A1129" s="2" t="s">
        <v>1712</v>
      </c>
      <c r="B1129" s="3">
        <f>152-36-2</f>
        <v>114</v>
      </c>
      <c r="C1129" s="3">
        <v>2142</v>
      </c>
      <c r="D1129" s="2" t="s">
        <v>0</v>
      </c>
      <c r="E1129" s="2" t="s">
        <v>1715</v>
      </c>
      <c r="F1129" s="36" t="s">
        <v>1713</v>
      </c>
    </row>
    <row r="1130" spans="1:6" s="2" customFormat="1" x14ac:dyDescent="0.25">
      <c r="A1130" s="2" t="s">
        <v>1402</v>
      </c>
      <c r="B1130" s="3">
        <v>28</v>
      </c>
      <c r="C1130" s="3">
        <v>2044</v>
      </c>
      <c r="D1130" s="2" t="s">
        <v>759</v>
      </c>
      <c r="E1130" s="2" t="s">
        <v>1716</v>
      </c>
      <c r="F1130" s="36" t="s">
        <v>1403</v>
      </c>
    </row>
    <row r="1131" spans="1:6" s="2" customFormat="1" x14ac:dyDescent="0.25">
      <c r="A1131" s="2" t="s">
        <v>1714</v>
      </c>
      <c r="B1131" s="3">
        <f>152-40-19</f>
        <v>93</v>
      </c>
      <c r="C1131" s="3">
        <v>2201</v>
      </c>
      <c r="D1131" s="2" t="s">
        <v>0</v>
      </c>
      <c r="E1131" s="2" t="s">
        <v>1717</v>
      </c>
      <c r="F1131" s="36" t="s">
        <v>1713</v>
      </c>
    </row>
    <row r="1132" spans="1:6" s="2" customFormat="1" x14ac:dyDescent="0.25">
      <c r="A1132" s="2" t="s">
        <v>1719</v>
      </c>
      <c r="B1132" s="3">
        <f>152-36-4</f>
        <v>112</v>
      </c>
      <c r="C1132" s="3">
        <v>2210</v>
      </c>
      <c r="D1132" s="2" t="s">
        <v>0</v>
      </c>
      <c r="E1132" s="2" t="s">
        <v>1720</v>
      </c>
      <c r="F1132" s="36" t="s">
        <v>1713</v>
      </c>
    </row>
    <row r="1133" spans="1:6" s="2" customFormat="1" x14ac:dyDescent="0.25">
      <c r="A1133" s="2" t="s">
        <v>1696</v>
      </c>
      <c r="B1133" s="3">
        <f>152-36</f>
        <v>116</v>
      </c>
      <c r="C1133" s="3">
        <v>2127</v>
      </c>
      <c r="D1133" s="2" t="s">
        <v>759</v>
      </c>
      <c r="E1133" s="2" t="s">
        <v>1718</v>
      </c>
      <c r="F1133" s="36" t="s">
        <v>1697</v>
      </c>
    </row>
    <row r="1134" spans="1:6" s="2" customFormat="1" x14ac:dyDescent="0.25">
      <c r="A1134" s="2" t="s">
        <v>1153</v>
      </c>
      <c r="B1134" s="3">
        <f>20000-194-5600-10000-50-267-100-135-100-120-50-200-20-1356-27-108</f>
        <v>1673</v>
      </c>
      <c r="C1134" s="3">
        <v>2121</v>
      </c>
      <c r="D1134" s="2" t="s">
        <v>0</v>
      </c>
      <c r="E1134" s="2" t="s">
        <v>3270</v>
      </c>
      <c r="F1134" s="36" t="s">
        <v>1</v>
      </c>
    </row>
    <row r="1135" spans="1:6" s="2" customFormat="1" x14ac:dyDescent="0.25">
      <c r="A1135" s="2" t="s">
        <v>3268</v>
      </c>
      <c r="B1135" s="14">
        <v>5</v>
      </c>
      <c r="C1135" s="3">
        <v>2329</v>
      </c>
      <c r="D1135" s="2" t="s">
        <v>0</v>
      </c>
      <c r="E1135" s="2" t="s">
        <v>3269</v>
      </c>
      <c r="F1135" s="36" t="s">
        <v>1</v>
      </c>
    </row>
    <row r="1136" spans="1:6" s="2" customFormat="1" x14ac:dyDescent="0.25">
      <c r="A1136" s="2" t="s">
        <v>3183</v>
      </c>
      <c r="B1136" s="3">
        <v>1</v>
      </c>
      <c r="C1136" s="3">
        <v>2223</v>
      </c>
      <c r="D1136" s="2" t="s">
        <v>0</v>
      </c>
      <c r="E1136" s="2" t="s">
        <v>3184</v>
      </c>
      <c r="F1136" s="36" t="s">
        <v>3185</v>
      </c>
    </row>
    <row r="1137" spans="1:6" s="2" customFormat="1" x14ac:dyDescent="0.25">
      <c r="A1137" s="2" t="s">
        <v>454</v>
      </c>
      <c r="B1137" s="3">
        <f>10000-100-3</f>
        <v>9897</v>
      </c>
      <c r="C1137" s="3">
        <v>1649</v>
      </c>
      <c r="D1137" s="2" t="s">
        <v>0</v>
      </c>
      <c r="E1137" s="2" t="s">
        <v>2357</v>
      </c>
      <c r="F1137" s="36" t="s">
        <v>1</v>
      </c>
    </row>
    <row r="1138" spans="1:6" s="2" customFormat="1" x14ac:dyDescent="0.25">
      <c r="A1138" s="2" t="s">
        <v>23</v>
      </c>
      <c r="B1138" s="3">
        <f>10000-165-50-131-895-51</f>
        <v>8708</v>
      </c>
      <c r="C1138" s="3">
        <v>2243</v>
      </c>
      <c r="D1138" s="2" t="s">
        <v>0</v>
      </c>
      <c r="E1138" s="2" t="s">
        <v>2356</v>
      </c>
      <c r="F1138" s="36" t="s">
        <v>1</v>
      </c>
    </row>
    <row r="1139" spans="1:6" s="2" customFormat="1" x14ac:dyDescent="0.25">
      <c r="A1139" s="2" t="s">
        <v>2358</v>
      </c>
      <c r="B1139" s="3">
        <v>6000</v>
      </c>
      <c r="C1139" s="3">
        <v>2218</v>
      </c>
      <c r="D1139" s="2" t="s">
        <v>0</v>
      </c>
      <c r="E1139" s="2" t="s">
        <v>2359</v>
      </c>
      <c r="F1139" s="36" t="s">
        <v>1</v>
      </c>
    </row>
    <row r="1140" spans="1:6" s="2" customFormat="1" x14ac:dyDescent="0.25">
      <c r="A1140" s="2" t="s">
        <v>2358</v>
      </c>
      <c r="B1140" s="3">
        <f>2665-28-100-1300-60-15-87</f>
        <v>1075</v>
      </c>
      <c r="C1140" s="3">
        <v>2218</v>
      </c>
      <c r="D1140" s="2" t="s">
        <v>0</v>
      </c>
      <c r="E1140" s="2" t="s">
        <v>2359</v>
      </c>
      <c r="F1140" s="36" t="s">
        <v>1</v>
      </c>
    </row>
    <row r="1141" spans="1:6" s="2" customFormat="1" x14ac:dyDescent="0.25">
      <c r="A1141" s="2" t="s">
        <v>1977</v>
      </c>
      <c r="B1141" s="3">
        <v>100</v>
      </c>
      <c r="C1141" s="3">
        <v>2103</v>
      </c>
      <c r="D1141" s="2" t="s">
        <v>0</v>
      </c>
      <c r="E1141" s="2" t="s">
        <v>2360</v>
      </c>
      <c r="F1141" s="36" t="s">
        <v>1</v>
      </c>
    </row>
    <row r="1142" spans="1:6" s="2" customFormat="1" x14ac:dyDescent="0.25">
      <c r="A1142" s="2" t="s">
        <v>1104</v>
      </c>
      <c r="B1142" s="3">
        <v>1</v>
      </c>
      <c r="C1142" s="3">
        <v>1850</v>
      </c>
      <c r="D1142" s="2" t="s">
        <v>0</v>
      </c>
      <c r="E1142" s="2" t="s">
        <v>2361</v>
      </c>
      <c r="F1142" s="36" t="s">
        <v>1</v>
      </c>
    </row>
    <row r="1143" spans="1:6" s="2" customFormat="1" x14ac:dyDescent="0.25">
      <c r="A1143" s="2" t="s">
        <v>199</v>
      </c>
      <c r="B1143" s="3">
        <f>90000-20000-30000-10000-316-1-10000-30-1000-10-25-25-26-350-50-50+334-1003-50-100-70-100-100-1500-114-1003-18</f>
        <v>14393</v>
      </c>
      <c r="C1143" s="3">
        <v>1519</v>
      </c>
      <c r="D1143" s="2" t="s">
        <v>0</v>
      </c>
      <c r="E1143" s="2" t="s">
        <v>2362</v>
      </c>
      <c r="F1143" s="36" t="s">
        <v>1</v>
      </c>
    </row>
    <row r="1144" spans="1:6" s="2" customFormat="1" x14ac:dyDescent="0.25">
      <c r="A1144" s="2" t="s">
        <v>3003</v>
      </c>
      <c r="B1144" s="14">
        <v>5</v>
      </c>
      <c r="C1144" s="3">
        <v>2215</v>
      </c>
      <c r="D1144" s="5" t="s">
        <v>3005</v>
      </c>
      <c r="E1144" s="2" t="s">
        <v>3004</v>
      </c>
      <c r="F1144" s="36" t="s">
        <v>3006</v>
      </c>
    </row>
    <row r="1145" spans="1:6" s="2" customFormat="1" x14ac:dyDescent="0.25">
      <c r="A1145" s="2" t="s">
        <v>1486</v>
      </c>
      <c r="B1145" s="14">
        <f>4250-60-20-50</f>
        <v>4120</v>
      </c>
      <c r="C1145" s="3">
        <v>2249</v>
      </c>
      <c r="D1145" s="2" t="s">
        <v>0</v>
      </c>
      <c r="E1145" s="2" t="s">
        <v>2363</v>
      </c>
      <c r="F1145" s="36" t="s">
        <v>1</v>
      </c>
    </row>
    <row r="1146" spans="1:6" s="2" customFormat="1" x14ac:dyDescent="0.25">
      <c r="A1146" s="2" t="s">
        <v>321</v>
      </c>
      <c r="B1146" s="3">
        <f>120000-20-360-26-400-25-20-48-10000-6700-6200-31-10000-25-25-130-4684-22500-17567-8450-50-18-8400-10001-100-100-300-188</f>
        <v>13632</v>
      </c>
      <c r="C1146" s="3">
        <v>1623</v>
      </c>
      <c r="D1146" s="2" t="s">
        <v>0</v>
      </c>
      <c r="E1146" s="2" t="s">
        <v>2377</v>
      </c>
      <c r="F1146" s="36" t="s">
        <v>1</v>
      </c>
    </row>
    <row r="1147" spans="1:6" s="2" customFormat="1" x14ac:dyDescent="0.25">
      <c r="A1147" s="2" t="s">
        <v>3193</v>
      </c>
      <c r="B1147" s="3">
        <v>1</v>
      </c>
      <c r="C1147" s="3">
        <v>2233</v>
      </c>
      <c r="D1147" s="2" t="s">
        <v>816</v>
      </c>
      <c r="E1147" s="2" t="s">
        <v>3194</v>
      </c>
      <c r="F1147" s="36" t="s">
        <v>2569</v>
      </c>
    </row>
    <row r="1148" spans="1:6" s="2" customFormat="1" x14ac:dyDescent="0.25">
      <c r="A1148" s="2" t="s">
        <v>415</v>
      </c>
      <c r="B1148" s="3">
        <f>110000-100-25-10000-10000-10000-100-39-10000-5-50-50-60-50-75-19-10000</f>
        <v>59427</v>
      </c>
      <c r="C1148" s="3">
        <v>1628</v>
      </c>
      <c r="D1148" s="2" t="s">
        <v>0</v>
      </c>
      <c r="E1148" s="2" t="s">
        <v>2378</v>
      </c>
      <c r="F1148" s="36" t="s">
        <v>1</v>
      </c>
    </row>
    <row r="1149" spans="1:6" s="2" customFormat="1" x14ac:dyDescent="0.25">
      <c r="A1149" s="2" t="s">
        <v>322</v>
      </c>
      <c r="B1149" s="3">
        <f>120000-20000-20000-4-10-60-100</f>
        <v>79826</v>
      </c>
      <c r="C1149" s="3">
        <v>1603</v>
      </c>
      <c r="D1149" s="2" t="s">
        <v>0</v>
      </c>
      <c r="E1149" s="2" t="s">
        <v>2379</v>
      </c>
      <c r="F1149" s="36" t="s">
        <v>1</v>
      </c>
    </row>
    <row r="1150" spans="1:6" s="2" customFormat="1" x14ac:dyDescent="0.25">
      <c r="A1150" s="2" t="s">
        <v>3349</v>
      </c>
      <c r="B1150" s="3">
        <v>5</v>
      </c>
      <c r="C1150" s="3">
        <v>2247</v>
      </c>
      <c r="D1150" s="2" t="s">
        <v>0</v>
      </c>
      <c r="E1150" s="2" t="s">
        <v>3350</v>
      </c>
      <c r="F1150" s="36" t="s">
        <v>1</v>
      </c>
    </row>
    <row r="1151" spans="1:6" s="2" customFormat="1" x14ac:dyDescent="0.25">
      <c r="A1151" s="2" t="s">
        <v>2054</v>
      </c>
      <c r="B1151" s="3">
        <v>70</v>
      </c>
      <c r="C1151" s="3">
        <v>2114</v>
      </c>
      <c r="D1151" s="2" t="s">
        <v>0</v>
      </c>
      <c r="E1151" s="2" t="s">
        <v>2380</v>
      </c>
      <c r="F1151" s="36" t="s">
        <v>1</v>
      </c>
    </row>
    <row r="1152" spans="1:6" s="2" customFormat="1" x14ac:dyDescent="0.25">
      <c r="A1152" s="2" t="s">
        <v>22</v>
      </c>
      <c r="B1152" s="14">
        <f>70000-10-210-180-25-10000-12-10000-25-2-100-10000-100-100-10000-25-20000-50-36-18-100-50-120-1-330</f>
        <v>8506</v>
      </c>
      <c r="C1152" s="3">
        <v>1519</v>
      </c>
      <c r="D1152" s="2" t="s">
        <v>0</v>
      </c>
      <c r="E1152" s="2" t="s">
        <v>2381</v>
      </c>
      <c r="F1152" s="36" t="s">
        <v>1</v>
      </c>
    </row>
    <row r="1153" spans="1:6" s="2" customFormat="1" x14ac:dyDescent="0.25">
      <c r="A1153" s="2" t="s">
        <v>373</v>
      </c>
      <c r="B1153" s="14">
        <f>110000-10000-100-100-50-100</f>
        <v>99650</v>
      </c>
      <c r="C1153" s="3">
        <v>1642</v>
      </c>
      <c r="D1153" s="2" t="s">
        <v>0</v>
      </c>
      <c r="E1153" s="2" t="s">
        <v>2382</v>
      </c>
      <c r="F1153" s="36" t="s">
        <v>1</v>
      </c>
    </row>
    <row r="1154" spans="1:6" s="2" customFormat="1" x14ac:dyDescent="0.25">
      <c r="A1154" s="2" t="s">
        <v>3178</v>
      </c>
      <c r="B1154" s="15">
        <v>1387</v>
      </c>
      <c r="C1154" s="3" t="s">
        <v>27</v>
      </c>
      <c r="D1154" s="2" t="s">
        <v>0</v>
      </c>
      <c r="E1154" s="2" t="s">
        <v>3135</v>
      </c>
      <c r="F1154" s="36" t="s">
        <v>1</v>
      </c>
    </row>
    <row r="1155" spans="1:6" s="2" customFormat="1" x14ac:dyDescent="0.25">
      <c r="A1155" s="2" t="s">
        <v>3263</v>
      </c>
      <c r="B1155" s="14">
        <v>4</v>
      </c>
      <c r="C1155" s="3">
        <v>2241</v>
      </c>
      <c r="D1155" s="2" t="s">
        <v>0</v>
      </c>
      <c r="E1155" s="2" t="s">
        <v>3264</v>
      </c>
      <c r="F1155" s="36" t="s">
        <v>1</v>
      </c>
    </row>
    <row r="1156" spans="1:6" s="2" customFormat="1" x14ac:dyDescent="0.25">
      <c r="A1156" s="2" t="s">
        <v>3179</v>
      </c>
      <c r="B1156" s="15">
        <v>553</v>
      </c>
      <c r="C1156" s="3" t="s">
        <v>27</v>
      </c>
      <c r="D1156" s="2" t="s">
        <v>0</v>
      </c>
      <c r="E1156" s="2" t="s">
        <v>3180</v>
      </c>
      <c r="F1156" s="36" t="s">
        <v>1</v>
      </c>
    </row>
    <row r="1157" spans="1:6" s="2" customFormat="1" x14ac:dyDescent="0.25">
      <c r="A1157" s="2" t="s">
        <v>245</v>
      </c>
      <c r="B1157" s="3">
        <f>30000-10000</f>
        <v>20000</v>
      </c>
      <c r="C1157" s="3">
        <v>1521</v>
      </c>
      <c r="D1157" s="5" t="s">
        <v>71</v>
      </c>
      <c r="E1157" s="2" t="s">
        <v>1809</v>
      </c>
      <c r="F1157" s="36" t="s">
        <v>72</v>
      </c>
    </row>
    <row r="1158" spans="1:6" s="2" customFormat="1" x14ac:dyDescent="0.25">
      <c r="A1158" s="2" t="s">
        <v>1175</v>
      </c>
      <c r="B1158" s="15">
        <f>1500-1500</f>
        <v>0</v>
      </c>
      <c r="C1158" s="3">
        <v>2006</v>
      </c>
      <c r="D1158" s="2" t="s">
        <v>0</v>
      </c>
      <c r="E1158" s="2" t="s">
        <v>2383</v>
      </c>
      <c r="F1158" s="36" t="s">
        <v>1</v>
      </c>
    </row>
    <row r="1159" spans="1:6" s="2" customFormat="1" x14ac:dyDescent="0.25">
      <c r="A1159" s="2" t="s">
        <v>2813</v>
      </c>
      <c r="B1159" s="14">
        <v>10</v>
      </c>
      <c r="C1159" s="3">
        <v>2220</v>
      </c>
      <c r="D1159" s="2" t="s">
        <v>0</v>
      </c>
      <c r="E1159" s="2" t="s">
        <v>2814</v>
      </c>
      <c r="F1159" s="36" t="s">
        <v>1</v>
      </c>
    </row>
    <row r="1160" spans="1:6" s="2" customFormat="1" x14ac:dyDescent="0.25">
      <c r="A1160" s="2" t="s">
        <v>1651</v>
      </c>
      <c r="B1160" s="14">
        <v>38</v>
      </c>
      <c r="C1160" s="3">
        <v>2109</v>
      </c>
      <c r="D1160" s="2" t="s">
        <v>0</v>
      </c>
      <c r="E1160" s="2" t="s">
        <v>1534</v>
      </c>
      <c r="F1160" s="36" t="s">
        <v>1</v>
      </c>
    </row>
    <row r="1161" spans="1:6" s="2" customFormat="1" x14ac:dyDescent="0.25">
      <c r="A1161" s="2" t="s">
        <v>344</v>
      </c>
      <c r="B1161" s="15">
        <f>90-7-83</f>
        <v>0</v>
      </c>
      <c r="C1161" s="3" t="s">
        <v>352</v>
      </c>
      <c r="D1161" s="2" t="s">
        <v>0</v>
      </c>
      <c r="E1161" s="2" t="s">
        <v>1533</v>
      </c>
      <c r="F1161" s="36" t="s">
        <v>1</v>
      </c>
    </row>
    <row r="1162" spans="1:6" s="2" customFormat="1" x14ac:dyDescent="0.25">
      <c r="A1162" s="2" t="s">
        <v>238</v>
      </c>
      <c r="B1162" s="14">
        <f>90000-100</f>
        <v>89900</v>
      </c>
      <c r="C1162" s="3">
        <v>1515</v>
      </c>
      <c r="D1162" s="2" t="s">
        <v>0</v>
      </c>
      <c r="E1162" s="2" t="s">
        <v>2384</v>
      </c>
      <c r="F1162" s="36" t="s">
        <v>1</v>
      </c>
    </row>
    <row r="1163" spans="1:6" s="2" customFormat="1" x14ac:dyDescent="0.25">
      <c r="A1163" s="2" t="s">
        <v>248</v>
      </c>
      <c r="B1163" s="3">
        <f>90000-50-1200-1100-1000-3000-645-20-3800-3127-1450-26-1400-100-1200-178-1600-70-100-40-20-8577</f>
        <v>61297</v>
      </c>
      <c r="C1163" s="3">
        <v>1528</v>
      </c>
      <c r="D1163" s="2" t="s">
        <v>0</v>
      </c>
      <c r="E1163" s="2" t="s">
        <v>2385</v>
      </c>
      <c r="F1163" s="36" t="s">
        <v>1</v>
      </c>
    </row>
    <row r="1164" spans="1:6" s="2" customFormat="1" x14ac:dyDescent="0.25">
      <c r="A1164" s="2" t="s">
        <v>3010</v>
      </c>
      <c r="B1164" s="3">
        <v>2</v>
      </c>
      <c r="C1164" s="3">
        <v>2219</v>
      </c>
      <c r="D1164" s="5" t="s">
        <v>3005</v>
      </c>
      <c r="E1164" s="2" t="s">
        <v>3011</v>
      </c>
      <c r="F1164" s="36" t="s">
        <v>3006</v>
      </c>
    </row>
    <row r="1165" spans="1:6" s="2" customFormat="1" x14ac:dyDescent="0.25">
      <c r="A1165" s="2" t="s">
        <v>426</v>
      </c>
      <c r="B1165" s="14">
        <f>9900-65-10-100-20-25-25-100-100-100-10-100-15-50-46-6+13-80-50-62-140-150-100-6-21</f>
        <v>8532</v>
      </c>
      <c r="C1165" s="3">
        <v>1550</v>
      </c>
      <c r="D1165" s="2" t="s">
        <v>0</v>
      </c>
      <c r="E1165" s="2" t="s">
        <v>2386</v>
      </c>
      <c r="F1165" s="36" t="s">
        <v>1</v>
      </c>
    </row>
    <row r="1166" spans="1:6" s="2" customFormat="1" x14ac:dyDescent="0.25">
      <c r="A1166" s="2" t="s">
        <v>2567</v>
      </c>
      <c r="B1166" s="14">
        <v>9000</v>
      </c>
      <c r="C1166" s="3">
        <v>2308</v>
      </c>
      <c r="D1166" s="2" t="s">
        <v>0</v>
      </c>
      <c r="E1166" s="2" t="s">
        <v>2568</v>
      </c>
      <c r="F1166" s="36" t="s">
        <v>1</v>
      </c>
    </row>
    <row r="1167" spans="1:6" s="2" customFormat="1" x14ac:dyDescent="0.25">
      <c r="A1167" s="2" t="s">
        <v>921</v>
      </c>
      <c r="B1167" s="3">
        <v>10</v>
      </c>
      <c r="C1167" s="3" t="s">
        <v>27</v>
      </c>
      <c r="D1167" s="2" t="s">
        <v>816</v>
      </c>
      <c r="E1167" s="2" t="s">
        <v>1810</v>
      </c>
      <c r="F1167" s="36" t="s">
        <v>2569</v>
      </c>
    </row>
    <row r="1168" spans="1:6" s="2" customFormat="1" x14ac:dyDescent="0.25">
      <c r="A1168" s="2" t="s">
        <v>1105</v>
      </c>
      <c r="B1168" s="3">
        <v>17</v>
      </c>
      <c r="C1168" s="3">
        <v>1407</v>
      </c>
      <c r="D1168" s="2" t="s">
        <v>0</v>
      </c>
      <c r="E1168" s="2" t="s">
        <v>2387</v>
      </c>
      <c r="F1168" s="36" t="s">
        <v>1</v>
      </c>
    </row>
    <row r="1169" spans="1:6" s="2" customFormat="1" x14ac:dyDescent="0.25">
      <c r="A1169" s="2" t="s">
        <v>3195</v>
      </c>
      <c r="B1169" s="3">
        <v>1</v>
      </c>
      <c r="C1169" s="3">
        <v>2228</v>
      </c>
      <c r="D1169" s="2" t="s">
        <v>816</v>
      </c>
      <c r="E1169" s="2" t="s">
        <v>3196</v>
      </c>
      <c r="F1169" s="36" t="s">
        <v>2569</v>
      </c>
    </row>
    <row r="1170" spans="1:6" s="2" customFormat="1" x14ac:dyDescent="0.25">
      <c r="A1170" s="2" t="s">
        <v>453</v>
      </c>
      <c r="B1170" s="14">
        <f>10000-100-14</f>
        <v>9886</v>
      </c>
      <c r="C1170" s="3">
        <v>1649</v>
      </c>
      <c r="D1170" s="2" t="s">
        <v>0</v>
      </c>
      <c r="E1170" s="2" t="s">
        <v>2388</v>
      </c>
      <c r="F1170" s="36" t="s">
        <v>1</v>
      </c>
    </row>
    <row r="1171" spans="1:6" s="2" customFormat="1" x14ac:dyDescent="0.25">
      <c r="A1171" s="2" t="s">
        <v>739</v>
      </c>
      <c r="B1171" s="14">
        <f>10000-1100-2000-30-2000-100-10-4</f>
        <v>4756</v>
      </c>
      <c r="C1171" s="3" t="s">
        <v>590</v>
      </c>
      <c r="D1171" s="2" t="s">
        <v>0</v>
      </c>
      <c r="E1171" s="2" t="s">
        <v>2389</v>
      </c>
      <c r="F1171" s="36" t="s">
        <v>1</v>
      </c>
    </row>
    <row r="1172" spans="1:6" s="2" customFormat="1" x14ac:dyDescent="0.25">
      <c r="A1172" s="2" t="s">
        <v>3284</v>
      </c>
      <c r="B1172" s="14">
        <v>94</v>
      </c>
      <c r="C1172" s="3">
        <v>2331</v>
      </c>
      <c r="D1172" s="2" t="s">
        <v>0</v>
      </c>
      <c r="E1172" s="2" t="s">
        <v>3285</v>
      </c>
      <c r="F1172" s="36" t="s">
        <v>1</v>
      </c>
    </row>
    <row r="1173" spans="1:6" s="2" customFormat="1" x14ac:dyDescent="0.25">
      <c r="A1173" s="2" t="s">
        <v>3266</v>
      </c>
      <c r="B1173" s="14">
        <f>4-3</f>
        <v>1</v>
      </c>
      <c r="C1173" s="3">
        <v>2237</v>
      </c>
      <c r="D1173" s="2" t="s">
        <v>0</v>
      </c>
      <c r="E1173" s="2" t="s">
        <v>3267</v>
      </c>
      <c r="F1173" s="36" t="s">
        <v>1</v>
      </c>
    </row>
    <row r="1174" spans="1:6" s="2" customFormat="1" x14ac:dyDescent="0.25">
      <c r="A1174" s="2" t="s">
        <v>345</v>
      </c>
      <c r="B1174" s="14">
        <v>83</v>
      </c>
      <c r="C1174" s="3" t="s">
        <v>352</v>
      </c>
      <c r="D1174" s="2" t="s">
        <v>0</v>
      </c>
      <c r="E1174" s="2" t="s">
        <v>2390</v>
      </c>
      <c r="F1174" s="36" t="s">
        <v>1</v>
      </c>
    </row>
    <row r="1175" spans="1:6" s="2" customFormat="1" x14ac:dyDescent="0.25">
      <c r="A1175" s="2" t="s">
        <v>313</v>
      </c>
      <c r="B1175" s="3">
        <f>10000-100+6</f>
        <v>9906</v>
      </c>
      <c r="C1175" s="3">
        <v>1552</v>
      </c>
      <c r="D1175" s="5" t="s">
        <v>71</v>
      </c>
      <c r="E1175" s="2" t="s">
        <v>2391</v>
      </c>
      <c r="F1175" s="36" t="s">
        <v>72</v>
      </c>
    </row>
    <row r="1176" spans="1:6" s="2" customFormat="1" x14ac:dyDescent="0.25">
      <c r="A1176" s="2" t="s">
        <v>456</v>
      </c>
      <c r="B1176" s="14">
        <f>10000-100+6</f>
        <v>9906</v>
      </c>
      <c r="C1176" s="3">
        <v>1451</v>
      </c>
      <c r="D1176" s="2" t="s">
        <v>0</v>
      </c>
      <c r="E1176" s="2" t="s">
        <v>2392</v>
      </c>
      <c r="F1176" s="36" t="s">
        <v>1</v>
      </c>
    </row>
    <row r="1177" spans="1:6" s="2" customFormat="1" x14ac:dyDescent="0.25">
      <c r="A1177" s="2" t="s">
        <v>455</v>
      </c>
      <c r="B1177" s="14">
        <f>10000-100-40-4-20</f>
        <v>9836</v>
      </c>
      <c r="C1177" s="3">
        <v>1711</v>
      </c>
      <c r="D1177" s="2" t="s">
        <v>0</v>
      </c>
      <c r="E1177" s="2" t="s">
        <v>2393</v>
      </c>
      <c r="F1177" s="36" t="s">
        <v>1</v>
      </c>
    </row>
    <row r="1178" spans="1:6" s="2" customFormat="1" x14ac:dyDescent="0.25">
      <c r="A1178" s="2" t="s">
        <v>1174</v>
      </c>
      <c r="B1178" s="14">
        <v>1203</v>
      </c>
      <c r="C1178" s="3">
        <v>2008</v>
      </c>
      <c r="D1178" s="2" t="s">
        <v>0</v>
      </c>
      <c r="E1178" s="2" t="s">
        <v>2394</v>
      </c>
      <c r="F1178" s="36" t="s">
        <v>1</v>
      </c>
    </row>
    <row r="1179" spans="1:6" s="2" customFormat="1" x14ac:dyDescent="0.25">
      <c r="A1179" s="2" t="s">
        <v>1184</v>
      </c>
      <c r="B1179" s="14">
        <f>70000-15000-50-10000-20000-50-11-478-100-10000-135-570-810-6-50-18-10000-53-3-6</f>
        <v>2660</v>
      </c>
      <c r="C1179" s="3">
        <v>2126</v>
      </c>
      <c r="D1179" s="2" t="s">
        <v>0</v>
      </c>
      <c r="E1179" s="2" t="s">
        <v>2395</v>
      </c>
      <c r="F1179" s="36" t="s">
        <v>161</v>
      </c>
    </row>
    <row r="1180" spans="1:6" s="2" customFormat="1" x14ac:dyDescent="0.25">
      <c r="A1180" s="2" t="s">
        <v>163</v>
      </c>
      <c r="B1180" s="14">
        <f>65000-50000-1000-10-10-10000-15-40-500-12-70-100-6-60-10-25-39-100-50-50-50-50-50-17-152-63</f>
        <v>2521</v>
      </c>
      <c r="C1180" s="3">
        <v>1720</v>
      </c>
      <c r="D1180" s="2" t="s">
        <v>0</v>
      </c>
      <c r="E1180" s="2" t="s">
        <v>2396</v>
      </c>
      <c r="F1180" s="36" t="s">
        <v>161</v>
      </c>
    </row>
    <row r="1181" spans="1:6" s="2" customFormat="1" x14ac:dyDescent="0.25">
      <c r="A1181" s="2" t="s">
        <v>163</v>
      </c>
      <c r="B1181" s="14">
        <v>20000</v>
      </c>
      <c r="C1181" s="3" t="s">
        <v>3668</v>
      </c>
      <c r="D1181" s="2" t="s">
        <v>0</v>
      </c>
      <c r="E1181" s="2" t="s">
        <v>2396</v>
      </c>
      <c r="F1181" s="36" t="s">
        <v>161</v>
      </c>
    </row>
    <row r="1182" spans="1:6" s="2" customFormat="1" x14ac:dyDescent="0.25">
      <c r="A1182" s="2" t="s">
        <v>481</v>
      </c>
      <c r="B1182" s="14">
        <f>45000-40-50-50-40-50-90-50-112-69-576-5000-50-4-140-134-50-180-50-135-100-460-50-50-50-50-50-266-100-100-205-203-5000-133-3-5000-10000-84-10000</f>
        <v>6226</v>
      </c>
      <c r="C1182" s="3">
        <v>2145</v>
      </c>
      <c r="D1182" s="2" t="s">
        <v>0</v>
      </c>
      <c r="E1182" s="2" t="s">
        <v>1471</v>
      </c>
      <c r="F1182" s="36" t="s">
        <v>161</v>
      </c>
    </row>
    <row r="1183" spans="1:6" s="2" customFormat="1" x14ac:dyDescent="0.25">
      <c r="A1183" s="2" t="s">
        <v>950</v>
      </c>
      <c r="B1183" s="14">
        <f>5000-1000</f>
        <v>4000</v>
      </c>
      <c r="C1183" s="3" t="s">
        <v>813</v>
      </c>
      <c r="D1183" s="2" t="s">
        <v>0</v>
      </c>
      <c r="E1183" s="2" t="s">
        <v>2397</v>
      </c>
      <c r="F1183" s="36" t="s">
        <v>1</v>
      </c>
    </row>
    <row r="1184" spans="1:6" s="2" customFormat="1" x14ac:dyDescent="0.25">
      <c r="A1184" s="2" t="s">
        <v>166</v>
      </c>
      <c r="B1184" s="3">
        <v>10000</v>
      </c>
      <c r="C1184" s="3">
        <v>1414</v>
      </c>
      <c r="D1184" s="2" t="s">
        <v>71</v>
      </c>
      <c r="E1184" s="2" t="s">
        <v>2398</v>
      </c>
      <c r="F1184" s="36" t="s">
        <v>72</v>
      </c>
    </row>
    <row r="1185" spans="1:6" s="2" customFormat="1" x14ac:dyDescent="0.25">
      <c r="A1185" s="2" t="s">
        <v>951</v>
      </c>
      <c r="B1185" s="14">
        <f>5000-1000</f>
        <v>4000</v>
      </c>
      <c r="C1185" s="3" t="s">
        <v>813</v>
      </c>
      <c r="D1185" s="2" t="s">
        <v>0</v>
      </c>
      <c r="E1185" s="2" t="s">
        <v>2399</v>
      </c>
      <c r="F1185" s="36" t="s">
        <v>1</v>
      </c>
    </row>
    <row r="1186" spans="1:6" s="2" customFormat="1" x14ac:dyDescent="0.25">
      <c r="A1186" s="2" t="s">
        <v>353</v>
      </c>
      <c r="B1186" s="14">
        <f>5000-1400-30-28-8-30-8-5-50-28-50</f>
        <v>3363</v>
      </c>
      <c r="C1186" s="3">
        <v>1630</v>
      </c>
      <c r="D1186" s="2" t="s">
        <v>0</v>
      </c>
      <c r="E1186" s="2" t="s">
        <v>2400</v>
      </c>
      <c r="F1186" s="36" t="s">
        <v>1</v>
      </c>
    </row>
    <row r="1187" spans="1:6" s="2" customFormat="1" x14ac:dyDescent="0.25">
      <c r="A1187" s="2" t="s">
        <v>167</v>
      </c>
      <c r="B1187" s="3">
        <f>30000-100+100-50+5</f>
        <v>29955</v>
      </c>
      <c r="C1187" s="3">
        <v>1405</v>
      </c>
      <c r="D1187" s="2" t="s">
        <v>71</v>
      </c>
      <c r="E1187" s="2" t="s">
        <v>2401</v>
      </c>
      <c r="F1187" s="36" t="s">
        <v>72</v>
      </c>
    </row>
    <row r="1188" spans="1:6" s="2" customFormat="1" x14ac:dyDescent="0.25">
      <c r="A1188" s="2" t="s">
        <v>952</v>
      </c>
      <c r="B1188" s="14">
        <f>5000-1000</f>
        <v>4000</v>
      </c>
      <c r="C1188" s="3" t="s">
        <v>813</v>
      </c>
      <c r="D1188" s="2" t="s">
        <v>0</v>
      </c>
      <c r="E1188" s="2" t="s">
        <v>2402</v>
      </c>
      <c r="F1188" s="36" t="s">
        <v>1</v>
      </c>
    </row>
    <row r="1189" spans="1:6" s="2" customFormat="1" x14ac:dyDescent="0.25">
      <c r="A1189" s="2" t="s">
        <v>262</v>
      </c>
      <c r="B1189" s="14">
        <f>40000-50-50-24-11</f>
        <v>39865</v>
      </c>
      <c r="C1189" s="3">
        <v>2144</v>
      </c>
      <c r="D1189" s="2" t="s">
        <v>0</v>
      </c>
      <c r="E1189" s="2" t="s">
        <v>1494</v>
      </c>
      <c r="F1189" s="36" t="s">
        <v>161</v>
      </c>
    </row>
    <row r="1190" spans="1:6" s="2" customFormat="1" x14ac:dyDescent="0.25">
      <c r="A1190" s="2" t="s">
        <v>191</v>
      </c>
      <c r="B1190" s="14">
        <f>5000-500</f>
        <v>4500</v>
      </c>
      <c r="C1190" s="3">
        <v>1505</v>
      </c>
      <c r="D1190" s="2" t="s">
        <v>0</v>
      </c>
      <c r="E1190" s="2" t="s">
        <v>2403</v>
      </c>
      <c r="F1190" s="36" t="s">
        <v>161</v>
      </c>
    </row>
    <row r="1191" spans="1:6" s="2" customFormat="1" x14ac:dyDescent="0.25">
      <c r="A1191" s="2" t="s">
        <v>2737</v>
      </c>
      <c r="B1191" s="14">
        <v>24</v>
      </c>
      <c r="C1191" s="3">
        <v>2231</v>
      </c>
      <c r="D1191" s="2" t="s">
        <v>0</v>
      </c>
      <c r="E1191" s="2" t="s">
        <v>2738</v>
      </c>
      <c r="F1191" s="36" t="s">
        <v>2658</v>
      </c>
    </row>
    <row r="1192" spans="1:6" s="2" customFormat="1" x14ac:dyDescent="0.25">
      <c r="A1192" s="2" t="s">
        <v>2737</v>
      </c>
      <c r="B1192" s="14">
        <v>36</v>
      </c>
      <c r="C1192" s="3">
        <v>2338</v>
      </c>
      <c r="D1192" s="2" t="s">
        <v>0</v>
      </c>
      <c r="E1192" s="2" t="s">
        <v>2738</v>
      </c>
      <c r="F1192" s="36" t="s">
        <v>2658</v>
      </c>
    </row>
    <row r="1193" spans="1:6" s="2" customFormat="1" x14ac:dyDescent="0.25">
      <c r="A1193" s="5" t="s">
        <v>754</v>
      </c>
      <c r="B1193" s="3">
        <v>2</v>
      </c>
      <c r="C1193" s="3" t="s">
        <v>214</v>
      </c>
      <c r="D1193" s="2" t="s">
        <v>383</v>
      </c>
      <c r="E1193" s="2" t="s">
        <v>755</v>
      </c>
      <c r="F1193" s="36" t="s">
        <v>756</v>
      </c>
    </row>
    <row r="1194" spans="1:6" s="2" customFormat="1" x14ac:dyDescent="0.25">
      <c r="A1194" s="5" t="s">
        <v>382</v>
      </c>
      <c r="B1194" s="3">
        <v>5</v>
      </c>
      <c r="C1194" s="3">
        <v>2017</v>
      </c>
      <c r="D1194" s="2" t="s">
        <v>383</v>
      </c>
      <c r="E1194" s="2" t="s">
        <v>753</v>
      </c>
      <c r="F1194" s="36" t="s">
        <v>161</v>
      </c>
    </row>
    <row r="1195" spans="1:6" s="2" customFormat="1" x14ac:dyDescent="0.25">
      <c r="A1195" s="5" t="s">
        <v>409</v>
      </c>
      <c r="B1195" s="3">
        <v>5</v>
      </c>
      <c r="C1195" s="3">
        <v>2016</v>
      </c>
      <c r="D1195" s="2" t="s">
        <v>82</v>
      </c>
      <c r="E1195" s="2" t="s">
        <v>1272</v>
      </c>
      <c r="F1195" s="36" t="s">
        <v>410</v>
      </c>
    </row>
    <row r="1196" spans="1:6" s="2" customFormat="1" x14ac:dyDescent="0.25">
      <c r="A1196" s="2" t="s">
        <v>168</v>
      </c>
      <c r="B1196" s="3">
        <v>15000</v>
      </c>
      <c r="C1196" s="3">
        <v>1346</v>
      </c>
      <c r="D1196" s="2" t="s">
        <v>71</v>
      </c>
      <c r="E1196" s="2" t="s">
        <v>1274</v>
      </c>
      <c r="F1196" s="36" t="s">
        <v>72</v>
      </c>
    </row>
    <row r="1197" spans="1:6" s="2" customFormat="1" ht="16.5" customHeight="1" x14ac:dyDescent="0.25">
      <c r="A1197" s="27" t="s">
        <v>3082</v>
      </c>
      <c r="B1197" s="6">
        <v>200</v>
      </c>
      <c r="C1197" s="6"/>
      <c r="D1197" s="24" t="s">
        <v>383</v>
      </c>
      <c r="E1197" s="2" t="s">
        <v>3139</v>
      </c>
      <c r="F1197" s="36" t="s">
        <v>756</v>
      </c>
    </row>
    <row r="1198" spans="1:6" s="2" customFormat="1" x14ac:dyDescent="0.25">
      <c r="A1198" s="2" t="s">
        <v>483</v>
      </c>
      <c r="B1198" s="14">
        <f>20000-100-100-100-150-10000-10-400-20-2390-5000-260-150-50-200-200-10-50-350-350-100-3</f>
        <v>7</v>
      </c>
      <c r="C1198" s="3">
        <v>1724</v>
      </c>
      <c r="D1198" s="2" t="s">
        <v>0</v>
      </c>
      <c r="E1198" s="2" t="s">
        <v>1495</v>
      </c>
      <c r="F1198" s="36" t="s">
        <v>161</v>
      </c>
    </row>
    <row r="1199" spans="1:6" s="2" customFormat="1" x14ac:dyDescent="0.25">
      <c r="A1199" s="2" t="s">
        <v>483</v>
      </c>
      <c r="B1199" s="14">
        <f>30000-150-105-36-150-120-60-5000-664-1620-10000-336-408-15-5000</f>
        <v>6336</v>
      </c>
      <c r="C1199" s="3">
        <v>2207</v>
      </c>
      <c r="D1199" s="2" t="s">
        <v>0</v>
      </c>
      <c r="E1199" s="2" t="s">
        <v>1495</v>
      </c>
      <c r="F1199" s="36" t="s">
        <v>161</v>
      </c>
    </row>
    <row r="1200" spans="1:6" s="2" customFormat="1" x14ac:dyDescent="0.25">
      <c r="A1200" s="2" t="s">
        <v>1935</v>
      </c>
      <c r="B1200" s="15">
        <f>6-6</f>
        <v>0</v>
      </c>
      <c r="C1200" s="3">
        <v>2211</v>
      </c>
      <c r="D1200" s="2" t="s">
        <v>0</v>
      </c>
      <c r="E1200" s="2" t="s">
        <v>1936</v>
      </c>
      <c r="F1200" s="36" t="s">
        <v>1702</v>
      </c>
    </row>
    <row r="1201" spans="1:6" s="2" customFormat="1" x14ac:dyDescent="0.25">
      <c r="A1201" s="2" t="s">
        <v>3175</v>
      </c>
      <c r="B1201" s="15">
        <f>200-48-80-1-9-62</f>
        <v>0</v>
      </c>
      <c r="C1201" s="3">
        <v>2228</v>
      </c>
      <c r="D1201" s="2" t="s">
        <v>0</v>
      </c>
      <c r="E1201" s="2" t="s">
        <v>3176</v>
      </c>
      <c r="F1201" s="36" t="s">
        <v>1702</v>
      </c>
    </row>
    <row r="1202" spans="1:6" s="2" customFormat="1" x14ac:dyDescent="0.25">
      <c r="A1202" s="2" t="s">
        <v>3216</v>
      </c>
      <c r="B1202" s="14">
        <f>20-1</f>
        <v>19</v>
      </c>
      <c r="C1202" s="3">
        <v>2229</v>
      </c>
      <c r="D1202" s="2" t="s">
        <v>82</v>
      </c>
      <c r="E1202" s="2" t="s">
        <v>3217</v>
      </c>
      <c r="F1202" s="36" t="s">
        <v>1862</v>
      </c>
    </row>
    <row r="1203" spans="1:6" s="2" customFormat="1" x14ac:dyDescent="0.25">
      <c r="A1203" s="2" t="s">
        <v>165</v>
      </c>
      <c r="B1203" s="14">
        <f>55000-10000-30000-2-10000-39-2-130-183-50-640-600-100-20-180-4-8-136-176-312-950-96-5-50-50-87-50-130-50-130-786</f>
        <v>34</v>
      </c>
      <c r="C1203" s="3">
        <v>2137</v>
      </c>
      <c r="D1203" s="2" t="s">
        <v>0</v>
      </c>
      <c r="E1203" s="2" t="s">
        <v>1322</v>
      </c>
      <c r="F1203" s="36" t="s">
        <v>1</v>
      </c>
    </row>
    <row r="1204" spans="1:6" s="2" customFormat="1" x14ac:dyDescent="0.25">
      <c r="A1204" s="2" t="s">
        <v>165</v>
      </c>
      <c r="B1204" s="14">
        <f>45000-20000-10000-10000-2660-9-100-225-603</f>
        <v>1403</v>
      </c>
      <c r="C1204" s="3">
        <v>2221</v>
      </c>
      <c r="D1204" s="2" t="s">
        <v>0</v>
      </c>
      <c r="E1204" s="2" t="s">
        <v>1322</v>
      </c>
      <c r="F1204" s="36" t="s">
        <v>1</v>
      </c>
    </row>
    <row r="1205" spans="1:6" s="2" customFormat="1" x14ac:dyDescent="0.25">
      <c r="A1205" s="2" t="s">
        <v>165</v>
      </c>
      <c r="B1205" s="14">
        <f>10000-10000</f>
        <v>0</v>
      </c>
      <c r="C1205" s="3">
        <v>2309</v>
      </c>
      <c r="D1205" s="2" t="s">
        <v>0</v>
      </c>
      <c r="E1205" s="2" t="s">
        <v>1322</v>
      </c>
      <c r="F1205" s="36" t="s">
        <v>1</v>
      </c>
    </row>
    <row r="1206" spans="1:6" s="2" customFormat="1" x14ac:dyDescent="0.25">
      <c r="A1206" s="2" t="s">
        <v>3197</v>
      </c>
      <c r="B1206" s="14">
        <v>7</v>
      </c>
      <c r="C1206" s="3">
        <v>2227</v>
      </c>
      <c r="D1206" s="2" t="s">
        <v>3199</v>
      </c>
      <c r="E1206" s="2" t="s">
        <v>3198</v>
      </c>
      <c r="F1206" s="36" t="s">
        <v>1697</v>
      </c>
    </row>
    <row r="1207" spans="1:6" s="2" customFormat="1" x14ac:dyDescent="0.25">
      <c r="A1207" s="2" t="s">
        <v>2333</v>
      </c>
      <c r="B1207" s="14">
        <f>45-45</f>
        <v>0</v>
      </c>
      <c r="C1207" s="3">
        <v>1419</v>
      </c>
      <c r="D1207" s="2" t="s">
        <v>0</v>
      </c>
      <c r="E1207" s="2" t="s">
        <v>2334</v>
      </c>
      <c r="F1207" s="36" t="s">
        <v>1</v>
      </c>
    </row>
    <row r="1208" spans="1:6" s="2" customFormat="1" x14ac:dyDescent="0.25">
      <c r="A1208" s="2" t="s">
        <v>350</v>
      </c>
      <c r="B1208" s="14">
        <v>5000</v>
      </c>
      <c r="C1208" s="3">
        <v>1623</v>
      </c>
      <c r="D1208" s="2" t="s">
        <v>0</v>
      </c>
      <c r="E1208" s="2" t="s">
        <v>2404</v>
      </c>
      <c r="F1208" s="36" t="s">
        <v>1</v>
      </c>
    </row>
    <row r="1209" spans="1:6" s="2" customFormat="1" x14ac:dyDescent="0.25">
      <c r="A1209" s="2" t="s">
        <v>621</v>
      </c>
      <c r="B1209" s="14">
        <f>90000-100-10000-5000-25-10000-10000-15000-61-5000-5000-10000-5232-10000-20-26-50-66-50-48-95-100-106</f>
        <v>4021</v>
      </c>
      <c r="C1209" s="3"/>
      <c r="D1209" s="2" t="s">
        <v>0</v>
      </c>
      <c r="E1209" s="2" t="s">
        <v>2405</v>
      </c>
      <c r="F1209" s="36" t="s">
        <v>1</v>
      </c>
    </row>
    <row r="1210" spans="1:6" s="2" customFormat="1" x14ac:dyDescent="0.25">
      <c r="A1210" s="2" t="s">
        <v>621</v>
      </c>
      <c r="B1210" s="14">
        <f>55000-10000-5000-5000-5000-10000-5000-5000-10000</f>
        <v>0</v>
      </c>
      <c r="C1210" s="3">
        <v>2150</v>
      </c>
      <c r="D1210" s="2" t="s">
        <v>0</v>
      </c>
      <c r="E1210" s="2" t="s">
        <v>2405</v>
      </c>
      <c r="F1210" s="36" t="s">
        <v>1</v>
      </c>
    </row>
    <row r="1211" spans="1:6" s="2" customFormat="1" x14ac:dyDescent="0.25">
      <c r="A1211" s="2" t="s">
        <v>164</v>
      </c>
      <c r="B1211" s="14">
        <f>50000-15000-10000-20000-500-15-100-50-1000-14-25-15-128-50-100-50-38-10-70-30-720-50-50-50</f>
        <v>1935</v>
      </c>
      <c r="C1211" s="3">
        <v>1747</v>
      </c>
      <c r="D1211" s="2" t="s">
        <v>0</v>
      </c>
      <c r="E1211" s="2" t="s">
        <v>2406</v>
      </c>
      <c r="F1211" s="36" t="s">
        <v>1</v>
      </c>
    </row>
    <row r="1212" spans="1:6" s="2" customFormat="1" x14ac:dyDescent="0.25">
      <c r="A1212" s="2" t="s">
        <v>164</v>
      </c>
      <c r="B1212" s="14">
        <v>50</v>
      </c>
      <c r="C1212" s="3">
        <v>2324</v>
      </c>
      <c r="D1212" s="2" t="s">
        <v>0</v>
      </c>
      <c r="E1212" s="2" t="s">
        <v>2406</v>
      </c>
      <c r="F1212" s="36" t="s">
        <v>1</v>
      </c>
    </row>
    <row r="1213" spans="1:6" s="2" customFormat="1" x14ac:dyDescent="0.25">
      <c r="A1213" s="2" t="s">
        <v>1072</v>
      </c>
      <c r="B1213" s="14">
        <f>20000-50-15000-20-111-180-50-58-100-50-50-36-22-8</f>
        <v>4265</v>
      </c>
      <c r="C1213" s="3">
        <v>2141</v>
      </c>
      <c r="D1213" s="2" t="s">
        <v>0</v>
      </c>
      <c r="E1213" s="2" t="s">
        <v>1338</v>
      </c>
      <c r="F1213" s="36" t="s">
        <v>1</v>
      </c>
    </row>
    <row r="1214" spans="1:6" s="2" customFormat="1" x14ac:dyDescent="0.25">
      <c r="A1214" s="2" t="s">
        <v>1072</v>
      </c>
      <c r="B1214" s="15">
        <f>45000-5000-5000-5000-5000-5000-10000-10000</f>
        <v>0</v>
      </c>
      <c r="C1214" s="3">
        <v>2208</v>
      </c>
      <c r="D1214" s="2" t="s">
        <v>0</v>
      </c>
      <c r="E1214" s="2" t="s">
        <v>1338</v>
      </c>
      <c r="F1214" s="36" t="s">
        <v>1</v>
      </c>
    </row>
    <row r="1215" spans="1:6" s="2" customFormat="1" x14ac:dyDescent="0.25">
      <c r="A1215" s="2" t="s">
        <v>1188</v>
      </c>
      <c r="B1215" s="15">
        <f>30000-5000-150-25-5000-5000-5000-5000-100-4725</f>
        <v>0</v>
      </c>
      <c r="C1215" s="3">
        <v>2025</v>
      </c>
      <c r="D1215" s="2" t="s">
        <v>0</v>
      </c>
      <c r="E1215" s="2" t="s">
        <v>1496</v>
      </c>
      <c r="F1215" s="36" t="s">
        <v>161</v>
      </c>
    </row>
    <row r="1216" spans="1:6" s="2" customFormat="1" x14ac:dyDescent="0.25">
      <c r="A1216" s="2" t="s">
        <v>69</v>
      </c>
      <c r="B1216" s="3">
        <v>31</v>
      </c>
      <c r="C1216" s="3">
        <v>2014</v>
      </c>
      <c r="D1216" s="5" t="s">
        <v>71</v>
      </c>
      <c r="E1216" s="2" t="s">
        <v>1275</v>
      </c>
      <c r="F1216" s="36" t="s">
        <v>72</v>
      </c>
    </row>
    <row r="1217" spans="1:6" s="2" customFormat="1" x14ac:dyDescent="0.25">
      <c r="A1217" s="2" t="s">
        <v>378</v>
      </c>
      <c r="B1217" s="14">
        <f>80000-15000-100-100-5000-5000-90-55-5000-10-5000-5000-150-5000-5000-5000-50-30-30-4-5000-50-50-50-50-76-250-240-180-50-106-50-266-203-5000-5000</f>
        <v>7760</v>
      </c>
      <c r="C1217" s="3">
        <v>1632</v>
      </c>
      <c r="D1217" s="2" t="s">
        <v>0</v>
      </c>
      <c r="E1217" s="2" t="s">
        <v>2407</v>
      </c>
      <c r="F1217" s="36" t="s">
        <v>161</v>
      </c>
    </row>
    <row r="1218" spans="1:6" s="2" customFormat="1" x14ac:dyDescent="0.25">
      <c r="A1218" s="2" t="s">
        <v>476</v>
      </c>
      <c r="B1218" s="15">
        <f>35000-10000-5000-5000-5000-5000-5000</f>
        <v>0</v>
      </c>
      <c r="C1218" s="3">
        <v>1908</v>
      </c>
      <c r="D1218" s="2" t="s">
        <v>0</v>
      </c>
      <c r="E1218" s="2" t="s">
        <v>2408</v>
      </c>
      <c r="F1218" s="36" t="s">
        <v>161</v>
      </c>
    </row>
    <row r="1219" spans="1:6" s="2" customFormat="1" x14ac:dyDescent="0.25">
      <c r="A1219" s="2" t="s">
        <v>1700</v>
      </c>
      <c r="B1219" s="15">
        <f>20-20</f>
        <v>0</v>
      </c>
      <c r="C1219" s="3">
        <v>2140</v>
      </c>
      <c r="D1219" s="2" t="s">
        <v>0</v>
      </c>
      <c r="E1219" s="2" t="s">
        <v>1701</v>
      </c>
      <c r="F1219" s="36" t="s">
        <v>1702</v>
      </c>
    </row>
    <row r="1220" spans="1:6" s="2" customFormat="1" x14ac:dyDescent="0.25">
      <c r="A1220" s="2" t="s">
        <v>428</v>
      </c>
      <c r="B1220" s="15">
        <f>4900-4900</f>
        <v>0</v>
      </c>
      <c r="C1220" s="3">
        <v>1628</v>
      </c>
      <c r="D1220" s="2" t="s">
        <v>0</v>
      </c>
      <c r="E1220" s="2" t="s">
        <v>2409</v>
      </c>
      <c r="F1220" s="36" t="s">
        <v>161</v>
      </c>
    </row>
    <row r="1221" spans="1:6" s="2" customFormat="1" x14ac:dyDescent="0.25">
      <c r="A1221" s="2" t="s">
        <v>175</v>
      </c>
      <c r="B1221" s="3">
        <v>10000</v>
      </c>
      <c r="C1221" s="3">
        <v>1418</v>
      </c>
      <c r="D1221" s="2" t="s">
        <v>71</v>
      </c>
      <c r="E1221" s="2" t="s">
        <v>1276</v>
      </c>
      <c r="F1221" s="36" t="s">
        <v>72</v>
      </c>
    </row>
    <row r="1222" spans="1:6" s="2" customFormat="1" x14ac:dyDescent="0.25">
      <c r="A1222" s="2" t="s">
        <v>3200</v>
      </c>
      <c r="B1222" s="3">
        <v>130</v>
      </c>
      <c r="C1222" s="3">
        <v>2230</v>
      </c>
      <c r="D1222" s="2" t="s">
        <v>0</v>
      </c>
      <c r="E1222" s="2" t="s">
        <v>3201</v>
      </c>
      <c r="F1222" s="36" t="s">
        <v>1697</v>
      </c>
    </row>
    <row r="1223" spans="1:6" s="2" customFormat="1" x14ac:dyDescent="0.25">
      <c r="A1223" s="2" t="s">
        <v>557</v>
      </c>
      <c r="B1223" s="15">
        <f>5000-40-1000-3960</f>
        <v>0</v>
      </c>
      <c r="C1223" s="3">
        <v>1348</v>
      </c>
      <c r="D1223" s="2" t="s">
        <v>0</v>
      </c>
      <c r="E1223" s="2" t="s">
        <v>558</v>
      </c>
      <c r="F1223" s="36" t="s">
        <v>161</v>
      </c>
    </row>
    <row r="1224" spans="1:6" s="2" customFormat="1" x14ac:dyDescent="0.25">
      <c r="A1224" s="2" t="s">
        <v>3</v>
      </c>
      <c r="B1224" s="3">
        <f>100000-100-19900-20000-5000-10000-14-1000-5000-5000-5000-10-5000-5000-10000-7</f>
        <v>8969</v>
      </c>
      <c r="C1224" s="3">
        <v>1602</v>
      </c>
      <c r="D1224" s="2" t="s">
        <v>0</v>
      </c>
      <c r="E1224" s="2" t="s">
        <v>2410</v>
      </c>
      <c r="F1224" s="36" t="s">
        <v>1</v>
      </c>
    </row>
    <row r="1225" spans="1:6" s="2" customFormat="1" x14ac:dyDescent="0.25">
      <c r="A1225" s="2" t="s">
        <v>265</v>
      </c>
      <c r="B1225" s="14">
        <f>60000-100-5000-5000-5000-5000-5000-10-5000-58-5000-299-50-5000-100-5000-3-10000-91-81-50-100-7</f>
        <v>4051</v>
      </c>
      <c r="C1225" s="3">
        <v>1541</v>
      </c>
      <c r="D1225" s="2" t="s">
        <v>0</v>
      </c>
      <c r="E1225" s="2" t="s">
        <v>2411</v>
      </c>
      <c r="F1225" s="36" t="s">
        <v>161</v>
      </c>
    </row>
    <row r="1226" spans="1:6" s="2" customFormat="1" ht="30" x14ac:dyDescent="0.25">
      <c r="A1226" s="2" t="s">
        <v>2076</v>
      </c>
      <c r="B1226" s="6">
        <f>40-40</f>
        <v>0</v>
      </c>
      <c r="C1226" s="3">
        <v>2222</v>
      </c>
      <c r="D1226" s="2" t="s">
        <v>0</v>
      </c>
      <c r="E1226" s="5" t="s">
        <v>2077</v>
      </c>
      <c r="F1226" s="36" t="s">
        <v>1702</v>
      </c>
    </row>
    <row r="1227" spans="1:6" s="2" customFormat="1" x14ac:dyDescent="0.25">
      <c r="A1227" s="2" t="s">
        <v>1625</v>
      </c>
      <c r="B1227" s="14">
        <v>13</v>
      </c>
      <c r="C1227" s="3">
        <v>2138</v>
      </c>
      <c r="D1227" s="2" t="s">
        <v>0</v>
      </c>
      <c r="E1227" s="2" t="s">
        <v>1633</v>
      </c>
      <c r="F1227" s="36" t="s">
        <v>161</v>
      </c>
    </row>
    <row r="1228" spans="1:6" s="2" customFormat="1" ht="30" x14ac:dyDescent="0.25">
      <c r="A1228" s="2" t="s">
        <v>2671</v>
      </c>
      <c r="B1228" s="14">
        <v>41</v>
      </c>
      <c r="C1228" s="3">
        <v>2230</v>
      </c>
      <c r="D1228" s="2" t="s">
        <v>0</v>
      </c>
      <c r="E1228" s="5" t="s">
        <v>2672</v>
      </c>
      <c r="F1228" s="36" t="s">
        <v>1702</v>
      </c>
    </row>
    <row r="1229" spans="1:6" s="2" customFormat="1" x14ac:dyDescent="0.25">
      <c r="A1229" s="2" t="s">
        <v>236</v>
      </c>
      <c r="B1229" s="3">
        <f>70000-50</f>
        <v>69950</v>
      </c>
      <c r="C1229" s="3">
        <v>1537</v>
      </c>
      <c r="D1229" s="2" t="s">
        <v>0</v>
      </c>
      <c r="E1229" s="2" t="s">
        <v>2412</v>
      </c>
      <c r="F1229" s="36" t="s">
        <v>161</v>
      </c>
    </row>
    <row r="1230" spans="1:6" s="2" customFormat="1" x14ac:dyDescent="0.25">
      <c r="A1230" s="2" t="s">
        <v>939</v>
      </c>
      <c r="B1230" s="14">
        <f>5000-200</f>
        <v>4800</v>
      </c>
      <c r="C1230" s="3">
        <v>1939</v>
      </c>
      <c r="D1230" s="2" t="s">
        <v>0</v>
      </c>
      <c r="E1230" s="2" t="s">
        <v>2413</v>
      </c>
      <c r="F1230" s="36" t="s">
        <v>161</v>
      </c>
    </row>
    <row r="1231" spans="1:6" s="2" customFormat="1" x14ac:dyDescent="0.25">
      <c r="A1231" s="2" t="s">
        <v>256</v>
      </c>
      <c r="B1231" s="3">
        <f>75000-80-39-50</f>
        <v>74831</v>
      </c>
      <c r="C1231" s="3">
        <v>1429</v>
      </c>
      <c r="D1231" s="2" t="s">
        <v>0</v>
      </c>
      <c r="E1231" s="2" t="s">
        <v>2414</v>
      </c>
      <c r="F1231" s="36" t="s">
        <v>161</v>
      </c>
    </row>
    <row r="1232" spans="1:6" s="2" customFormat="1" x14ac:dyDescent="0.25">
      <c r="A1232" s="2" t="s">
        <v>255</v>
      </c>
      <c r="B1232" s="14">
        <f>70000-10000-10000-10000-5000-5000-2-15-5000-150-5000-5000-5000-50</f>
        <v>9783</v>
      </c>
      <c r="C1232" s="3">
        <v>1524</v>
      </c>
      <c r="D1232" s="2" t="s">
        <v>0</v>
      </c>
      <c r="E1232" s="2" t="s">
        <v>2415</v>
      </c>
      <c r="F1232" s="36" t="s">
        <v>161</v>
      </c>
    </row>
    <row r="1233" spans="1:6" s="2" customFormat="1" x14ac:dyDescent="0.25">
      <c r="A1233" s="2" t="s">
        <v>750</v>
      </c>
      <c r="B1233" s="14">
        <f>35000-500</f>
        <v>34500</v>
      </c>
      <c r="C1233" s="3"/>
      <c r="D1233" s="2" t="s">
        <v>0</v>
      </c>
      <c r="E1233" s="2" t="s">
        <v>2416</v>
      </c>
      <c r="F1233" s="36" t="s">
        <v>161</v>
      </c>
    </row>
    <row r="1234" spans="1:6" s="2" customFormat="1" x14ac:dyDescent="0.25">
      <c r="A1234" s="2" t="s">
        <v>412</v>
      </c>
      <c r="B1234" s="15">
        <f>10000-5000-5000</f>
        <v>0</v>
      </c>
      <c r="C1234" s="3">
        <v>2225</v>
      </c>
      <c r="D1234" s="2" t="s">
        <v>0</v>
      </c>
      <c r="E1234" s="2" t="s">
        <v>2417</v>
      </c>
      <c r="F1234" s="36" t="s">
        <v>161</v>
      </c>
    </row>
    <row r="1235" spans="1:6" s="2" customFormat="1" x14ac:dyDescent="0.25">
      <c r="A1235" s="2" t="s">
        <v>412</v>
      </c>
      <c r="B1235" s="14">
        <f>10000-5000-137-50-50-100-17</f>
        <v>4646</v>
      </c>
      <c r="C1235" s="3">
        <v>2205</v>
      </c>
      <c r="D1235" s="2" t="s">
        <v>0</v>
      </c>
      <c r="E1235" s="2" t="s">
        <v>2417</v>
      </c>
      <c r="F1235" s="36" t="s">
        <v>161</v>
      </c>
    </row>
    <row r="1236" spans="1:6" s="2" customFormat="1" x14ac:dyDescent="0.25">
      <c r="A1236" s="2" t="s">
        <v>412</v>
      </c>
      <c r="B1236" s="14">
        <f>10</f>
        <v>10</v>
      </c>
      <c r="C1236" s="3">
        <v>2143</v>
      </c>
      <c r="D1236" s="2" t="s">
        <v>0</v>
      </c>
      <c r="E1236" s="2" t="s">
        <v>2417</v>
      </c>
      <c r="F1236" s="36" t="s">
        <v>161</v>
      </c>
    </row>
    <row r="1237" spans="1:6" s="2" customFormat="1" x14ac:dyDescent="0.25">
      <c r="A1237" s="2" t="s">
        <v>1499</v>
      </c>
      <c r="B1237" s="15">
        <f>5000-5000</f>
        <v>0</v>
      </c>
      <c r="C1237" s="3">
        <v>1848</v>
      </c>
      <c r="D1237" s="2" t="s">
        <v>0</v>
      </c>
      <c r="E1237" s="2" t="s">
        <v>1500</v>
      </c>
      <c r="F1237" s="36" t="s">
        <v>161</v>
      </c>
    </row>
    <row r="1238" spans="1:6" s="2" customFormat="1" x14ac:dyDescent="0.25">
      <c r="A1238" s="2" t="s">
        <v>3541</v>
      </c>
      <c r="B1238" s="3">
        <v>30</v>
      </c>
      <c r="C1238" s="3">
        <v>2249</v>
      </c>
      <c r="D1238" s="2" t="s">
        <v>0</v>
      </c>
      <c r="E1238" s="2" t="s">
        <v>3542</v>
      </c>
      <c r="F1238" s="36" t="s">
        <v>161</v>
      </c>
    </row>
    <row r="1239" spans="1:6" s="2" customFormat="1" x14ac:dyDescent="0.25">
      <c r="A1239" s="5" t="s">
        <v>1311</v>
      </c>
      <c r="B1239" s="3">
        <v>50</v>
      </c>
      <c r="C1239" s="3">
        <v>1940</v>
      </c>
      <c r="D1239" s="2" t="s">
        <v>383</v>
      </c>
      <c r="E1239" s="2" t="s">
        <v>1312</v>
      </c>
      <c r="F1239" s="36" t="s">
        <v>756</v>
      </c>
    </row>
    <row r="1240" spans="1:6" s="2" customFormat="1" x14ac:dyDescent="0.25">
      <c r="A1240" s="2" t="s">
        <v>482</v>
      </c>
      <c r="B1240" s="14">
        <f>80000-2800-300-10-1000-200-2000-10-10-10-150-3000-25-5-50-500-50-36-80-80-80-24-112-5000</f>
        <v>64468</v>
      </c>
      <c r="C1240" s="3">
        <v>1720</v>
      </c>
      <c r="D1240" s="2" t="s">
        <v>0</v>
      </c>
      <c r="E1240" s="2" t="s">
        <v>2089</v>
      </c>
      <c r="F1240" s="36" t="s">
        <v>161</v>
      </c>
    </row>
    <row r="1241" spans="1:6" s="2" customFormat="1" x14ac:dyDescent="0.25">
      <c r="A1241" s="2" t="s">
        <v>1321</v>
      </c>
      <c r="B1241" s="3">
        <v>8</v>
      </c>
      <c r="C1241" s="3">
        <v>2031</v>
      </c>
      <c r="D1241" s="2" t="s">
        <v>789</v>
      </c>
      <c r="E1241" s="2" t="s">
        <v>2088</v>
      </c>
      <c r="F1241" s="36" t="s">
        <v>756</v>
      </c>
    </row>
    <row r="1242" spans="1:6" s="2" customFormat="1" x14ac:dyDescent="0.25">
      <c r="A1242" s="2" t="s">
        <v>1880</v>
      </c>
      <c r="B1242" s="6">
        <f>10-10</f>
        <v>0</v>
      </c>
      <c r="C1242" s="3">
        <v>2203</v>
      </c>
      <c r="D1242" s="2" t="s">
        <v>82</v>
      </c>
      <c r="E1242" s="5" t="s">
        <v>2087</v>
      </c>
      <c r="F1242" s="36" t="s">
        <v>1862</v>
      </c>
    </row>
    <row r="1243" spans="1:6" s="2" customFormat="1" x14ac:dyDescent="0.25">
      <c r="A1243" s="2" t="s">
        <v>2085</v>
      </c>
      <c r="B1243" s="6">
        <f>700-269-431</f>
        <v>0</v>
      </c>
      <c r="C1243" s="3">
        <v>2230</v>
      </c>
      <c r="D1243" s="2" t="s">
        <v>0</v>
      </c>
      <c r="E1243" s="5" t="s">
        <v>2086</v>
      </c>
      <c r="F1243" s="36" t="s">
        <v>1702</v>
      </c>
    </row>
    <row r="1244" spans="1:6" s="2" customFormat="1" x14ac:dyDescent="0.25">
      <c r="A1244" s="2" t="s">
        <v>887</v>
      </c>
      <c r="B1244" s="6">
        <f>10000-5000-5000</f>
        <v>0</v>
      </c>
      <c r="C1244" s="3">
        <v>2137</v>
      </c>
      <c r="D1244" s="2" t="s">
        <v>0</v>
      </c>
      <c r="E1244" s="2" t="s">
        <v>1477</v>
      </c>
      <c r="F1244" s="36" t="s">
        <v>161</v>
      </c>
    </row>
    <row r="1245" spans="1:6" s="2" customFormat="1" x14ac:dyDescent="0.25">
      <c r="A1245" s="2" t="s">
        <v>887</v>
      </c>
      <c r="B1245" s="3">
        <f>5000-1000-30-50-31-15-30-50-50-2425-16-120-24-33-157</f>
        <v>969</v>
      </c>
      <c r="C1245" s="3">
        <v>2144</v>
      </c>
      <c r="D1245" s="2" t="s">
        <v>0</v>
      </c>
      <c r="E1245" s="2" t="s">
        <v>1477</v>
      </c>
      <c r="F1245" s="36" t="s">
        <v>161</v>
      </c>
    </row>
    <row r="1246" spans="1:6" s="2" customFormat="1" x14ac:dyDescent="0.25">
      <c r="A1246" s="2" t="s">
        <v>3684</v>
      </c>
      <c r="B1246" s="3">
        <v>32</v>
      </c>
      <c r="C1246" s="3">
        <v>2325</v>
      </c>
      <c r="D1246" s="2" t="s">
        <v>0</v>
      </c>
      <c r="E1246" s="5" t="s">
        <v>3685</v>
      </c>
      <c r="F1246" s="36" t="s">
        <v>1702</v>
      </c>
    </row>
    <row r="1247" spans="1:6" s="2" customFormat="1" x14ac:dyDescent="0.25">
      <c r="A1247" s="2" t="s">
        <v>2644</v>
      </c>
      <c r="B1247" s="3">
        <v>15</v>
      </c>
      <c r="C1247" s="3">
        <v>2215</v>
      </c>
      <c r="D1247" s="2" t="s">
        <v>0</v>
      </c>
      <c r="E1247" s="2" t="s">
        <v>2645</v>
      </c>
      <c r="F1247" s="36" t="s">
        <v>2187</v>
      </c>
    </row>
    <row r="1248" spans="1:6" s="2" customFormat="1" x14ac:dyDescent="0.25">
      <c r="A1248" s="2" t="s">
        <v>1497</v>
      </c>
      <c r="B1248" s="3">
        <f>10000-4-50-50-50-100-5000</f>
        <v>4746</v>
      </c>
      <c r="C1248" s="3">
        <v>1812</v>
      </c>
      <c r="D1248" s="2" t="s">
        <v>0</v>
      </c>
      <c r="E1248" s="2" t="s">
        <v>1498</v>
      </c>
      <c r="F1248" s="36" t="s">
        <v>161</v>
      </c>
    </row>
    <row r="1249" spans="1:6" s="2" customFormat="1" x14ac:dyDescent="0.25">
      <c r="A1249" s="2" t="s">
        <v>674</v>
      </c>
      <c r="B1249" s="3">
        <f>10000-12</f>
        <v>9988</v>
      </c>
      <c r="C1249" s="3">
        <v>2034</v>
      </c>
      <c r="D1249" s="2" t="s">
        <v>0</v>
      </c>
      <c r="E1249" s="2" t="s">
        <v>1478</v>
      </c>
      <c r="F1249" s="36" t="s">
        <v>161</v>
      </c>
    </row>
    <row r="1250" spans="1:6" s="2" customFormat="1" ht="30" x14ac:dyDescent="0.25">
      <c r="A1250" s="2" t="s">
        <v>1933</v>
      </c>
      <c r="B1250" s="3">
        <f>13-12</f>
        <v>1</v>
      </c>
      <c r="C1250" s="3">
        <v>2215</v>
      </c>
      <c r="D1250" s="2" t="s">
        <v>0</v>
      </c>
      <c r="E1250" s="5" t="s">
        <v>1934</v>
      </c>
      <c r="F1250" s="36" t="s">
        <v>1702</v>
      </c>
    </row>
    <row r="1251" spans="1:6" s="2" customFormat="1" ht="30" x14ac:dyDescent="0.25">
      <c r="A1251" s="2" t="s">
        <v>1933</v>
      </c>
      <c r="B1251" s="3">
        <f>90-14-60-15</f>
        <v>1</v>
      </c>
      <c r="C1251" s="3">
        <v>2231</v>
      </c>
      <c r="D1251" s="2" t="s">
        <v>0</v>
      </c>
      <c r="E1251" s="5" t="s">
        <v>1934</v>
      </c>
      <c r="F1251" s="36" t="s">
        <v>1702</v>
      </c>
    </row>
    <row r="1252" spans="1:6" s="2" customFormat="1" ht="30" x14ac:dyDescent="0.25">
      <c r="A1252" s="2" t="s">
        <v>3186</v>
      </c>
      <c r="B1252" s="3">
        <f>120</f>
        <v>120</v>
      </c>
      <c r="C1252" s="3">
        <v>2238</v>
      </c>
      <c r="D1252" s="2" t="s">
        <v>0</v>
      </c>
      <c r="E1252" s="5" t="s">
        <v>3187</v>
      </c>
      <c r="F1252" s="36" t="s">
        <v>1702</v>
      </c>
    </row>
    <row r="1253" spans="1:6" s="2" customFormat="1" ht="30" x14ac:dyDescent="0.25">
      <c r="A1253" s="2" t="s">
        <v>1933</v>
      </c>
      <c r="B1253" s="3">
        <f>441-224-80</f>
        <v>137</v>
      </c>
      <c r="C1253" s="3">
        <v>2231</v>
      </c>
      <c r="D1253" s="2" t="s">
        <v>0</v>
      </c>
      <c r="E1253" s="5" t="s">
        <v>3187</v>
      </c>
      <c r="F1253" s="36" t="s">
        <v>1702</v>
      </c>
    </row>
    <row r="1254" spans="1:6" s="2" customFormat="1" x14ac:dyDescent="0.25">
      <c r="A1254" s="2" t="s">
        <v>169</v>
      </c>
      <c r="B1254" s="3">
        <f>10000+10000</f>
        <v>20000</v>
      </c>
      <c r="C1254" s="3" t="s">
        <v>182</v>
      </c>
      <c r="D1254" s="2" t="s">
        <v>71</v>
      </c>
      <c r="E1254" s="2" t="s">
        <v>1277</v>
      </c>
      <c r="F1254" s="36" t="s">
        <v>72</v>
      </c>
    </row>
    <row r="1255" spans="1:6" s="2" customFormat="1" x14ac:dyDescent="0.25">
      <c r="A1255" s="2" t="s">
        <v>492</v>
      </c>
      <c r="B1255" s="6">
        <f>20000-20000</f>
        <v>0</v>
      </c>
      <c r="C1255" s="3">
        <v>1705</v>
      </c>
      <c r="D1255" s="2" t="s">
        <v>0</v>
      </c>
      <c r="E1255" s="2" t="s">
        <v>2418</v>
      </c>
      <c r="F1255" s="36" t="s">
        <v>161</v>
      </c>
    </row>
    <row r="1256" spans="1:6" s="2" customFormat="1" x14ac:dyDescent="0.25">
      <c r="A1256" s="2" t="s">
        <v>372</v>
      </c>
      <c r="B1256" s="14">
        <f>50000-20000-10000-10000-1800-105-27-22-5000</f>
        <v>3046</v>
      </c>
      <c r="C1256" s="3">
        <v>1620</v>
      </c>
      <c r="D1256" s="2" t="s">
        <v>0</v>
      </c>
      <c r="E1256" s="2" t="s">
        <v>2419</v>
      </c>
      <c r="F1256" s="36" t="s">
        <v>161</v>
      </c>
    </row>
    <row r="1257" spans="1:6" s="2" customFormat="1" x14ac:dyDescent="0.25">
      <c r="A1257" s="2" t="s">
        <v>376</v>
      </c>
      <c r="B1257" s="14">
        <f>60-6</f>
        <v>54</v>
      </c>
      <c r="C1257" s="3">
        <v>2312</v>
      </c>
      <c r="D1257" s="2" t="s">
        <v>0</v>
      </c>
      <c r="E1257" s="2" t="s">
        <v>2420</v>
      </c>
      <c r="F1257" s="36" t="s">
        <v>1</v>
      </c>
    </row>
    <row r="1258" spans="1:6" s="2" customFormat="1" x14ac:dyDescent="0.25">
      <c r="A1258" s="2" t="s">
        <v>933</v>
      </c>
      <c r="B1258" s="6">
        <f>25000-5000-5000-5000-5000-5000</f>
        <v>0</v>
      </c>
      <c r="C1258" s="3">
        <v>1904</v>
      </c>
      <c r="D1258" s="2" t="s">
        <v>0</v>
      </c>
      <c r="E1258" s="2" t="s">
        <v>2421</v>
      </c>
      <c r="F1258" s="36" t="s">
        <v>1</v>
      </c>
    </row>
    <row r="1259" spans="1:6" s="2" customFormat="1" x14ac:dyDescent="0.25">
      <c r="A1259" s="2" t="s">
        <v>381</v>
      </c>
      <c r="B1259" s="6">
        <f>85000-20000-5000-5000-5000-15000-5000-5000-5000-5000-5000-5000-5000</f>
        <v>0</v>
      </c>
      <c r="C1259" s="3">
        <v>1505</v>
      </c>
      <c r="D1259" s="2" t="s">
        <v>0</v>
      </c>
      <c r="E1259" s="2" t="s">
        <v>2422</v>
      </c>
      <c r="F1259" s="36" t="s">
        <v>1</v>
      </c>
    </row>
    <row r="1260" spans="1:6" s="2" customFormat="1" ht="30" x14ac:dyDescent="0.25">
      <c r="A1260" s="2" t="s">
        <v>2078</v>
      </c>
      <c r="B1260" s="3">
        <f>90-60</f>
        <v>30</v>
      </c>
      <c r="C1260" s="3">
        <v>2215</v>
      </c>
      <c r="D1260" s="2" t="s">
        <v>0</v>
      </c>
      <c r="E1260" s="5" t="s">
        <v>2079</v>
      </c>
      <c r="F1260" s="36" t="s">
        <v>1702</v>
      </c>
    </row>
    <row r="1261" spans="1:6" s="2" customFormat="1" ht="30" x14ac:dyDescent="0.25">
      <c r="A1261" s="2" t="s">
        <v>2604</v>
      </c>
      <c r="B1261" s="3">
        <v>37</v>
      </c>
      <c r="C1261" s="3">
        <v>2150</v>
      </c>
      <c r="D1261" s="2" t="s">
        <v>0</v>
      </c>
      <c r="E1261" s="5" t="s">
        <v>2605</v>
      </c>
      <c r="F1261" s="36" t="s">
        <v>2187</v>
      </c>
    </row>
    <row r="1262" spans="1:6" s="2" customFormat="1" x14ac:dyDescent="0.25">
      <c r="A1262" s="2" t="s">
        <v>2182</v>
      </c>
      <c r="B1262" s="3">
        <f>1500</f>
        <v>1500</v>
      </c>
      <c r="C1262" s="3">
        <v>2215</v>
      </c>
      <c r="D1262" s="2" t="s">
        <v>0</v>
      </c>
      <c r="E1262" s="5" t="s">
        <v>2183</v>
      </c>
      <c r="F1262" s="36" t="s">
        <v>2187</v>
      </c>
    </row>
    <row r="1263" spans="1:6" s="2" customFormat="1" x14ac:dyDescent="0.25">
      <c r="A1263" s="2" t="s">
        <v>2182</v>
      </c>
      <c r="B1263" s="3">
        <f>4-1</f>
        <v>3</v>
      </c>
      <c r="C1263" s="3">
        <v>2225</v>
      </c>
      <c r="D1263" s="2" t="s">
        <v>0</v>
      </c>
      <c r="E1263" s="5" t="s">
        <v>2183</v>
      </c>
      <c r="F1263" s="36" t="s">
        <v>2187</v>
      </c>
    </row>
    <row r="1264" spans="1:6" s="2" customFormat="1" x14ac:dyDescent="0.25">
      <c r="A1264" s="2" t="s">
        <v>2182</v>
      </c>
      <c r="B1264" s="3">
        <f>12-11</f>
        <v>1</v>
      </c>
      <c r="C1264" s="3">
        <v>2231</v>
      </c>
      <c r="D1264" s="2" t="s">
        <v>0</v>
      </c>
      <c r="E1264" s="5" t="s">
        <v>2183</v>
      </c>
      <c r="F1264" s="36" t="s">
        <v>2187</v>
      </c>
    </row>
    <row r="1265" spans="1:6" s="2" customFormat="1" x14ac:dyDescent="0.25">
      <c r="A1265" s="2" t="s">
        <v>2182</v>
      </c>
      <c r="B1265" s="3">
        <f>174-39</f>
        <v>135</v>
      </c>
      <c r="C1265" s="3">
        <v>2231</v>
      </c>
      <c r="D1265" s="2" t="s">
        <v>0</v>
      </c>
      <c r="E1265" s="5" t="s">
        <v>2183</v>
      </c>
      <c r="F1265" s="36" t="s">
        <v>2187</v>
      </c>
    </row>
    <row r="1266" spans="1:6" s="2" customFormat="1" x14ac:dyDescent="0.25">
      <c r="A1266" s="2" t="s">
        <v>2182</v>
      </c>
      <c r="B1266" s="3">
        <f>25-16</f>
        <v>9</v>
      </c>
      <c r="C1266" s="3">
        <v>2343</v>
      </c>
      <c r="D1266" s="2" t="s">
        <v>0</v>
      </c>
      <c r="E1266" s="5" t="s">
        <v>3709</v>
      </c>
      <c r="F1266" s="36" t="s">
        <v>2187</v>
      </c>
    </row>
    <row r="1267" spans="1:6" s="2" customFormat="1" x14ac:dyDescent="0.25">
      <c r="A1267" s="2" t="s">
        <v>3256</v>
      </c>
      <c r="B1267" s="3">
        <f>440-16-8-51</f>
        <v>365</v>
      </c>
      <c r="C1267" s="3">
        <v>2227</v>
      </c>
      <c r="D1267" s="2" t="s">
        <v>0</v>
      </c>
      <c r="E1267" s="5" t="s">
        <v>3257</v>
      </c>
      <c r="F1267" s="36" t="s">
        <v>2187</v>
      </c>
    </row>
    <row r="1268" spans="1:6" s="2" customFormat="1" x14ac:dyDescent="0.25">
      <c r="A1268" s="2" t="s">
        <v>945</v>
      </c>
      <c r="B1268" s="3">
        <f>16-4</f>
        <v>12</v>
      </c>
      <c r="C1268" s="3" t="s">
        <v>214</v>
      </c>
      <c r="D1268" s="2" t="s">
        <v>944</v>
      </c>
      <c r="E1268" s="2" t="s">
        <v>2184</v>
      </c>
      <c r="F1268" s="36"/>
    </row>
    <row r="1269" spans="1:6" s="2" customFormat="1" x14ac:dyDescent="0.25">
      <c r="A1269" s="2" t="s">
        <v>429</v>
      </c>
      <c r="B1269" s="6">
        <f>4900-6-4894</f>
        <v>0</v>
      </c>
      <c r="C1269" s="3">
        <v>1642</v>
      </c>
      <c r="D1269" s="2" t="s">
        <v>0</v>
      </c>
      <c r="E1269" s="2" t="s">
        <v>2185</v>
      </c>
      <c r="F1269" s="36" t="s">
        <v>161</v>
      </c>
    </row>
    <row r="1270" spans="1:6" s="2" customFormat="1" x14ac:dyDescent="0.25">
      <c r="A1270" s="5" t="s">
        <v>411</v>
      </c>
      <c r="B1270" s="3">
        <v>5</v>
      </c>
      <c r="C1270" s="3">
        <v>2016</v>
      </c>
      <c r="D1270" s="2" t="s">
        <v>82</v>
      </c>
      <c r="E1270" s="2" t="s">
        <v>2186</v>
      </c>
      <c r="F1270" s="36" t="s">
        <v>410</v>
      </c>
    </row>
    <row r="1271" spans="1:6" s="2" customFormat="1" x14ac:dyDescent="0.25">
      <c r="A1271" s="2" t="s">
        <v>651</v>
      </c>
      <c r="B1271" s="3">
        <f>10000-5000-10-4990</f>
        <v>0</v>
      </c>
      <c r="C1271" s="3">
        <v>2043</v>
      </c>
      <c r="D1271" s="2" t="s">
        <v>0</v>
      </c>
      <c r="E1271" s="2" t="s">
        <v>2199</v>
      </c>
      <c r="F1271" s="36" t="s">
        <v>161</v>
      </c>
    </row>
    <row r="1272" spans="1:6" s="2" customFormat="1" x14ac:dyDescent="0.25">
      <c r="A1272" s="2" t="s">
        <v>170</v>
      </c>
      <c r="B1272" s="3">
        <v>20000</v>
      </c>
      <c r="C1272" s="3">
        <v>1351</v>
      </c>
      <c r="D1272" s="2" t="s">
        <v>71</v>
      </c>
      <c r="E1272" s="2" t="s">
        <v>1278</v>
      </c>
      <c r="F1272" s="36" t="s">
        <v>72</v>
      </c>
    </row>
    <row r="1273" spans="1:6" s="2" customFormat="1" x14ac:dyDescent="0.25">
      <c r="A1273" s="2" t="s">
        <v>176</v>
      </c>
      <c r="B1273" s="3">
        <f>20000-50+5</f>
        <v>19955</v>
      </c>
      <c r="C1273" s="3">
        <v>1440</v>
      </c>
      <c r="D1273" s="2" t="s">
        <v>71</v>
      </c>
      <c r="E1273" s="2" t="s">
        <v>1279</v>
      </c>
      <c r="F1273" s="36" t="s">
        <v>72</v>
      </c>
    </row>
    <row r="1274" spans="1:6" s="2" customFormat="1" x14ac:dyDescent="0.25">
      <c r="A1274" s="2" t="s">
        <v>494</v>
      </c>
      <c r="B1274" s="3">
        <f>25000-5000-137-12-7-5000-5000-10-5000</f>
        <v>4834</v>
      </c>
      <c r="C1274" s="3">
        <v>2106</v>
      </c>
      <c r="D1274" s="2" t="s">
        <v>0</v>
      </c>
      <c r="E1274" s="2" t="s">
        <v>2423</v>
      </c>
      <c r="F1274" s="36" t="s">
        <v>161</v>
      </c>
    </row>
    <row r="1275" spans="1:6" s="2" customFormat="1" x14ac:dyDescent="0.25">
      <c r="A1275" s="2" t="s">
        <v>3408</v>
      </c>
      <c r="B1275" s="3">
        <f>5000-4</f>
        <v>4996</v>
      </c>
      <c r="C1275" s="3">
        <v>2242</v>
      </c>
      <c r="D1275" s="2" t="s">
        <v>0</v>
      </c>
      <c r="E1275" s="2" t="s">
        <v>3409</v>
      </c>
      <c r="F1275" s="36" t="s">
        <v>161</v>
      </c>
    </row>
    <row r="1276" spans="1:6" s="2" customFormat="1" x14ac:dyDescent="0.25">
      <c r="A1276" s="2" t="s">
        <v>3539</v>
      </c>
      <c r="B1276" s="3">
        <f>60-23</f>
        <v>37</v>
      </c>
      <c r="C1276" s="3">
        <v>2311</v>
      </c>
      <c r="D1276" s="2" t="s">
        <v>0</v>
      </c>
      <c r="E1276" s="2" t="s">
        <v>3540</v>
      </c>
      <c r="F1276" s="36" t="s">
        <v>161</v>
      </c>
    </row>
    <row r="1277" spans="1:6" s="2" customFormat="1" x14ac:dyDescent="0.25">
      <c r="A1277" s="2" t="s">
        <v>1479</v>
      </c>
      <c r="B1277" s="15">
        <f>5000-5000</f>
        <v>0</v>
      </c>
      <c r="C1277" s="3">
        <v>2112</v>
      </c>
      <c r="D1277" s="2" t="s">
        <v>0</v>
      </c>
      <c r="E1277" s="2" t="s">
        <v>1480</v>
      </c>
      <c r="F1277" s="36" t="s">
        <v>161</v>
      </c>
    </row>
    <row r="1278" spans="1:6" s="2" customFormat="1" x14ac:dyDescent="0.25">
      <c r="A1278" s="2" t="s">
        <v>81</v>
      </c>
      <c r="B1278" s="3">
        <f>150-50+1</f>
        <v>101</v>
      </c>
      <c r="C1278" s="3">
        <v>1206</v>
      </c>
      <c r="D1278" s="2" t="s">
        <v>82</v>
      </c>
      <c r="E1278" s="2" t="s">
        <v>2424</v>
      </c>
      <c r="F1278" s="36" t="s">
        <v>83</v>
      </c>
    </row>
    <row r="1279" spans="1:6" s="2" customFormat="1" x14ac:dyDescent="0.25">
      <c r="A1279" s="2" t="s">
        <v>254</v>
      </c>
      <c r="B1279" s="3">
        <f>5000-50-1700-10-44-10</f>
        <v>3186</v>
      </c>
      <c r="C1279" s="3">
        <v>2217</v>
      </c>
      <c r="D1279" s="2" t="s">
        <v>0</v>
      </c>
      <c r="E1279" s="2" t="s">
        <v>1501</v>
      </c>
      <c r="F1279" s="36" t="s">
        <v>161</v>
      </c>
    </row>
    <row r="1280" spans="1:6" s="2" customFormat="1" x14ac:dyDescent="0.25">
      <c r="A1280" s="2" t="s">
        <v>443</v>
      </c>
      <c r="B1280" s="15">
        <f>800-10-50-740</f>
        <v>0</v>
      </c>
      <c r="C1280" s="3" t="s">
        <v>400</v>
      </c>
      <c r="D1280" s="2" t="s">
        <v>0</v>
      </c>
      <c r="E1280" s="2" t="s">
        <v>2425</v>
      </c>
      <c r="F1280" s="36" t="s">
        <v>161</v>
      </c>
    </row>
    <row r="1281" spans="1:6" s="2" customFormat="1" x14ac:dyDescent="0.25">
      <c r="A1281" s="2" t="s">
        <v>734</v>
      </c>
      <c r="B1281" s="14">
        <v>25</v>
      </c>
      <c r="C1281" s="3" t="s">
        <v>214</v>
      </c>
      <c r="D1281" s="2" t="s">
        <v>0</v>
      </c>
      <c r="E1281" s="2" t="s">
        <v>2426</v>
      </c>
      <c r="F1281" s="36" t="s">
        <v>161</v>
      </c>
    </row>
    <row r="1282" spans="1:6" s="2" customFormat="1" x14ac:dyDescent="0.25">
      <c r="A1282" s="2" t="s">
        <v>159</v>
      </c>
      <c r="B1282" s="3">
        <f>80000-100-100-5000-500-10-200-5-299-20-100-50-20-36-50-50-12-93-860-137-230</f>
        <v>72128</v>
      </c>
      <c r="C1282" s="3">
        <v>1724</v>
      </c>
      <c r="D1282" s="2" t="s">
        <v>0</v>
      </c>
      <c r="E1282" s="2" t="s">
        <v>2427</v>
      </c>
      <c r="F1282" s="36" t="s">
        <v>161</v>
      </c>
    </row>
    <row r="1283" spans="1:6" s="2" customFormat="1" x14ac:dyDescent="0.25">
      <c r="A1283" s="2" t="s">
        <v>171</v>
      </c>
      <c r="B1283" s="3">
        <v>15000</v>
      </c>
      <c r="C1283" s="3">
        <v>1415</v>
      </c>
      <c r="D1283" s="2" t="s">
        <v>71</v>
      </c>
      <c r="E1283" s="2" t="s">
        <v>1280</v>
      </c>
      <c r="F1283" s="36" t="s">
        <v>72</v>
      </c>
    </row>
    <row r="1284" spans="1:6" s="2" customFormat="1" x14ac:dyDescent="0.25">
      <c r="A1284" s="2" t="s">
        <v>230</v>
      </c>
      <c r="B1284" s="3">
        <f>20000-5000</f>
        <v>15000</v>
      </c>
      <c r="C1284" s="3">
        <v>1314</v>
      </c>
      <c r="D1284" s="2" t="s">
        <v>71</v>
      </c>
      <c r="E1284" s="2" t="s">
        <v>1281</v>
      </c>
      <c r="F1284" s="36" t="s">
        <v>72</v>
      </c>
    </row>
    <row r="1285" spans="1:6" s="2" customFormat="1" x14ac:dyDescent="0.25">
      <c r="A1285" s="2" t="s">
        <v>267</v>
      </c>
      <c r="B1285" s="3">
        <v>5000</v>
      </c>
      <c r="C1285" s="3">
        <v>1509</v>
      </c>
      <c r="D1285" s="2" t="s">
        <v>0</v>
      </c>
      <c r="E1285" s="2" t="s">
        <v>2428</v>
      </c>
      <c r="F1285" s="36" t="s">
        <v>161</v>
      </c>
    </row>
    <row r="1286" spans="1:6" s="2" customFormat="1" x14ac:dyDescent="0.25">
      <c r="A1286" s="5" t="s">
        <v>1961</v>
      </c>
      <c r="B1286" s="3">
        <v>100</v>
      </c>
      <c r="C1286" s="3">
        <v>2119</v>
      </c>
      <c r="D1286" s="2" t="s">
        <v>0</v>
      </c>
      <c r="E1286" s="2" t="s">
        <v>1962</v>
      </c>
      <c r="F1286" s="36" t="s">
        <v>1702</v>
      </c>
    </row>
    <row r="1287" spans="1:6" s="2" customFormat="1" x14ac:dyDescent="0.25">
      <c r="A1287" s="2" t="s">
        <v>620</v>
      </c>
      <c r="B1287" s="14">
        <f>1000-200-100-111</f>
        <v>589</v>
      </c>
      <c r="C1287" s="3" t="s">
        <v>400</v>
      </c>
      <c r="D1287" s="2" t="s">
        <v>0</v>
      </c>
      <c r="E1287" s="2" t="s">
        <v>2429</v>
      </c>
      <c r="F1287" s="36" t="s">
        <v>161</v>
      </c>
    </row>
    <row r="1288" spans="1:6" s="2" customFormat="1" x14ac:dyDescent="0.25">
      <c r="A1288" s="2" t="s">
        <v>200</v>
      </c>
      <c r="B1288" s="3">
        <f>95000-5000-30-5000-93-5000</f>
        <v>79877</v>
      </c>
      <c r="C1288" s="3">
        <v>1442</v>
      </c>
      <c r="D1288" s="2" t="s">
        <v>0</v>
      </c>
      <c r="E1288" s="2" t="s">
        <v>2430</v>
      </c>
      <c r="F1288" s="36" t="s">
        <v>1</v>
      </c>
    </row>
    <row r="1289" spans="1:6" s="2" customFormat="1" x14ac:dyDescent="0.25">
      <c r="A1289" s="2" t="s">
        <v>177</v>
      </c>
      <c r="B1289" s="3">
        <v>20000</v>
      </c>
      <c r="C1289" s="3">
        <v>1450</v>
      </c>
      <c r="D1289" s="2" t="s">
        <v>71</v>
      </c>
      <c r="E1289" s="2" t="s">
        <v>1282</v>
      </c>
      <c r="F1289" s="36" t="s">
        <v>72</v>
      </c>
    </row>
    <row r="1290" spans="1:6" s="2" customFormat="1" x14ac:dyDescent="0.25">
      <c r="A1290" s="2" t="s">
        <v>636</v>
      </c>
      <c r="B1290" s="14">
        <f>1000-100</f>
        <v>900</v>
      </c>
      <c r="C1290" s="3" t="s">
        <v>400</v>
      </c>
      <c r="D1290" s="2" t="s">
        <v>0</v>
      </c>
      <c r="E1290" s="2" t="s">
        <v>2431</v>
      </c>
      <c r="F1290" s="36" t="s">
        <v>161</v>
      </c>
    </row>
    <row r="1291" spans="1:6" s="2" customFormat="1" x14ac:dyDescent="0.25">
      <c r="A1291" s="2" t="s">
        <v>314</v>
      </c>
      <c r="B1291" s="3">
        <f>20000-5000-5000-5000-121-42</f>
        <v>4837</v>
      </c>
      <c r="C1291" s="3">
        <v>2136</v>
      </c>
      <c r="D1291" s="2" t="s">
        <v>0</v>
      </c>
      <c r="E1291" s="2" t="s">
        <v>1379</v>
      </c>
      <c r="F1291" s="36" t="s">
        <v>1</v>
      </c>
    </row>
    <row r="1292" spans="1:6" s="2" customFormat="1" x14ac:dyDescent="0.25">
      <c r="A1292" s="2" t="s">
        <v>3686</v>
      </c>
      <c r="B1292" s="6">
        <f>26-26</f>
        <v>0</v>
      </c>
      <c r="C1292" s="3">
        <v>2329</v>
      </c>
      <c r="D1292" s="2" t="s">
        <v>0</v>
      </c>
      <c r="E1292" s="2" t="s">
        <v>3687</v>
      </c>
      <c r="F1292" s="36" t="s">
        <v>2658</v>
      </c>
    </row>
    <row r="1293" spans="1:6" s="2" customFormat="1" x14ac:dyDescent="0.25">
      <c r="A1293" s="2" t="s">
        <v>197</v>
      </c>
      <c r="B1293" s="14">
        <f>15000-100</f>
        <v>14900</v>
      </c>
      <c r="C1293" s="3">
        <v>1526</v>
      </c>
      <c r="D1293" s="2" t="s">
        <v>0</v>
      </c>
      <c r="E1293" s="2" t="s">
        <v>2432</v>
      </c>
      <c r="F1293" s="36" t="s">
        <v>161</v>
      </c>
    </row>
    <row r="1294" spans="1:6" s="2" customFormat="1" x14ac:dyDescent="0.25">
      <c r="A1294" s="2" t="s">
        <v>2656</v>
      </c>
      <c r="B1294" s="14">
        <v>10</v>
      </c>
      <c r="C1294" s="3">
        <v>2232</v>
      </c>
      <c r="D1294" s="2" t="s">
        <v>0</v>
      </c>
      <c r="E1294" s="2" t="s">
        <v>2657</v>
      </c>
      <c r="F1294" s="36" t="s">
        <v>2658</v>
      </c>
    </row>
    <row r="1295" spans="1:6" s="2" customFormat="1" x14ac:dyDescent="0.25">
      <c r="A1295" s="2" t="s">
        <v>2656</v>
      </c>
      <c r="B1295" s="14">
        <f>102-87</f>
        <v>15</v>
      </c>
      <c r="C1295" s="3">
        <v>2230</v>
      </c>
      <c r="D1295" s="2" t="s">
        <v>0</v>
      </c>
      <c r="E1295" s="2" t="s">
        <v>2657</v>
      </c>
      <c r="F1295" s="36" t="s">
        <v>2658</v>
      </c>
    </row>
    <row r="1296" spans="1:6" s="2" customFormat="1" x14ac:dyDescent="0.25">
      <c r="A1296" s="2" t="s">
        <v>2656</v>
      </c>
      <c r="B1296" s="14">
        <f>198-99-19</f>
        <v>80</v>
      </c>
      <c r="C1296" s="3">
        <v>2347</v>
      </c>
      <c r="D1296" s="2" t="s">
        <v>0</v>
      </c>
      <c r="E1296" s="2" t="s">
        <v>2657</v>
      </c>
      <c r="F1296" s="36" t="s">
        <v>2658</v>
      </c>
    </row>
    <row r="1297" spans="1:6" s="2" customFormat="1" x14ac:dyDescent="0.25">
      <c r="A1297" s="2" t="s">
        <v>430</v>
      </c>
      <c r="B1297" s="14">
        <f>4900-30-25-4-100-4500-10-90-7</f>
        <v>134</v>
      </c>
      <c r="C1297" s="3">
        <v>1532</v>
      </c>
      <c r="D1297" s="2" t="s">
        <v>0</v>
      </c>
      <c r="E1297" s="2" t="s">
        <v>2433</v>
      </c>
      <c r="F1297" s="36" t="s">
        <v>1</v>
      </c>
    </row>
    <row r="1298" spans="1:6" s="2" customFormat="1" x14ac:dyDescent="0.25">
      <c r="A1298" s="2" t="s">
        <v>261</v>
      </c>
      <c r="B1298" s="14">
        <f>70000-100-50-1000-600-30-10000-1+100-10-5000-900-5000-16-20-160-108-50-5000-1-50-50-12-120-15-1430-50-100-526-91-63-5000</f>
        <v>34547</v>
      </c>
      <c r="C1298" s="3">
        <v>1535</v>
      </c>
      <c r="D1298" s="2" t="s">
        <v>0</v>
      </c>
      <c r="E1298" s="2" t="s">
        <v>2434</v>
      </c>
      <c r="F1298" s="36" t="s">
        <v>161</v>
      </c>
    </row>
    <row r="1299" spans="1:6" s="2" customFormat="1" x14ac:dyDescent="0.25">
      <c r="A1299" s="2" t="s">
        <v>725</v>
      </c>
      <c r="B1299" s="14">
        <f>35000-10000-10000-140-100-9-299-18-95-50-7-403-152</f>
        <v>13727</v>
      </c>
      <c r="C1299" s="3">
        <v>1834</v>
      </c>
      <c r="D1299" s="2" t="s">
        <v>0</v>
      </c>
      <c r="E1299" s="2" t="s">
        <v>2435</v>
      </c>
      <c r="F1299" s="36" t="s">
        <v>161</v>
      </c>
    </row>
    <row r="1300" spans="1:6" s="2" customFormat="1" x14ac:dyDescent="0.25">
      <c r="A1300" s="2" t="s">
        <v>1796</v>
      </c>
      <c r="B1300" s="14">
        <f>1000-100-60</f>
        <v>840</v>
      </c>
      <c r="C1300" s="3">
        <v>2226</v>
      </c>
      <c r="D1300" s="2" t="s">
        <v>82</v>
      </c>
      <c r="E1300" s="2" t="s">
        <v>1943</v>
      </c>
      <c r="F1300" s="36" t="s">
        <v>1797</v>
      </c>
    </row>
    <row r="1301" spans="1:6" s="2" customFormat="1" x14ac:dyDescent="0.25">
      <c r="A1301" s="5" t="s">
        <v>3255</v>
      </c>
      <c r="B1301" s="3">
        <f>181-117</f>
        <v>64</v>
      </c>
      <c r="C1301" s="3">
        <v>2232</v>
      </c>
      <c r="D1301" s="2" t="s">
        <v>0</v>
      </c>
      <c r="E1301" s="2" t="s">
        <v>1943</v>
      </c>
      <c r="F1301" s="36" t="s">
        <v>1702</v>
      </c>
    </row>
    <row r="1302" spans="1:6" s="2" customFormat="1" x14ac:dyDescent="0.25">
      <c r="A1302" s="5" t="s">
        <v>3255</v>
      </c>
      <c r="B1302" s="3">
        <v>103</v>
      </c>
      <c r="C1302" s="3">
        <v>2335</v>
      </c>
      <c r="D1302" s="2" t="s">
        <v>0</v>
      </c>
      <c r="E1302" s="2" t="s">
        <v>1943</v>
      </c>
      <c r="F1302" s="36" t="s">
        <v>1702</v>
      </c>
    </row>
    <row r="1303" spans="1:6" s="2" customFormat="1" x14ac:dyDescent="0.25">
      <c r="A1303" s="2" t="s">
        <v>1372</v>
      </c>
      <c r="B1303" s="14">
        <f>15000-30-83-50-5000-5000</f>
        <v>4837</v>
      </c>
      <c r="C1303" s="3">
        <v>2139</v>
      </c>
      <c r="D1303" s="2" t="s">
        <v>0</v>
      </c>
      <c r="E1303" s="2" t="s">
        <v>2436</v>
      </c>
      <c r="F1303" s="36" t="s">
        <v>1</v>
      </c>
    </row>
    <row r="1304" spans="1:6" s="2" customFormat="1" x14ac:dyDescent="0.25">
      <c r="A1304" s="2" t="s">
        <v>1299</v>
      </c>
      <c r="B1304" s="14">
        <f>10000-50-50-12-4</f>
        <v>9884</v>
      </c>
      <c r="C1304" s="3">
        <v>2233</v>
      </c>
      <c r="D1304" s="2" t="s">
        <v>0</v>
      </c>
      <c r="E1304" s="2" t="s">
        <v>1376</v>
      </c>
      <c r="F1304" s="36" t="s">
        <v>1</v>
      </c>
    </row>
    <row r="1305" spans="1:6" s="2" customFormat="1" x14ac:dyDescent="0.25">
      <c r="A1305" s="2" t="s">
        <v>3410</v>
      </c>
      <c r="B1305" s="14">
        <v>5000</v>
      </c>
      <c r="C1305" s="3">
        <v>2421</v>
      </c>
      <c r="D1305" s="2" t="s">
        <v>0</v>
      </c>
      <c r="E1305" s="2" t="s">
        <v>3411</v>
      </c>
      <c r="F1305" s="36" t="s">
        <v>1</v>
      </c>
    </row>
    <row r="1306" spans="1:6" s="2" customFormat="1" x14ac:dyDescent="0.25">
      <c r="A1306" s="5" t="s">
        <v>3202</v>
      </c>
      <c r="B1306" s="3">
        <f>480-158-108-6-6</f>
        <v>202</v>
      </c>
      <c r="C1306" s="3">
        <v>2232</v>
      </c>
      <c r="D1306" s="2" t="s">
        <v>0</v>
      </c>
      <c r="E1306" s="2" t="s">
        <v>3203</v>
      </c>
      <c r="F1306" s="36" t="s">
        <v>1702</v>
      </c>
    </row>
    <row r="1307" spans="1:6" s="2" customFormat="1" x14ac:dyDescent="0.25">
      <c r="A1307" s="5" t="s">
        <v>3202</v>
      </c>
      <c r="B1307" s="3">
        <f>444-80-117</f>
        <v>247</v>
      </c>
      <c r="C1307" s="3">
        <v>2235</v>
      </c>
      <c r="D1307" s="2" t="s">
        <v>0</v>
      </c>
      <c r="E1307" s="2" t="s">
        <v>3203</v>
      </c>
      <c r="F1307" s="36" t="s">
        <v>1702</v>
      </c>
    </row>
    <row r="1308" spans="1:6" s="2" customFormat="1" x14ac:dyDescent="0.25">
      <c r="A1308" s="5" t="s">
        <v>1319</v>
      </c>
      <c r="B1308" s="3">
        <v>14</v>
      </c>
      <c r="C1308" s="3">
        <v>1937</v>
      </c>
      <c r="D1308" s="2" t="s">
        <v>383</v>
      </c>
      <c r="E1308" s="2" t="s">
        <v>1941</v>
      </c>
      <c r="F1308" s="36" t="s">
        <v>756</v>
      </c>
    </row>
    <row r="1309" spans="1:6" s="2" customFormat="1" x14ac:dyDescent="0.25">
      <c r="A1309" s="5" t="s">
        <v>1940</v>
      </c>
      <c r="B1309" s="6">
        <f>350-47-62-107-134</f>
        <v>0</v>
      </c>
      <c r="C1309" s="3">
        <v>2115</v>
      </c>
      <c r="D1309" s="2" t="s">
        <v>0</v>
      </c>
      <c r="E1309" s="2" t="s">
        <v>1945</v>
      </c>
      <c r="F1309" s="36" t="s">
        <v>1702</v>
      </c>
    </row>
    <row r="1310" spans="1:6" s="2" customFormat="1" x14ac:dyDescent="0.25">
      <c r="A1310" s="5" t="s">
        <v>3221</v>
      </c>
      <c r="B1310" s="3">
        <v>2</v>
      </c>
      <c r="C1310" s="3">
        <v>2235</v>
      </c>
      <c r="D1310" s="2" t="s">
        <v>3199</v>
      </c>
      <c r="E1310" s="2" t="s">
        <v>3222</v>
      </c>
      <c r="F1310" s="36" t="s">
        <v>1403</v>
      </c>
    </row>
    <row r="1311" spans="1:6" s="2" customFormat="1" x14ac:dyDescent="0.25">
      <c r="A1311" s="5" t="s">
        <v>3177</v>
      </c>
      <c r="B1311" s="6">
        <f>50-50</f>
        <v>0</v>
      </c>
      <c r="C1311" s="3">
        <v>2234</v>
      </c>
      <c r="D1311" s="2" t="s">
        <v>0</v>
      </c>
      <c r="E1311" s="2" t="s">
        <v>1944</v>
      </c>
      <c r="F1311" s="36" t="s">
        <v>1702</v>
      </c>
    </row>
    <row r="1312" spans="1:6" s="2" customFormat="1" x14ac:dyDescent="0.25">
      <c r="A1312" s="5" t="s">
        <v>1942</v>
      </c>
      <c r="B1312" s="6">
        <f>900-327-573</f>
        <v>0</v>
      </c>
      <c r="C1312" s="3">
        <v>2025</v>
      </c>
      <c r="D1312" s="2" t="s">
        <v>82</v>
      </c>
      <c r="E1312" s="2" t="s">
        <v>1944</v>
      </c>
      <c r="F1312" s="36" t="s">
        <v>1797</v>
      </c>
    </row>
    <row r="1313" spans="1:6" s="2" customFormat="1" x14ac:dyDescent="0.25">
      <c r="A1313" s="5" t="s">
        <v>3188</v>
      </c>
      <c r="B1313" s="3">
        <v>150</v>
      </c>
      <c r="C1313" s="3">
        <v>2240</v>
      </c>
      <c r="D1313" s="2" t="s">
        <v>0</v>
      </c>
      <c r="E1313" s="2" t="s">
        <v>3189</v>
      </c>
      <c r="F1313" s="36" t="s">
        <v>1702</v>
      </c>
    </row>
    <row r="1314" spans="1:6" s="2" customFormat="1" x14ac:dyDescent="0.25">
      <c r="A1314" s="18" t="s">
        <v>243</v>
      </c>
      <c r="B1314" s="19">
        <v>10000</v>
      </c>
      <c r="C1314" s="19">
        <v>1544</v>
      </c>
      <c r="D1314" s="18" t="s">
        <v>244</v>
      </c>
      <c r="E1314" s="18" t="s">
        <v>1285</v>
      </c>
      <c r="F1314" s="36" t="s">
        <v>1365</v>
      </c>
    </row>
    <row r="1315" spans="1:6" s="2" customFormat="1" x14ac:dyDescent="0.25">
      <c r="A1315" s="2" t="s">
        <v>160</v>
      </c>
      <c r="B1315" s="3">
        <f>55000-100-100-5-10-100-25-5-50-28-50-65-15000-5000-50-35-57-22-5000</f>
        <v>29298</v>
      </c>
      <c r="C1315" s="3">
        <v>1628</v>
      </c>
      <c r="D1315" s="2" t="s">
        <v>0</v>
      </c>
      <c r="E1315" s="2" t="s">
        <v>2437</v>
      </c>
      <c r="F1315" s="36" t="s">
        <v>161</v>
      </c>
    </row>
    <row r="1316" spans="1:6" s="2" customFormat="1" x14ac:dyDescent="0.25">
      <c r="A1316" s="2" t="s">
        <v>325</v>
      </c>
      <c r="B1316" s="3">
        <f>60000-1400-50000-50-5000-600-115-1000-100-100-72-50-20-6-900-6-59-100-100-100-76</f>
        <v>146</v>
      </c>
      <c r="C1316" s="3">
        <v>1707</v>
      </c>
      <c r="D1316" s="2" t="s">
        <v>0</v>
      </c>
      <c r="E1316" s="2" t="s">
        <v>2438</v>
      </c>
      <c r="F1316" s="36" t="s">
        <v>1</v>
      </c>
    </row>
    <row r="1317" spans="1:6" s="2" customFormat="1" x14ac:dyDescent="0.25">
      <c r="A1317" s="2" t="s">
        <v>1147</v>
      </c>
      <c r="B1317" s="6">
        <f>10000-10000</f>
        <v>0</v>
      </c>
      <c r="C1317" s="3">
        <v>2126</v>
      </c>
      <c r="D1317" s="2" t="s">
        <v>0</v>
      </c>
      <c r="E1317" s="2" t="s">
        <v>1380</v>
      </c>
      <c r="F1317" s="36" t="s">
        <v>1</v>
      </c>
    </row>
    <row r="1318" spans="1:6" s="2" customFormat="1" x14ac:dyDescent="0.25">
      <c r="A1318" s="2" t="s">
        <v>324</v>
      </c>
      <c r="B1318" s="3">
        <f>115000-45000-2800-50000-15000-500-120-8-50-121-4-70</f>
        <v>1327</v>
      </c>
      <c r="C1318" s="3">
        <v>1729</v>
      </c>
      <c r="D1318" s="2" t="s">
        <v>0</v>
      </c>
      <c r="E1318" s="2" t="s">
        <v>2439</v>
      </c>
      <c r="F1318" s="36" t="s">
        <v>1</v>
      </c>
    </row>
    <row r="1319" spans="1:6" s="2" customFormat="1" x14ac:dyDescent="0.25">
      <c r="A1319" s="2" t="s">
        <v>1502</v>
      </c>
      <c r="B1319" s="3">
        <f>40000-10000-10000-10000-50-30-50-50-111-3-10-5-35-50-50-50-5000</f>
        <v>4506</v>
      </c>
      <c r="C1319" s="3">
        <v>2135</v>
      </c>
      <c r="D1319" s="2" t="s">
        <v>0</v>
      </c>
      <c r="E1319" s="2" t="s">
        <v>1503</v>
      </c>
      <c r="F1319" s="36" t="s">
        <v>1</v>
      </c>
    </row>
    <row r="1320" spans="1:6" s="2" customFormat="1" x14ac:dyDescent="0.25">
      <c r="A1320" s="2" t="s">
        <v>998</v>
      </c>
      <c r="B1320" s="6">
        <f>20000-30-5000-50-5000-9920</f>
        <v>0</v>
      </c>
      <c r="C1320" s="3">
        <v>2135</v>
      </c>
      <c r="D1320" s="2" t="s">
        <v>0</v>
      </c>
      <c r="E1320" s="2" t="s">
        <v>1375</v>
      </c>
      <c r="F1320" s="36" t="s">
        <v>1</v>
      </c>
    </row>
    <row r="1321" spans="1:6" s="2" customFormat="1" x14ac:dyDescent="0.25">
      <c r="A1321" s="5" t="s">
        <v>2074</v>
      </c>
      <c r="B1321" s="3">
        <f>100-80+6+120-88</f>
        <v>58</v>
      </c>
      <c r="C1321" s="3">
        <v>2237</v>
      </c>
      <c r="D1321" s="2" t="s">
        <v>0</v>
      </c>
      <c r="E1321" s="2" t="s">
        <v>2075</v>
      </c>
      <c r="F1321" s="36" t="s">
        <v>1702</v>
      </c>
    </row>
    <row r="1322" spans="1:6" s="2" customFormat="1" x14ac:dyDescent="0.25">
      <c r="A1322" s="5" t="s">
        <v>2074</v>
      </c>
      <c r="B1322" s="3">
        <f>778-46</f>
        <v>732</v>
      </c>
      <c r="C1322" s="3">
        <v>2236</v>
      </c>
      <c r="D1322" s="2" t="s">
        <v>0</v>
      </c>
      <c r="E1322" s="2" t="s">
        <v>2075</v>
      </c>
      <c r="F1322" s="36" t="s">
        <v>1702</v>
      </c>
    </row>
    <row r="1323" spans="1:6" s="2" customFormat="1" x14ac:dyDescent="0.25">
      <c r="A1323" s="2" t="s">
        <v>178</v>
      </c>
      <c r="B1323" s="3">
        <v>20000</v>
      </c>
      <c r="C1323" s="3">
        <v>1422</v>
      </c>
      <c r="D1323" s="2" t="s">
        <v>71</v>
      </c>
      <c r="E1323" s="2" t="s">
        <v>1284</v>
      </c>
      <c r="F1323" s="36" t="s">
        <v>72</v>
      </c>
    </row>
    <row r="1324" spans="1:6" s="2" customFormat="1" x14ac:dyDescent="0.25">
      <c r="A1324" s="2" t="s">
        <v>2663</v>
      </c>
      <c r="B1324" s="14">
        <v>35</v>
      </c>
      <c r="C1324" s="3">
        <v>2141</v>
      </c>
      <c r="D1324" s="2" t="s">
        <v>0</v>
      </c>
      <c r="E1324" s="2" t="s">
        <v>2664</v>
      </c>
      <c r="F1324" s="36" t="s">
        <v>1</v>
      </c>
    </row>
    <row r="1325" spans="1:6" s="2" customFormat="1" x14ac:dyDescent="0.25">
      <c r="A1325" s="2" t="s">
        <v>1724</v>
      </c>
      <c r="B1325" s="3">
        <v>50</v>
      </c>
      <c r="C1325" s="3">
        <v>2016</v>
      </c>
      <c r="D1325" s="2" t="s">
        <v>0</v>
      </c>
      <c r="E1325" s="2" t="s">
        <v>1725</v>
      </c>
      <c r="F1325" s="36" t="s">
        <v>1702</v>
      </c>
    </row>
    <row r="1326" spans="1:6" s="2" customFormat="1" x14ac:dyDescent="0.25">
      <c r="A1326" s="2" t="s">
        <v>1724</v>
      </c>
      <c r="B1326" s="3">
        <v>10</v>
      </c>
      <c r="C1326" s="3">
        <v>2215</v>
      </c>
      <c r="D1326" s="2" t="s">
        <v>0</v>
      </c>
      <c r="E1326" s="2" t="s">
        <v>1725</v>
      </c>
      <c r="F1326" s="36" t="s">
        <v>1702</v>
      </c>
    </row>
    <row r="1327" spans="1:6" s="2" customFormat="1" x14ac:dyDescent="0.25">
      <c r="A1327" s="2" t="s">
        <v>327</v>
      </c>
      <c r="B1327" s="14">
        <f>105000-10000-5000-5000-5000-5000-5000-5000-5000-5000-5000-5000-5000-15000</f>
        <v>25000</v>
      </c>
      <c r="C1327" s="3">
        <v>1616</v>
      </c>
      <c r="D1327" s="2" t="s">
        <v>0</v>
      </c>
      <c r="E1327" s="2" t="s">
        <v>2440</v>
      </c>
      <c r="F1327" s="36" t="s">
        <v>1</v>
      </c>
    </row>
    <row r="1328" spans="1:6" s="2" customFormat="1" x14ac:dyDescent="0.25">
      <c r="A1328" s="2" t="s">
        <v>643</v>
      </c>
      <c r="B1328" s="14">
        <f>10000-100-39-50</f>
        <v>9811</v>
      </c>
      <c r="C1328" s="3">
        <v>1824</v>
      </c>
      <c r="D1328" s="2" t="s">
        <v>0</v>
      </c>
      <c r="E1328" s="2" t="s">
        <v>2441</v>
      </c>
      <c r="F1328" s="36" t="s">
        <v>1</v>
      </c>
    </row>
    <row r="1329" spans="1:6" s="2" customFormat="1" x14ac:dyDescent="0.25">
      <c r="A1329" s="2" t="s">
        <v>241</v>
      </c>
      <c r="B1329" s="3">
        <f>75000-15000-5000-5000-5000-5000-5000-10000</f>
        <v>25000</v>
      </c>
      <c r="C1329" s="3">
        <v>1525</v>
      </c>
      <c r="D1329" s="2" t="s">
        <v>0</v>
      </c>
      <c r="E1329" s="2" t="s">
        <v>2442</v>
      </c>
      <c r="F1329" s="36" t="s">
        <v>161</v>
      </c>
    </row>
    <row r="1330" spans="1:6" s="2" customFormat="1" x14ac:dyDescent="0.25">
      <c r="A1330" s="2" t="s">
        <v>172</v>
      </c>
      <c r="B1330" s="3">
        <v>20000</v>
      </c>
      <c r="C1330" s="3">
        <v>1343</v>
      </c>
      <c r="D1330" s="2" t="s">
        <v>71</v>
      </c>
      <c r="E1330" s="2" t="s">
        <v>1286</v>
      </c>
      <c r="F1330" s="36" t="s">
        <v>72</v>
      </c>
    </row>
    <row r="1331" spans="1:6" s="2" customFormat="1" x14ac:dyDescent="0.25">
      <c r="A1331" s="2" t="s">
        <v>377</v>
      </c>
      <c r="B1331" s="3">
        <f>90000-30000-10000-10</f>
        <v>49990</v>
      </c>
      <c r="C1331" s="3">
        <v>1615</v>
      </c>
      <c r="D1331" s="2" t="s">
        <v>0</v>
      </c>
      <c r="E1331" s="2" t="s">
        <v>2443</v>
      </c>
      <c r="F1331" s="36" t="s">
        <v>161</v>
      </c>
    </row>
    <row r="1332" spans="1:6" s="2" customFormat="1" x14ac:dyDescent="0.25">
      <c r="A1332" s="2" t="s">
        <v>179</v>
      </c>
      <c r="B1332" s="3">
        <v>20000</v>
      </c>
      <c r="C1332" s="3">
        <v>1426</v>
      </c>
      <c r="D1332" s="2" t="s">
        <v>71</v>
      </c>
      <c r="E1332" s="2" t="s">
        <v>1283</v>
      </c>
      <c r="F1332" s="36" t="s">
        <v>72</v>
      </c>
    </row>
    <row r="1333" spans="1:6" s="2" customFormat="1" x14ac:dyDescent="0.25">
      <c r="A1333" s="2" t="s">
        <v>838</v>
      </c>
      <c r="B1333" s="3">
        <f>5000-500</f>
        <v>4500</v>
      </c>
      <c r="C1333" s="3" t="s">
        <v>214</v>
      </c>
      <c r="D1333" s="2" t="s">
        <v>0</v>
      </c>
      <c r="E1333" s="2" t="s">
        <v>2444</v>
      </c>
      <c r="F1333" s="36" t="s">
        <v>161</v>
      </c>
    </row>
    <row r="1334" spans="1:6" s="2" customFormat="1" x14ac:dyDescent="0.25">
      <c r="A1334" s="2" t="s">
        <v>1387</v>
      </c>
      <c r="B1334" s="6">
        <f>10000-5000-5000</f>
        <v>0</v>
      </c>
      <c r="C1334" s="3">
        <v>2128</v>
      </c>
      <c r="D1334" s="2" t="s">
        <v>0</v>
      </c>
      <c r="E1334" s="2" t="s">
        <v>1388</v>
      </c>
      <c r="F1334" s="36" t="s">
        <v>1</v>
      </c>
    </row>
    <row r="1335" spans="1:6" s="2" customFormat="1" x14ac:dyDescent="0.25">
      <c r="A1335" s="2" t="s">
        <v>1726</v>
      </c>
      <c r="B1335" s="3">
        <v>300</v>
      </c>
      <c r="C1335" s="3">
        <v>2133</v>
      </c>
      <c r="D1335" s="2" t="s">
        <v>0</v>
      </c>
      <c r="E1335" s="2" t="s">
        <v>2121</v>
      </c>
      <c r="F1335" s="36" t="s">
        <v>1702</v>
      </c>
    </row>
    <row r="1336" spans="1:6" s="2" customFormat="1" x14ac:dyDescent="0.25">
      <c r="A1336" s="2" t="s">
        <v>1726</v>
      </c>
      <c r="B1336" s="3">
        <v>120</v>
      </c>
      <c r="C1336" s="3">
        <v>2233</v>
      </c>
      <c r="D1336" s="2" t="s">
        <v>0</v>
      </c>
      <c r="E1336" s="2" t="s">
        <v>2121</v>
      </c>
      <c r="F1336" s="36" t="s">
        <v>1702</v>
      </c>
    </row>
    <row r="1337" spans="1:6" s="2" customFormat="1" x14ac:dyDescent="0.25">
      <c r="A1337" s="2" t="s">
        <v>1726</v>
      </c>
      <c r="B1337" s="3">
        <v>60</v>
      </c>
      <c r="C1337" s="3">
        <v>2238</v>
      </c>
      <c r="D1337" s="2" t="s">
        <v>0</v>
      </c>
      <c r="E1337" s="2" t="s">
        <v>2121</v>
      </c>
      <c r="F1337" s="36" t="s">
        <v>1702</v>
      </c>
    </row>
    <row r="1338" spans="1:6" s="2" customFormat="1" x14ac:dyDescent="0.25">
      <c r="A1338" s="2" t="s">
        <v>953</v>
      </c>
      <c r="B1338" s="14">
        <f>5000-1000</f>
        <v>4000</v>
      </c>
      <c r="C1338" s="3" t="s">
        <v>813</v>
      </c>
      <c r="D1338" s="2" t="s">
        <v>0</v>
      </c>
      <c r="E1338" s="2" t="s">
        <v>2445</v>
      </c>
      <c r="F1338" s="36" t="s">
        <v>1</v>
      </c>
    </row>
    <row r="1339" spans="1:6" s="2" customFormat="1" x14ac:dyDescent="0.25">
      <c r="A1339" s="2" t="s">
        <v>379</v>
      </c>
      <c r="B1339" s="3">
        <f>65000-22</f>
        <v>64978</v>
      </c>
      <c r="C1339" s="3">
        <v>1637</v>
      </c>
      <c r="D1339" s="2" t="s">
        <v>0</v>
      </c>
      <c r="E1339" s="2" t="s">
        <v>2446</v>
      </c>
      <c r="F1339" s="36" t="s">
        <v>161</v>
      </c>
    </row>
    <row r="1340" spans="1:6" s="2" customFormat="1" x14ac:dyDescent="0.25">
      <c r="A1340" s="2" t="s">
        <v>427</v>
      </c>
      <c r="B1340" s="3">
        <f>4900-2-20-50-50</f>
        <v>4778</v>
      </c>
      <c r="C1340" s="3">
        <v>1322</v>
      </c>
      <c r="D1340" s="2" t="s">
        <v>0</v>
      </c>
      <c r="E1340" s="2" t="s">
        <v>2447</v>
      </c>
      <c r="F1340" s="36" t="s">
        <v>161</v>
      </c>
    </row>
    <row r="1341" spans="1:6" s="2" customFormat="1" x14ac:dyDescent="0.25">
      <c r="A1341" s="2" t="s">
        <v>495</v>
      </c>
      <c r="B1341" s="3">
        <v>5000</v>
      </c>
      <c r="C1341" s="3">
        <v>1645</v>
      </c>
      <c r="D1341" s="2" t="s">
        <v>0</v>
      </c>
      <c r="E1341" s="2" t="s">
        <v>2448</v>
      </c>
      <c r="F1341" s="36" t="s">
        <v>161</v>
      </c>
    </row>
    <row r="1342" spans="1:6" s="2" customFormat="1" x14ac:dyDescent="0.25">
      <c r="A1342" s="2" t="s">
        <v>733</v>
      </c>
      <c r="B1342" s="3">
        <f>1000-500</f>
        <v>500</v>
      </c>
      <c r="C1342" s="3">
        <v>2019</v>
      </c>
      <c r="D1342" s="2" t="s">
        <v>0</v>
      </c>
      <c r="E1342" s="2" t="s">
        <v>2449</v>
      </c>
      <c r="F1342" s="36" t="s">
        <v>161</v>
      </c>
    </row>
    <row r="1343" spans="1:6" s="2" customFormat="1" x14ac:dyDescent="0.25">
      <c r="A1343" s="2" t="s">
        <v>3258</v>
      </c>
      <c r="B1343" s="3">
        <v>60</v>
      </c>
      <c r="C1343" s="3">
        <v>2215</v>
      </c>
      <c r="D1343" s="2" t="s">
        <v>0</v>
      </c>
      <c r="E1343" s="2" t="s">
        <v>3208</v>
      </c>
      <c r="F1343" s="36" t="s">
        <v>3206</v>
      </c>
    </row>
    <row r="1344" spans="1:6" s="2" customFormat="1" x14ac:dyDescent="0.25">
      <c r="A1344" s="2" t="s">
        <v>3207</v>
      </c>
      <c r="B1344" s="3">
        <v>120</v>
      </c>
      <c r="C1344" s="3">
        <v>2236</v>
      </c>
      <c r="D1344" s="2" t="s">
        <v>0</v>
      </c>
      <c r="E1344" s="2" t="s">
        <v>3259</v>
      </c>
      <c r="F1344" s="36" t="s">
        <v>3206</v>
      </c>
    </row>
    <row r="1345" spans="1:6" s="2" customFormat="1" x14ac:dyDescent="0.25">
      <c r="A1345" s="2" t="s">
        <v>173</v>
      </c>
      <c r="B1345" s="3">
        <v>10000</v>
      </c>
      <c r="C1345" s="3">
        <v>1416</v>
      </c>
      <c r="D1345" s="2" t="s">
        <v>71</v>
      </c>
      <c r="E1345" s="2" t="s">
        <v>1287</v>
      </c>
      <c r="F1345" s="36" t="s">
        <v>72</v>
      </c>
    </row>
    <row r="1346" spans="1:6" s="2" customFormat="1" x14ac:dyDescent="0.25">
      <c r="A1346" s="2" t="s">
        <v>1955</v>
      </c>
      <c r="B1346" s="3">
        <v>20</v>
      </c>
      <c r="C1346" s="3">
        <v>2202</v>
      </c>
      <c r="D1346" s="2" t="s">
        <v>0</v>
      </c>
      <c r="E1346" s="2" t="s">
        <v>1956</v>
      </c>
      <c r="F1346" s="36" t="s">
        <v>161</v>
      </c>
    </row>
    <row r="1347" spans="1:6" s="2" customFormat="1" x14ac:dyDescent="0.25">
      <c r="A1347" s="2" t="s">
        <v>351</v>
      </c>
      <c r="B1347" s="14">
        <f>10000-5000-100-100-10-100</f>
        <v>4690</v>
      </c>
      <c r="C1347" s="3">
        <v>1633</v>
      </c>
      <c r="D1347" s="2" t="s">
        <v>0</v>
      </c>
      <c r="E1347" s="2" t="s">
        <v>1957</v>
      </c>
      <c r="F1347" s="36" t="s">
        <v>161</v>
      </c>
    </row>
    <row r="1348" spans="1:6" s="2" customFormat="1" x14ac:dyDescent="0.25">
      <c r="A1348" s="2" t="s">
        <v>475</v>
      </c>
      <c r="B1348" s="6">
        <f>5000-5000</f>
        <v>0</v>
      </c>
      <c r="C1348" s="3">
        <v>1620</v>
      </c>
      <c r="D1348" s="2" t="s">
        <v>0</v>
      </c>
      <c r="E1348" s="2" t="s">
        <v>1958</v>
      </c>
      <c r="F1348" s="36" t="s">
        <v>161</v>
      </c>
    </row>
    <row r="1349" spans="1:6" s="2" customFormat="1" x14ac:dyDescent="0.25">
      <c r="A1349" s="2" t="s">
        <v>452</v>
      </c>
      <c r="B1349" s="14">
        <f>5000-100</f>
        <v>4900</v>
      </c>
      <c r="C1349" s="3">
        <v>1715</v>
      </c>
      <c r="D1349" s="2" t="s">
        <v>0</v>
      </c>
      <c r="E1349" s="2" t="s">
        <v>2450</v>
      </c>
      <c r="F1349" s="36" t="s">
        <v>161</v>
      </c>
    </row>
    <row r="1350" spans="1:6" s="2" customFormat="1" x14ac:dyDescent="0.25">
      <c r="A1350" s="2" t="s">
        <v>237</v>
      </c>
      <c r="B1350" s="6">
        <f>20000-5000-10000-43-4957</f>
        <v>0</v>
      </c>
      <c r="C1350" s="3">
        <v>1843</v>
      </c>
      <c r="D1350" s="2" t="s">
        <v>0</v>
      </c>
      <c r="E1350" s="2" t="s">
        <v>1504</v>
      </c>
      <c r="F1350" s="36" t="s">
        <v>161</v>
      </c>
    </row>
    <row r="1351" spans="1:6" s="2" customFormat="1" x14ac:dyDescent="0.25">
      <c r="A1351" s="2" t="s">
        <v>437</v>
      </c>
      <c r="B1351" s="3">
        <f>4900-100-15-30-25-2110-100-18-50</f>
        <v>2452</v>
      </c>
      <c r="C1351" s="3">
        <v>1539</v>
      </c>
      <c r="D1351" s="2" t="s">
        <v>0</v>
      </c>
      <c r="E1351" s="2" t="s">
        <v>2451</v>
      </c>
      <c r="F1351" s="36" t="s">
        <v>161</v>
      </c>
    </row>
    <row r="1352" spans="1:6" s="2" customFormat="1" x14ac:dyDescent="0.25">
      <c r="A1352" s="2" t="s">
        <v>1330</v>
      </c>
      <c r="B1352" s="3">
        <v>1000</v>
      </c>
      <c r="C1352" s="3">
        <v>1912</v>
      </c>
      <c r="D1352" s="2" t="s">
        <v>1331</v>
      </c>
      <c r="E1352" s="2" t="s">
        <v>1332</v>
      </c>
      <c r="F1352" s="36"/>
    </row>
    <row r="1353" spans="1:6" s="2" customFormat="1" x14ac:dyDescent="0.25">
      <c r="A1353" s="2" t="s">
        <v>493</v>
      </c>
      <c r="B1353" s="14">
        <v>5000</v>
      </c>
      <c r="C1353" s="3">
        <v>1618</v>
      </c>
      <c r="D1353" s="2" t="s">
        <v>0</v>
      </c>
      <c r="E1353" s="2" t="s">
        <v>2452</v>
      </c>
      <c r="F1353" s="36" t="s">
        <v>161</v>
      </c>
    </row>
    <row r="1354" spans="1:6" s="2" customFormat="1" x14ac:dyDescent="0.25">
      <c r="A1354" s="2" t="s">
        <v>190</v>
      </c>
      <c r="B1354" s="14">
        <v>5000</v>
      </c>
      <c r="C1354" s="3">
        <v>1435</v>
      </c>
      <c r="D1354" s="2" t="s">
        <v>0</v>
      </c>
      <c r="E1354" s="2" t="s">
        <v>2453</v>
      </c>
      <c r="F1354" s="36" t="s">
        <v>161</v>
      </c>
    </row>
    <row r="1355" spans="1:6" s="2" customFormat="1" x14ac:dyDescent="0.25">
      <c r="A1355" s="2" t="s">
        <v>180</v>
      </c>
      <c r="B1355" s="3">
        <v>15000</v>
      </c>
      <c r="C1355" s="3">
        <v>1427</v>
      </c>
      <c r="D1355" s="2" t="s">
        <v>71</v>
      </c>
      <c r="E1355" s="5" t="s">
        <v>1288</v>
      </c>
      <c r="F1355" s="36" t="s">
        <v>72</v>
      </c>
    </row>
    <row r="1356" spans="1:6" s="2" customFormat="1" x14ac:dyDescent="0.25">
      <c r="A1356" s="2" t="s">
        <v>189</v>
      </c>
      <c r="B1356" s="3">
        <v>5000</v>
      </c>
      <c r="C1356" s="3">
        <v>1505</v>
      </c>
      <c r="D1356" s="2" t="s">
        <v>0</v>
      </c>
      <c r="E1356" s="2" t="s">
        <v>2454</v>
      </c>
      <c r="F1356" s="36" t="s">
        <v>161</v>
      </c>
    </row>
    <row r="1357" spans="1:6" s="2" customFormat="1" x14ac:dyDescent="0.25">
      <c r="A1357" s="2" t="s">
        <v>3204</v>
      </c>
      <c r="B1357" s="3">
        <v>120</v>
      </c>
      <c r="C1357" s="3">
        <v>2234</v>
      </c>
      <c r="D1357" s="2" t="s">
        <v>0</v>
      </c>
      <c r="E1357" s="2" t="s">
        <v>3205</v>
      </c>
      <c r="F1357" s="36" t="s">
        <v>3206</v>
      </c>
    </row>
    <row r="1358" spans="1:6" s="2" customFormat="1" x14ac:dyDescent="0.25">
      <c r="A1358" s="2" t="s">
        <v>246</v>
      </c>
      <c r="B1358" s="14">
        <v>70000</v>
      </c>
      <c r="C1358" s="3">
        <v>1515</v>
      </c>
      <c r="D1358" s="2" t="s">
        <v>0</v>
      </c>
      <c r="E1358" s="2" t="s">
        <v>2455</v>
      </c>
      <c r="F1358" s="36" t="s">
        <v>161</v>
      </c>
    </row>
    <row r="1359" spans="1:6" s="2" customFormat="1" x14ac:dyDescent="0.25">
      <c r="A1359" s="2" t="s">
        <v>204</v>
      </c>
      <c r="B1359" s="3">
        <f>70000-20000-10000-5000-16-5000-14-5000-5000-5000-100-5000-5000-100</f>
        <v>4770</v>
      </c>
      <c r="C1359" s="3">
        <v>1429</v>
      </c>
      <c r="D1359" s="2" t="s">
        <v>0</v>
      </c>
      <c r="E1359" s="2" t="s">
        <v>2456</v>
      </c>
      <c r="F1359" s="36" t="s">
        <v>161</v>
      </c>
    </row>
    <row r="1360" spans="1:6" s="2" customFormat="1" x14ac:dyDescent="0.25">
      <c r="A1360" s="2" t="s">
        <v>458</v>
      </c>
      <c r="B1360" s="3">
        <v>20000</v>
      </c>
      <c r="C1360" s="3">
        <v>2207</v>
      </c>
      <c r="D1360" s="2" t="s">
        <v>0</v>
      </c>
      <c r="E1360" s="2" t="s">
        <v>2457</v>
      </c>
      <c r="F1360" s="36" t="s">
        <v>161</v>
      </c>
    </row>
    <row r="1361" spans="1:6" s="2" customFormat="1" x14ac:dyDescent="0.25">
      <c r="A1361" s="2" t="s">
        <v>479</v>
      </c>
      <c r="B1361" s="14">
        <f>90000-5000-5000-10000-5000-15000</f>
        <v>50000</v>
      </c>
      <c r="C1361" s="3">
        <v>1706</v>
      </c>
      <c r="D1361" s="2" t="s">
        <v>0</v>
      </c>
      <c r="E1361" s="2" t="s">
        <v>2458</v>
      </c>
      <c r="F1361" s="36" t="s">
        <v>1</v>
      </c>
    </row>
    <row r="1362" spans="1:6" s="2" customFormat="1" x14ac:dyDescent="0.25">
      <c r="A1362" s="2" t="s">
        <v>181</v>
      </c>
      <c r="B1362" s="3">
        <v>20000</v>
      </c>
      <c r="C1362" s="3">
        <v>1419</v>
      </c>
      <c r="D1362" s="2" t="s">
        <v>71</v>
      </c>
      <c r="E1362" s="2" t="s">
        <v>1290</v>
      </c>
      <c r="F1362" s="36" t="s">
        <v>72</v>
      </c>
    </row>
    <row r="1363" spans="1:6" s="2" customFormat="1" x14ac:dyDescent="0.25">
      <c r="A1363" s="2" t="s">
        <v>174</v>
      </c>
      <c r="B1363" s="3">
        <v>20000</v>
      </c>
      <c r="C1363" s="3">
        <v>1443</v>
      </c>
      <c r="D1363" s="2" t="s">
        <v>71</v>
      </c>
      <c r="E1363" s="2" t="s">
        <v>1289</v>
      </c>
      <c r="F1363" s="36" t="s">
        <v>72</v>
      </c>
    </row>
    <row r="1364" spans="1:6" s="2" customFormat="1" x14ac:dyDescent="0.25">
      <c r="A1364" s="2" t="s">
        <v>188</v>
      </c>
      <c r="B1364" s="14">
        <f>5000-50</f>
        <v>4950</v>
      </c>
      <c r="C1364" s="3">
        <v>1505</v>
      </c>
      <c r="D1364" s="2" t="s">
        <v>0</v>
      </c>
      <c r="E1364" s="2" t="s">
        <v>2459</v>
      </c>
      <c r="F1364" s="36" t="s">
        <v>161</v>
      </c>
    </row>
    <row r="1365" spans="1:6" s="2" customFormat="1" x14ac:dyDescent="0.25">
      <c r="A1365" s="2" t="s">
        <v>1183</v>
      </c>
      <c r="B1365" s="15">
        <f>15000-10000-5000</f>
        <v>0</v>
      </c>
      <c r="C1365" s="3">
        <v>2212</v>
      </c>
      <c r="D1365" s="2" t="s">
        <v>0</v>
      </c>
      <c r="E1365" s="2" t="s">
        <v>1484</v>
      </c>
      <c r="F1365" s="36" t="s">
        <v>161</v>
      </c>
    </row>
    <row r="1366" spans="1:6" s="2" customFormat="1" x14ac:dyDescent="0.25">
      <c r="A1366" s="2" t="s">
        <v>162</v>
      </c>
      <c r="B1366" s="14">
        <f>25000-1400-20000-70-14-27-100-50-50-30-12-430-490-28</f>
        <v>2299</v>
      </c>
      <c r="C1366" s="3">
        <v>1724</v>
      </c>
      <c r="D1366" s="2" t="s">
        <v>0</v>
      </c>
      <c r="E1366" s="2" t="s">
        <v>2460</v>
      </c>
      <c r="F1366" s="36" t="s">
        <v>161</v>
      </c>
    </row>
    <row r="1367" spans="1:6" s="2" customFormat="1" x14ac:dyDescent="0.25">
      <c r="A1367" s="2" t="s">
        <v>2770</v>
      </c>
      <c r="B1367" s="14">
        <v>18</v>
      </c>
      <c r="C1367" s="3" t="s">
        <v>214</v>
      </c>
      <c r="D1367" s="2" t="s">
        <v>82</v>
      </c>
      <c r="E1367" s="2" t="s">
        <v>1297</v>
      </c>
      <c r="F1367" s="36" t="s">
        <v>929</v>
      </c>
    </row>
    <row r="1368" spans="1:6" s="2" customFormat="1" x14ac:dyDescent="0.25">
      <c r="A1368" s="2" t="s">
        <v>565</v>
      </c>
      <c r="B1368" s="14">
        <f>30000-299-5000-5000</f>
        <v>19701</v>
      </c>
      <c r="C1368" s="3">
        <v>1636</v>
      </c>
      <c r="D1368" s="2" t="s">
        <v>0</v>
      </c>
      <c r="E1368" s="2" t="s">
        <v>2461</v>
      </c>
      <c r="F1368" s="36" t="s">
        <v>161</v>
      </c>
    </row>
    <row r="1369" spans="1:6" s="2" customFormat="1" x14ac:dyDescent="0.25">
      <c r="A1369" s="2" t="s">
        <v>260</v>
      </c>
      <c r="B1369" s="14">
        <f>50000-100-100-100-150-1400-100-5000-10000-2-35-18-10-25-10000-50-10-4-25-100-30-30-30-30-20-20-14-50-5000-72-50-1120-32-56-50-50-27-50-50-5000-5000</f>
        <v>5990</v>
      </c>
      <c r="C1369" s="3">
        <v>1637</v>
      </c>
      <c r="D1369" s="2" t="s">
        <v>0</v>
      </c>
      <c r="E1369" s="2" t="s">
        <v>2462</v>
      </c>
      <c r="F1369" s="36" t="s">
        <v>161</v>
      </c>
    </row>
    <row r="1370" spans="1:6" s="2" customFormat="1" x14ac:dyDescent="0.25">
      <c r="A1370" s="2" t="s">
        <v>719</v>
      </c>
      <c r="B1370" s="14">
        <v>5000</v>
      </c>
      <c r="C1370" s="3">
        <v>1839</v>
      </c>
      <c r="D1370" s="2" t="s">
        <v>0</v>
      </c>
      <c r="E1370" s="2" t="s">
        <v>2463</v>
      </c>
      <c r="F1370" s="36" t="s">
        <v>161</v>
      </c>
    </row>
    <row r="1371" spans="1:6" s="2" customFormat="1" x14ac:dyDescent="0.25">
      <c r="A1371" s="2" t="s">
        <v>431</v>
      </c>
      <c r="B1371" s="14">
        <v>4900</v>
      </c>
      <c r="C1371" s="3">
        <v>1631</v>
      </c>
      <c r="D1371" s="2" t="s">
        <v>0</v>
      </c>
      <c r="E1371" s="2" t="s">
        <v>2464</v>
      </c>
      <c r="F1371" s="36" t="s">
        <v>161</v>
      </c>
    </row>
    <row r="1372" spans="1:6" s="2" customFormat="1" x14ac:dyDescent="0.25">
      <c r="A1372" s="2" t="s">
        <v>206</v>
      </c>
      <c r="B1372" s="3">
        <v>15000</v>
      </c>
      <c r="C1372" s="3">
        <v>1523</v>
      </c>
      <c r="D1372" s="2" t="s">
        <v>71</v>
      </c>
      <c r="E1372" s="2" t="s">
        <v>1301</v>
      </c>
      <c r="F1372" s="36" t="s">
        <v>72</v>
      </c>
    </row>
    <row r="1373" spans="1:6" s="2" customFormat="1" x14ac:dyDescent="0.25">
      <c r="A1373" s="2" t="s">
        <v>941</v>
      </c>
      <c r="B1373" s="15">
        <f>10000-5000-5000</f>
        <v>0</v>
      </c>
      <c r="C1373" s="3" t="s">
        <v>2558</v>
      </c>
      <c r="D1373" s="2" t="s">
        <v>0</v>
      </c>
      <c r="E1373" s="2" t="s">
        <v>2465</v>
      </c>
      <c r="F1373" s="36" t="s">
        <v>161</v>
      </c>
    </row>
    <row r="1374" spans="1:6" s="2" customFormat="1" x14ac:dyDescent="0.25">
      <c r="A1374" s="2" t="s">
        <v>183</v>
      </c>
      <c r="B1374" s="3">
        <v>4960</v>
      </c>
      <c r="C1374" s="3">
        <v>2014</v>
      </c>
      <c r="D1374" s="2" t="s">
        <v>71</v>
      </c>
      <c r="E1374" s="2" t="s">
        <v>1300</v>
      </c>
      <c r="F1374" s="36" t="s">
        <v>72</v>
      </c>
    </row>
    <row r="1375" spans="1:6" s="2" customFormat="1" x14ac:dyDescent="0.25">
      <c r="A1375" s="2" t="s">
        <v>1096</v>
      </c>
      <c r="B1375" s="3">
        <v>10000</v>
      </c>
      <c r="C1375" s="3">
        <v>2225</v>
      </c>
      <c r="D1375" s="2" t="s">
        <v>0</v>
      </c>
      <c r="E1375" s="2" t="s">
        <v>1373</v>
      </c>
      <c r="F1375" s="36" t="s">
        <v>161</v>
      </c>
    </row>
    <row r="1376" spans="1:6" s="2" customFormat="1" x14ac:dyDescent="0.25">
      <c r="A1376" s="2" t="s">
        <v>1103</v>
      </c>
      <c r="B1376" s="14">
        <v>5000</v>
      </c>
      <c r="C1376" s="3">
        <v>1605</v>
      </c>
      <c r="D1376" s="2" t="s">
        <v>0</v>
      </c>
      <c r="E1376" s="2" t="s">
        <v>1374</v>
      </c>
      <c r="F1376" s="36" t="s">
        <v>161</v>
      </c>
    </row>
    <row r="1377" spans="1:6" s="2" customFormat="1" x14ac:dyDescent="0.25">
      <c r="A1377" s="2" t="s">
        <v>1059</v>
      </c>
      <c r="B1377" s="6">
        <f>5000-500-4500</f>
        <v>0</v>
      </c>
      <c r="C1377" s="3">
        <v>1815</v>
      </c>
      <c r="D1377" s="2" t="s">
        <v>0</v>
      </c>
      <c r="E1377" s="2" t="s">
        <v>2466</v>
      </c>
      <c r="F1377" s="36" t="s">
        <v>161</v>
      </c>
    </row>
    <row r="1378" spans="1:6" s="2" customFormat="1" x14ac:dyDescent="0.25">
      <c r="A1378" s="2" t="s">
        <v>497</v>
      </c>
      <c r="B1378" s="14">
        <f>10000-150-50-50-5-105-9-5000</f>
        <v>4631</v>
      </c>
      <c r="C1378" s="3">
        <v>2221</v>
      </c>
      <c r="D1378" s="2" t="s">
        <v>0</v>
      </c>
      <c r="E1378" s="2" t="s">
        <v>1368</v>
      </c>
      <c r="F1378" s="36" t="s">
        <v>161</v>
      </c>
    </row>
    <row r="1379" spans="1:6" s="2" customFormat="1" x14ac:dyDescent="0.25">
      <c r="A1379" s="2" t="s">
        <v>480</v>
      </c>
      <c r="B1379" s="6">
        <f>25000-100-20000-4900</f>
        <v>0</v>
      </c>
      <c r="C1379" s="3">
        <v>1724</v>
      </c>
      <c r="D1379" s="2" t="s">
        <v>0</v>
      </c>
      <c r="E1379" s="2" t="s">
        <v>1437</v>
      </c>
      <c r="F1379" s="36" t="s">
        <v>161</v>
      </c>
    </row>
    <row r="1380" spans="1:6" s="2" customFormat="1" x14ac:dyDescent="0.25">
      <c r="A1380" s="2" t="s">
        <v>323</v>
      </c>
      <c r="B1380" s="14">
        <f>70000-450-10000-2800-210-75-5000-1-300-10000-20000-20000-16-14-25-30-30-40-50-130-50-50-202-21</f>
        <v>506</v>
      </c>
      <c r="C1380" s="3">
        <v>1722</v>
      </c>
      <c r="D1380" s="2" t="s">
        <v>0</v>
      </c>
      <c r="E1380" s="2" t="s">
        <v>1435</v>
      </c>
      <c r="F1380" s="36" t="s">
        <v>161</v>
      </c>
    </row>
    <row r="1381" spans="1:6" s="2" customFormat="1" x14ac:dyDescent="0.25">
      <c r="A1381" s="2" t="s">
        <v>323</v>
      </c>
      <c r="B1381" s="14">
        <f>25000-5000-5000-10000</f>
        <v>5000</v>
      </c>
      <c r="C1381" s="3">
        <v>2136</v>
      </c>
      <c r="D1381" s="2" t="s">
        <v>0</v>
      </c>
      <c r="E1381" s="2" t="s">
        <v>1435</v>
      </c>
      <c r="F1381" s="36" t="s">
        <v>161</v>
      </c>
    </row>
    <row r="1382" spans="1:6" s="2" customFormat="1" x14ac:dyDescent="0.25">
      <c r="A1382" s="2" t="s">
        <v>938</v>
      </c>
      <c r="B1382" s="14">
        <f>5000-25-42-24-20-100-99-50-50-60</f>
        <v>4530</v>
      </c>
      <c r="C1382" s="3">
        <v>1837</v>
      </c>
      <c r="D1382" s="2" t="s">
        <v>0</v>
      </c>
      <c r="E1382" s="2" t="s">
        <v>1436</v>
      </c>
      <c r="F1382" s="36" t="s">
        <v>161</v>
      </c>
    </row>
    <row r="1383" spans="1:6" s="2" customFormat="1" x14ac:dyDescent="0.25">
      <c r="A1383" s="2" t="s">
        <v>1424</v>
      </c>
      <c r="B1383" s="14">
        <f>20000-9000-5000-50-5000-50-50-50-100-105-9</f>
        <v>586</v>
      </c>
      <c r="C1383" s="3">
        <v>2113</v>
      </c>
      <c r="D1383" s="2" t="s">
        <v>0</v>
      </c>
      <c r="E1383" s="2" t="s">
        <v>1425</v>
      </c>
      <c r="F1383" s="36" t="s">
        <v>161</v>
      </c>
    </row>
    <row r="1384" spans="1:6" s="2" customFormat="1" x14ac:dyDescent="0.25">
      <c r="A1384" s="2" t="s">
        <v>380</v>
      </c>
      <c r="B1384" s="14">
        <f>60000-15000-10000-10000-5000-49-34-5000-5-10000-299-11-18-30-30-33-50</f>
        <v>4441</v>
      </c>
      <c r="C1384" s="3">
        <v>1546</v>
      </c>
      <c r="D1384" s="2" t="s">
        <v>0</v>
      </c>
      <c r="E1384" s="2" t="s">
        <v>1426</v>
      </c>
      <c r="F1384" s="36" t="s">
        <v>161</v>
      </c>
    </row>
    <row r="1385" spans="1:6" s="2" customFormat="1" x14ac:dyDescent="0.25">
      <c r="A1385" s="2" t="s">
        <v>999</v>
      </c>
      <c r="B1385" s="14">
        <f>20000-5000-280-50-50-10000</f>
        <v>4620</v>
      </c>
      <c r="C1385" s="3" t="s">
        <v>1875</v>
      </c>
      <c r="D1385" s="2" t="s">
        <v>0</v>
      </c>
      <c r="E1385" s="2" t="s">
        <v>2467</v>
      </c>
      <c r="F1385" s="36" t="s">
        <v>161</v>
      </c>
    </row>
    <row r="1386" spans="1:6" s="2" customFormat="1" x14ac:dyDescent="0.25">
      <c r="A1386" s="2" t="s">
        <v>1381</v>
      </c>
      <c r="B1386" s="14">
        <v>201</v>
      </c>
      <c r="C1386" s="3">
        <v>2015</v>
      </c>
      <c r="D1386" s="2" t="s">
        <v>0</v>
      </c>
      <c r="E1386" s="2" t="s">
        <v>1382</v>
      </c>
      <c r="F1386" s="36" t="s">
        <v>161</v>
      </c>
    </row>
    <row r="1387" spans="1:6" s="2" customFormat="1" x14ac:dyDescent="0.25">
      <c r="A1387" s="2" t="s">
        <v>326</v>
      </c>
      <c r="B1387" s="14">
        <f>50000-5000-5000-10000-2-30-30-20-57-50-50</f>
        <v>29761</v>
      </c>
      <c r="C1387" s="3">
        <v>1550</v>
      </c>
      <c r="D1387" s="2" t="s">
        <v>0</v>
      </c>
      <c r="E1387" s="2" t="s">
        <v>2468</v>
      </c>
      <c r="F1387" s="36" t="s">
        <v>161</v>
      </c>
    </row>
    <row r="1388" spans="1:6" s="2" customFormat="1" x14ac:dyDescent="0.25">
      <c r="A1388" s="2" t="s">
        <v>1052</v>
      </c>
      <c r="B1388" s="14">
        <f>5000-1000</f>
        <v>4000</v>
      </c>
      <c r="C1388" s="3">
        <v>1932</v>
      </c>
      <c r="D1388" s="2" t="s">
        <v>0</v>
      </c>
      <c r="E1388" s="2" t="s">
        <v>2469</v>
      </c>
      <c r="F1388" s="36" t="s">
        <v>161</v>
      </c>
    </row>
    <row r="1389" spans="1:6" s="2" customFormat="1" x14ac:dyDescent="0.25">
      <c r="A1389" s="2" t="s">
        <v>564</v>
      </c>
      <c r="B1389" s="14">
        <f>10000-5000-10-500-30-30-20</f>
        <v>4410</v>
      </c>
      <c r="C1389" s="3">
        <v>1729</v>
      </c>
      <c r="D1389" s="2" t="s">
        <v>0</v>
      </c>
      <c r="E1389" s="2" t="s">
        <v>2470</v>
      </c>
      <c r="F1389" s="36" t="s">
        <v>161</v>
      </c>
    </row>
    <row r="1390" spans="1:6" s="2" customFormat="1" x14ac:dyDescent="0.25">
      <c r="A1390" s="2" t="s">
        <v>1320</v>
      </c>
      <c r="B1390" s="14">
        <v>2000</v>
      </c>
      <c r="C1390" s="3">
        <v>1620</v>
      </c>
      <c r="D1390" s="2" t="s">
        <v>0</v>
      </c>
      <c r="E1390" s="2" t="s">
        <v>2471</v>
      </c>
      <c r="F1390" s="36" t="s">
        <v>161</v>
      </c>
    </row>
    <row r="1391" spans="1:6" s="2" customFormat="1" x14ac:dyDescent="0.25">
      <c r="A1391" s="2" t="s">
        <v>266</v>
      </c>
      <c r="B1391" s="14">
        <f>40000-1000-5000</f>
        <v>34000</v>
      </c>
      <c r="C1391" s="3">
        <v>1515</v>
      </c>
      <c r="D1391" s="2" t="s">
        <v>0</v>
      </c>
      <c r="E1391" s="2" t="s">
        <v>2472</v>
      </c>
      <c r="F1391" s="36" t="s">
        <v>161</v>
      </c>
    </row>
    <row r="1392" spans="1:6" s="2" customFormat="1" x14ac:dyDescent="0.25">
      <c r="A1392" s="2" t="s">
        <v>1114</v>
      </c>
      <c r="B1392" s="14">
        <v>25</v>
      </c>
      <c r="C1392" s="3">
        <v>1932</v>
      </c>
      <c r="D1392" s="2" t="s">
        <v>944</v>
      </c>
      <c r="E1392" s="2" t="s">
        <v>2473</v>
      </c>
      <c r="F1392" s="36" t="s">
        <v>161</v>
      </c>
    </row>
    <row r="1393" spans="1:6" s="2" customFormat="1" x14ac:dyDescent="0.25">
      <c r="A1393" s="2" t="s">
        <v>496</v>
      </c>
      <c r="B1393" s="14">
        <v>5000</v>
      </c>
      <c r="C1393" s="3">
        <v>1705</v>
      </c>
      <c r="D1393" s="2" t="s">
        <v>0</v>
      </c>
      <c r="E1393" s="2" t="s">
        <v>2474</v>
      </c>
      <c r="F1393" s="36" t="s">
        <v>161</v>
      </c>
    </row>
    <row r="1394" spans="1:6" s="2" customFormat="1" x14ac:dyDescent="0.25">
      <c r="A1394" s="2" t="s">
        <v>433</v>
      </c>
      <c r="B1394" s="14">
        <f>4900-500-14-20</f>
        <v>4366</v>
      </c>
      <c r="C1394" s="3">
        <v>1537</v>
      </c>
      <c r="D1394" s="2" t="s">
        <v>0</v>
      </c>
      <c r="E1394" s="2" t="s">
        <v>2475</v>
      </c>
      <c r="F1394" s="36" t="s">
        <v>161</v>
      </c>
    </row>
    <row r="1395" spans="1:6" s="2" customFormat="1" x14ac:dyDescent="0.25">
      <c r="A1395" s="2" t="s">
        <v>1959</v>
      </c>
      <c r="B1395" s="14">
        <v>22</v>
      </c>
      <c r="C1395" s="3">
        <v>2136</v>
      </c>
      <c r="D1395" s="2" t="s">
        <v>0</v>
      </c>
      <c r="E1395" s="2" t="s">
        <v>1960</v>
      </c>
      <c r="F1395" s="36" t="s">
        <v>161</v>
      </c>
    </row>
    <row r="1396" spans="1:6" s="2" customFormat="1" x14ac:dyDescent="0.25">
      <c r="A1396" s="2" t="s">
        <v>3141</v>
      </c>
      <c r="B1396" s="14">
        <v>0</v>
      </c>
      <c r="C1396" s="3"/>
      <c r="D1396" s="2" t="s">
        <v>383</v>
      </c>
      <c r="E1396" s="2" t="s">
        <v>3142</v>
      </c>
      <c r="F1396" s="36" t="s">
        <v>756</v>
      </c>
    </row>
    <row r="1397" spans="1:6" s="2" customFormat="1" x14ac:dyDescent="0.25">
      <c r="A1397" s="5" t="s">
        <v>1861</v>
      </c>
      <c r="B1397" s="6">
        <f>7</f>
        <v>7</v>
      </c>
      <c r="C1397" s="3">
        <v>2203</v>
      </c>
      <c r="D1397" s="2" t="s">
        <v>82</v>
      </c>
      <c r="E1397" s="2" t="s">
        <v>2476</v>
      </c>
      <c r="F1397" s="36" t="s">
        <v>1862</v>
      </c>
    </row>
    <row r="1398" spans="1:6" s="2" customFormat="1" x14ac:dyDescent="0.25">
      <c r="A1398" s="2" t="s">
        <v>339</v>
      </c>
      <c r="B1398" s="14">
        <f>5000-150+9</f>
        <v>4859</v>
      </c>
      <c r="C1398" s="3">
        <v>1613</v>
      </c>
      <c r="D1398" s="2" t="s">
        <v>0</v>
      </c>
      <c r="E1398" s="2" t="s">
        <v>2477</v>
      </c>
      <c r="F1398" s="36" t="s">
        <v>161</v>
      </c>
    </row>
    <row r="1399" spans="1:6" s="2" customFormat="1" x14ac:dyDescent="0.25">
      <c r="A1399" s="2" t="s">
        <v>937</v>
      </c>
      <c r="B1399" s="15">
        <f>5000-6-50-25-4919</f>
        <v>0</v>
      </c>
      <c r="C1399" s="3">
        <v>1807</v>
      </c>
      <c r="D1399" s="2" t="s">
        <v>0</v>
      </c>
      <c r="E1399" s="2" t="s">
        <v>2478</v>
      </c>
      <c r="F1399" s="36" t="s">
        <v>161</v>
      </c>
    </row>
    <row r="1400" spans="1:6" s="2" customFormat="1" x14ac:dyDescent="0.25">
      <c r="A1400" s="2" t="s">
        <v>3218</v>
      </c>
      <c r="B1400" s="14">
        <v>492</v>
      </c>
      <c r="C1400" s="3">
        <v>2320</v>
      </c>
      <c r="D1400" s="2" t="s">
        <v>0</v>
      </c>
      <c r="E1400" s="2" t="s">
        <v>3219</v>
      </c>
      <c r="F1400" s="36" t="s">
        <v>3206</v>
      </c>
    </row>
    <row r="1401" spans="1:6" s="2" customFormat="1" x14ac:dyDescent="0.25">
      <c r="A1401" s="2" t="s">
        <v>264</v>
      </c>
      <c r="B1401" s="14">
        <f>40000-5000-100-5000-50-5000-5000-33-96-192-50-50-50-31-5000</f>
        <v>14348</v>
      </c>
      <c r="C1401" s="3">
        <v>1528</v>
      </c>
      <c r="D1401" s="2" t="s">
        <v>0</v>
      </c>
      <c r="E1401" s="2" t="s">
        <v>2479</v>
      </c>
      <c r="F1401" s="36" t="s">
        <v>161</v>
      </c>
    </row>
    <row r="1402" spans="1:6" s="2" customFormat="1" x14ac:dyDescent="0.25">
      <c r="A1402" s="2" t="s">
        <v>361</v>
      </c>
      <c r="B1402" s="3">
        <v>37</v>
      </c>
      <c r="C1402" s="3">
        <v>2016</v>
      </c>
      <c r="D1402" s="2" t="s">
        <v>71</v>
      </c>
      <c r="E1402" s="2" t="s">
        <v>1302</v>
      </c>
      <c r="F1402" s="36" t="s">
        <v>72</v>
      </c>
    </row>
    <row r="1403" spans="1:6" s="2" customFormat="1" x14ac:dyDescent="0.25">
      <c r="A1403" s="2" t="s">
        <v>421</v>
      </c>
      <c r="B1403" s="15">
        <f>5000-50-4950</f>
        <v>0</v>
      </c>
      <c r="C1403" s="3">
        <v>1630</v>
      </c>
      <c r="D1403" s="2" t="s">
        <v>0</v>
      </c>
      <c r="E1403" s="2" t="s">
        <v>2480</v>
      </c>
      <c r="F1403" s="36" t="s">
        <v>161</v>
      </c>
    </row>
    <row r="1404" spans="1:6" s="2" customFormat="1" x14ac:dyDescent="0.25">
      <c r="A1404" s="2" t="s">
        <v>374</v>
      </c>
      <c r="B1404" s="14">
        <f>5000-6-10-20</f>
        <v>4964</v>
      </c>
      <c r="C1404" s="3">
        <v>1633</v>
      </c>
      <c r="D1404" s="2" t="s">
        <v>0</v>
      </c>
      <c r="E1404" s="2" t="s">
        <v>2481</v>
      </c>
      <c r="F1404" s="36" t="s">
        <v>161</v>
      </c>
    </row>
    <row r="1405" spans="1:6" s="2" customFormat="1" x14ac:dyDescent="0.25">
      <c r="A1405" s="2" t="s">
        <v>720</v>
      </c>
      <c r="B1405" s="14">
        <v>5000</v>
      </c>
      <c r="C1405" s="3">
        <v>1839</v>
      </c>
      <c r="D1405" s="2" t="s">
        <v>0</v>
      </c>
      <c r="E1405" s="2" t="s">
        <v>2482</v>
      </c>
      <c r="F1405" s="36" t="s">
        <v>161</v>
      </c>
    </row>
    <row r="1406" spans="1:6" s="2" customFormat="1" x14ac:dyDescent="0.25">
      <c r="A1406" s="2" t="s">
        <v>2067</v>
      </c>
      <c r="B1406" s="14">
        <f>439-9-300</f>
        <v>130</v>
      </c>
      <c r="C1406" s="3">
        <v>2231</v>
      </c>
      <c r="D1406" s="2" t="s">
        <v>816</v>
      </c>
      <c r="E1406" s="2" t="s">
        <v>2084</v>
      </c>
      <c r="F1406" s="36" t="s">
        <v>1862</v>
      </c>
    </row>
    <row r="1407" spans="1:6" s="2" customFormat="1" x14ac:dyDescent="0.25">
      <c r="A1407" s="2" t="s">
        <v>2067</v>
      </c>
      <c r="B1407" s="14">
        <f>1-1</f>
        <v>0</v>
      </c>
      <c r="C1407" s="3">
        <v>2231</v>
      </c>
      <c r="D1407" s="2" t="s">
        <v>816</v>
      </c>
      <c r="E1407" s="2" t="s">
        <v>2084</v>
      </c>
      <c r="F1407" s="36" t="s">
        <v>1862</v>
      </c>
    </row>
    <row r="1408" spans="1:6" s="2" customFormat="1" x14ac:dyDescent="0.25">
      <c r="A1408" s="2" t="s">
        <v>2665</v>
      </c>
      <c r="B1408" s="14">
        <v>36</v>
      </c>
      <c r="C1408" s="3">
        <v>2150</v>
      </c>
      <c r="D1408" s="2" t="s">
        <v>0</v>
      </c>
      <c r="E1408" s="2" t="s">
        <v>2666</v>
      </c>
      <c r="F1408" s="36" t="s">
        <v>161</v>
      </c>
    </row>
    <row r="1409" spans="1:6" s="2" customFormat="1" x14ac:dyDescent="0.25">
      <c r="A1409" s="2" t="s">
        <v>2061</v>
      </c>
      <c r="B1409" s="14">
        <f>94-4</f>
        <v>90</v>
      </c>
      <c r="C1409" s="3">
        <v>2233</v>
      </c>
      <c r="D1409" s="2" t="s">
        <v>0</v>
      </c>
      <c r="E1409" s="2" t="s">
        <v>2483</v>
      </c>
      <c r="F1409" s="36" t="s">
        <v>161</v>
      </c>
    </row>
    <row r="1410" spans="1:6" s="2" customFormat="1" x14ac:dyDescent="0.25">
      <c r="A1410" s="2" t="s">
        <v>580</v>
      </c>
      <c r="B1410" s="14">
        <f>5000-500-100</f>
        <v>4400</v>
      </c>
      <c r="C1410" s="3">
        <v>1116</v>
      </c>
      <c r="D1410" s="2" t="s">
        <v>0</v>
      </c>
      <c r="E1410" s="2" t="s">
        <v>2484</v>
      </c>
      <c r="F1410" s="36" t="s">
        <v>161</v>
      </c>
    </row>
    <row r="1411" spans="1:6" s="2" customFormat="1" x14ac:dyDescent="0.25">
      <c r="A1411" s="2" t="s">
        <v>2082</v>
      </c>
      <c r="B1411" s="14">
        <f>30-10</f>
        <v>20</v>
      </c>
      <c r="C1411" s="3">
        <v>2250</v>
      </c>
      <c r="D1411" s="2" t="s">
        <v>0</v>
      </c>
      <c r="E1411" s="2" t="s">
        <v>2083</v>
      </c>
      <c r="F1411" s="36" t="s">
        <v>2066</v>
      </c>
    </row>
    <row r="1412" spans="1:6" s="2" customFormat="1" x14ac:dyDescent="0.25">
      <c r="A1412" s="2" t="s">
        <v>839</v>
      </c>
      <c r="B1412" s="14">
        <f>5000-1000</f>
        <v>4000</v>
      </c>
      <c r="C1412" s="3" t="s">
        <v>813</v>
      </c>
      <c r="D1412" s="2" t="s">
        <v>0</v>
      </c>
      <c r="E1412" s="2" t="s">
        <v>2485</v>
      </c>
      <c r="F1412" s="36" t="s">
        <v>161</v>
      </c>
    </row>
    <row r="1413" spans="1:6" s="2" customFormat="1" x14ac:dyDescent="0.25">
      <c r="A1413" s="2" t="s">
        <v>1393</v>
      </c>
      <c r="B1413" s="14">
        <v>1</v>
      </c>
      <c r="C1413" s="3">
        <v>2047</v>
      </c>
      <c r="D1413" s="2" t="s">
        <v>789</v>
      </c>
      <c r="E1413" s="2" t="s">
        <v>2080</v>
      </c>
      <c r="F1413" s="36" t="s">
        <v>756</v>
      </c>
    </row>
    <row r="1414" spans="1:6" s="2" customFormat="1" x14ac:dyDescent="0.25">
      <c r="A1414" s="2" t="s">
        <v>2065</v>
      </c>
      <c r="B1414" s="14">
        <v>1000</v>
      </c>
      <c r="C1414" s="3">
        <v>2152</v>
      </c>
      <c r="D1414" s="2" t="s">
        <v>0</v>
      </c>
      <c r="E1414" s="2" t="s">
        <v>2081</v>
      </c>
      <c r="F1414" s="36" t="s">
        <v>2066</v>
      </c>
    </row>
    <row r="1415" spans="1:6" s="2" customFormat="1" x14ac:dyDescent="0.25">
      <c r="A1415" s="2" t="s">
        <v>2065</v>
      </c>
      <c r="B1415" s="14">
        <f>490-6</f>
        <v>484</v>
      </c>
      <c r="C1415" s="3">
        <v>2152</v>
      </c>
      <c r="D1415" s="2" t="s">
        <v>0</v>
      </c>
      <c r="E1415" s="2" t="s">
        <v>2081</v>
      </c>
      <c r="F1415" s="36" t="s">
        <v>2066</v>
      </c>
    </row>
    <row r="1416" spans="1:6" s="2" customFormat="1" x14ac:dyDescent="0.25">
      <c r="A1416" s="2" t="s">
        <v>2065</v>
      </c>
      <c r="B1416" s="14">
        <v>80</v>
      </c>
      <c r="C1416" s="3">
        <v>2229</v>
      </c>
      <c r="D1416" s="2" t="s">
        <v>0</v>
      </c>
      <c r="E1416" s="2" t="s">
        <v>2081</v>
      </c>
      <c r="F1416" s="36" t="s">
        <v>2066</v>
      </c>
    </row>
    <row r="1417" spans="1:6" s="2" customFormat="1" x14ac:dyDescent="0.25">
      <c r="A1417" s="2" t="s">
        <v>434</v>
      </c>
      <c r="B1417" s="14">
        <f>4900-100-100-50-1</f>
        <v>4649</v>
      </c>
      <c r="C1417" s="3">
        <v>1638</v>
      </c>
      <c r="D1417" s="2" t="s">
        <v>0</v>
      </c>
      <c r="E1417" s="2" t="s">
        <v>2486</v>
      </c>
      <c r="F1417" s="36" t="s">
        <v>161</v>
      </c>
    </row>
    <row r="1418" spans="1:6" s="2" customFormat="1" x14ac:dyDescent="0.25">
      <c r="A1418" s="2" t="s">
        <v>1323</v>
      </c>
      <c r="B1418" s="14">
        <v>3500</v>
      </c>
      <c r="C1418" s="3">
        <v>1844</v>
      </c>
      <c r="D1418" s="2" t="s">
        <v>0</v>
      </c>
      <c r="E1418" s="2" t="s">
        <v>1324</v>
      </c>
      <c r="F1418" s="36" t="s">
        <v>161</v>
      </c>
    </row>
    <row r="1419" spans="1:6" s="2" customFormat="1" x14ac:dyDescent="0.25">
      <c r="A1419" s="2" t="s">
        <v>652</v>
      </c>
      <c r="B1419" s="14">
        <f>25000-2-5000-5000</f>
        <v>14998</v>
      </c>
      <c r="C1419" s="3" t="s">
        <v>650</v>
      </c>
      <c r="D1419" s="2" t="s">
        <v>0</v>
      </c>
      <c r="E1419" s="2" t="s">
        <v>2487</v>
      </c>
      <c r="F1419" s="36" t="s">
        <v>161</v>
      </c>
    </row>
    <row r="1420" spans="1:6" s="2" customFormat="1" x14ac:dyDescent="0.25">
      <c r="A1420" s="2" t="s">
        <v>328</v>
      </c>
      <c r="B1420" s="14">
        <v>70000</v>
      </c>
      <c r="C1420" s="3">
        <v>1602</v>
      </c>
      <c r="D1420" s="2" t="s">
        <v>0</v>
      </c>
      <c r="E1420" s="2" t="s">
        <v>2488</v>
      </c>
      <c r="F1420" s="36" t="s">
        <v>161</v>
      </c>
    </row>
    <row r="1421" spans="1:6" s="2" customFormat="1" x14ac:dyDescent="0.25">
      <c r="A1421" s="2" t="s">
        <v>201</v>
      </c>
      <c r="B1421" s="3">
        <f>30000-10000-100-100-10-20-14-5000-4756-5000</f>
        <v>5000</v>
      </c>
      <c r="C1421" s="3">
        <v>1450</v>
      </c>
      <c r="D1421" s="2" t="s">
        <v>0</v>
      </c>
      <c r="E1421" s="2" t="s">
        <v>2489</v>
      </c>
      <c r="F1421" s="36" t="s">
        <v>161</v>
      </c>
    </row>
    <row r="1422" spans="1:6" s="2" customFormat="1" x14ac:dyDescent="0.25">
      <c r="A1422" s="2" t="s">
        <v>202</v>
      </c>
      <c r="B1422" s="15">
        <f>5000-5000</f>
        <v>0</v>
      </c>
      <c r="C1422" s="3">
        <v>1417</v>
      </c>
      <c r="D1422" s="2" t="s">
        <v>71</v>
      </c>
      <c r="E1422" s="2" t="s">
        <v>2490</v>
      </c>
      <c r="F1422" s="36" t="s">
        <v>72</v>
      </c>
    </row>
    <row r="1423" spans="1:6" s="2" customFormat="1" x14ac:dyDescent="0.25">
      <c r="A1423" s="2" t="s">
        <v>477</v>
      </c>
      <c r="B1423" s="3">
        <f>5000-6-21</f>
        <v>4973</v>
      </c>
      <c r="C1423" s="3">
        <v>1620</v>
      </c>
      <c r="D1423" s="2" t="s">
        <v>0</v>
      </c>
      <c r="E1423" s="2" t="s">
        <v>2491</v>
      </c>
      <c r="F1423" s="36" t="s">
        <v>161</v>
      </c>
    </row>
    <row r="1424" spans="1:6" s="2" customFormat="1" x14ac:dyDescent="0.25">
      <c r="A1424" s="2" t="s">
        <v>1053</v>
      </c>
      <c r="B1424" s="3">
        <f>5000-1000-1000</f>
        <v>3000</v>
      </c>
      <c r="C1424" s="3">
        <v>1743</v>
      </c>
      <c r="D1424" s="2" t="s">
        <v>0</v>
      </c>
      <c r="E1424" s="2" t="s">
        <v>2492</v>
      </c>
      <c r="F1424" s="36" t="s">
        <v>161</v>
      </c>
    </row>
    <row r="1425" spans="1:6" s="2" customFormat="1" x14ac:dyDescent="0.25">
      <c r="A1425" s="2" t="s">
        <v>710</v>
      </c>
      <c r="B1425" s="6">
        <f>5000-5000</f>
        <v>0</v>
      </c>
      <c r="C1425" s="3">
        <v>1810</v>
      </c>
      <c r="D1425" s="2" t="s">
        <v>0</v>
      </c>
      <c r="E1425" s="2" t="s">
        <v>2493</v>
      </c>
      <c r="F1425" s="36" t="s">
        <v>161</v>
      </c>
    </row>
    <row r="1426" spans="1:6" s="2" customFormat="1" x14ac:dyDescent="0.25">
      <c r="A1426" s="2" t="s">
        <v>709</v>
      </c>
      <c r="B1426" s="3">
        <v>5000</v>
      </c>
      <c r="C1426" s="3">
        <v>1803</v>
      </c>
      <c r="D1426" s="2" t="s">
        <v>0</v>
      </c>
      <c r="E1426" s="2" t="s">
        <v>2494</v>
      </c>
      <c r="F1426" s="36" t="s">
        <v>161</v>
      </c>
    </row>
    <row r="1427" spans="1:6" s="2" customFormat="1" x14ac:dyDescent="0.25">
      <c r="A1427" s="2" t="s">
        <v>717</v>
      </c>
      <c r="B1427" s="3">
        <f>15000-5000</f>
        <v>10000</v>
      </c>
      <c r="C1427" s="3">
        <v>1827</v>
      </c>
      <c r="D1427" s="2" t="s">
        <v>0</v>
      </c>
      <c r="E1427" s="2" t="s">
        <v>2495</v>
      </c>
      <c r="F1427" s="36" t="s">
        <v>161</v>
      </c>
    </row>
    <row r="1428" spans="1:6" s="2" customFormat="1" x14ac:dyDescent="0.25">
      <c r="A1428" s="2" t="s">
        <v>259</v>
      </c>
      <c r="B1428" s="3">
        <f>40000-5000</f>
        <v>35000</v>
      </c>
      <c r="C1428" s="3">
        <v>1528</v>
      </c>
      <c r="D1428" s="2" t="s">
        <v>0</v>
      </c>
      <c r="E1428" s="2" t="s">
        <v>2496</v>
      </c>
      <c r="F1428" s="36" t="s">
        <v>161</v>
      </c>
    </row>
    <row r="1429" spans="1:6" s="2" customFormat="1" x14ac:dyDescent="0.25">
      <c r="A1429" s="2" t="s">
        <v>375</v>
      </c>
      <c r="B1429" s="3">
        <f>55000-100-100-100-2-7-36-106-212+5-21</f>
        <v>54321</v>
      </c>
      <c r="C1429" s="3">
        <v>1637</v>
      </c>
      <c r="D1429" s="2" t="s">
        <v>0</v>
      </c>
      <c r="E1429" s="2" t="s">
        <v>2497</v>
      </c>
      <c r="F1429" s="36" t="s">
        <v>161</v>
      </c>
    </row>
    <row r="1430" spans="1:6" s="2" customFormat="1" x14ac:dyDescent="0.25">
      <c r="A1430" s="2" t="s">
        <v>239</v>
      </c>
      <c r="B1430" s="14">
        <f>40000-100-49</f>
        <v>39851</v>
      </c>
      <c r="C1430" s="3">
        <v>1415</v>
      </c>
      <c r="D1430" s="2" t="s">
        <v>0</v>
      </c>
      <c r="E1430" s="2" t="s">
        <v>2498</v>
      </c>
      <c r="F1430" s="36" t="s">
        <v>161</v>
      </c>
    </row>
    <row r="1431" spans="1:6" s="2" customFormat="1" x14ac:dyDescent="0.25">
      <c r="A1431" s="2" t="s">
        <v>203</v>
      </c>
      <c r="B1431" s="3">
        <f>40000</f>
        <v>40000</v>
      </c>
      <c r="C1431" s="3">
        <v>1526</v>
      </c>
      <c r="D1431" s="2" t="s">
        <v>0</v>
      </c>
      <c r="E1431" s="2" t="s">
        <v>2499</v>
      </c>
      <c r="F1431" s="36" t="s">
        <v>161</v>
      </c>
    </row>
    <row r="1432" spans="1:6" s="2" customFormat="1" x14ac:dyDescent="0.25">
      <c r="A1432" s="2" t="s">
        <v>3072</v>
      </c>
      <c r="B1432" s="3">
        <v>5000</v>
      </c>
      <c r="C1432" s="3">
        <v>1243</v>
      </c>
      <c r="D1432" s="2" t="s">
        <v>0</v>
      </c>
      <c r="E1432" s="2" t="s">
        <v>3265</v>
      </c>
      <c r="F1432" s="36" t="s">
        <v>161</v>
      </c>
    </row>
    <row r="1433" spans="1:6" s="2" customFormat="1" x14ac:dyDescent="0.25">
      <c r="A1433" s="2" t="s">
        <v>1946</v>
      </c>
      <c r="B1433" s="3">
        <f>400</f>
        <v>400</v>
      </c>
      <c r="C1433" s="3">
        <v>2128</v>
      </c>
      <c r="D1433" s="2" t="s">
        <v>0</v>
      </c>
      <c r="E1433" s="2" t="s">
        <v>1947</v>
      </c>
      <c r="F1433" s="36" t="s">
        <v>1702</v>
      </c>
    </row>
    <row r="1434" spans="1:6" s="2" customFormat="1" x14ac:dyDescent="0.25">
      <c r="A1434" s="2" t="s">
        <v>1946</v>
      </c>
      <c r="B1434" s="3">
        <f>424-18-18</f>
        <v>388</v>
      </c>
      <c r="C1434" s="3">
        <v>2238</v>
      </c>
      <c r="D1434" s="2" t="s">
        <v>0</v>
      </c>
      <c r="E1434" s="2" t="s">
        <v>1947</v>
      </c>
      <c r="F1434" s="36" t="s">
        <v>1702</v>
      </c>
    </row>
    <row r="1435" spans="1:6" s="2" customFormat="1" x14ac:dyDescent="0.25">
      <c r="A1435" s="2" t="s">
        <v>1267</v>
      </c>
      <c r="B1435" s="3">
        <v>1000</v>
      </c>
      <c r="C1435" s="3">
        <v>1817</v>
      </c>
      <c r="D1435" s="2" t="s">
        <v>0</v>
      </c>
      <c r="E1435" s="2" t="s">
        <v>1948</v>
      </c>
      <c r="F1435" s="36" t="s">
        <v>161</v>
      </c>
    </row>
    <row r="1436" spans="1:6" s="2" customFormat="1" x14ac:dyDescent="0.25">
      <c r="A1436" s="2" t="s">
        <v>2072</v>
      </c>
      <c r="B1436" s="14">
        <f>5000-4</f>
        <v>4996</v>
      </c>
      <c r="C1436" s="3">
        <v>2212</v>
      </c>
      <c r="D1436" s="2" t="s">
        <v>0</v>
      </c>
      <c r="E1436" s="2" t="s">
        <v>2073</v>
      </c>
      <c r="F1436" s="36" t="s">
        <v>161</v>
      </c>
    </row>
    <row r="1437" spans="1:6" s="2" customFormat="1" x14ac:dyDescent="0.25">
      <c r="A1437" s="2" t="s">
        <v>263</v>
      </c>
      <c r="B1437" s="14">
        <f>60000-100-500</f>
        <v>59400</v>
      </c>
      <c r="C1437" s="3">
        <v>1442</v>
      </c>
      <c r="D1437" s="2" t="s">
        <v>0</v>
      </c>
      <c r="E1437" s="2" t="s">
        <v>1949</v>
      </c>
      <c r="F1437" s="36" t="s">
        <v>161</v>
      </c>
    </row>
    <row r="1438" spans="1:6" s="2" customFormat="1" x14ac:dyDescent="0.25">
      <c r="A1438" s="2" t="s">
        <v>1111</v>
      </c>
      <c r="B1438" s="15">
        <f>5000-1000-1000-3000</f>
        <v>0</v>
      </c>
      <c r="C1438" s="3">
        <v>2031</v>
      </c>
      <c r="D1438" s="2" t="s">
        <v>0</v>
      </c>
      <c r="E1438" s="2" t="s">
        <v>1950</v>
      </c>
      <c r="F1438" s="36" t="s">
        <v>1</v>
      </c>
    </row>
    <row r="1439" spans="1:6" s="2" customFormat="1" x14ac:dyDescent="0.25">
      <c r="A1439" s="2" t="s">
        <v>2068</v>
      </c>
      <c r="B1439" s="14">
        <f>230-68-10-50-9-9</f>
        <v>84</v>
      </c>
      <c r="C1439" s="3">
        <v>2215</v>
      </c>
      <c r="D1439" s="2" t="s">
        <v>0</v>
      </c>
      <c r="E1439" s="2" t="s">
        <v>2069</v>
      </c>
      <c r="F1439" s="36" t="s">
        <v>2066</v>
      </c>
    </row>
    <row r="1440" spans="1:6" s="2" customFormat="1" x14ac:dyDescent="0.25">
      <c r="A1440" s="2" t="s">
        <v>1060</v>
      </c>
      <c r="B1440" s="14">
        <f>500-5</f>
        <v>495</v>
      </c>
      <c r="C1440" s="3" t="s">
        <v>214</v>
      </c>
      <c r="D1440" s="2" t="s">
        <v>0</v>
      </c>
      <c r="E1440" s="2" t="s">
        <v>2500</v>
      </c>
      <c r="F1440" s="36" t="s">
        <v>161</v>
      </c>
    </row>
    <row r="1441" spans="1:6" s="2" customFormat="1" x14ac:dyDescent="0.25">
      <c r="A1441" s="2" t="s">
        <v>1060</v>
      </c>
      <c r="B1441" s="15">
        <f>5000-5000</f>
        <v>0</v>
      </c>
      <c r="C1441" s="3">
        <v>2133</v>
      </c>
      <c r="D1441" s="2" t="s">
        <v>0</v>
      </c>
      <c r="E1441" s="2" t="s">
        <v>2500</v>
      </c>
      <c r="F1441" s="36" t="s">
        <v>161</v>
      </c>
    </row>
    <row r="1442" spans="1:6" s="2" customFormat="1" x14ac:dyDescent="0.25">
      <c r="A1442" s="2" t="s">
        <v>653</v>
      </c>
      <c r="B1442" s="14">
        <f>5000-7-6-16-2300-500-2100-20-5</f>
        <v>46</v>
      </c>
      <c r="C1442" s="3">
        <v>1807</v>
      </c>
      <c r="D1442" s="2" t="s">
        <v>0</v>
      </c>
      <c r="E1442" s="2" t="s">
        <v>2501</v>
      </c>
      <c r="F1442" s="36" t="s">
        <v>161</v>
      </c>
    </row>
    <row r="1443" spans="1:6" s="2" customFormat="1" x14ac:dyDescent="0.25">
      <c r="A1443" s="2" t="s">
        <v>711</v>
      </c>
      <c r="B1443" s="3">
        <v>5000</v>
      </c>
      <c r="C1443" s="3">
        <v>1810</v>
      </c>
      <c r="D1443" s="2" t="s">
        <v>0</v>
      </c>
      <c r="E1443" s="2" t="s">
        <v>2502</v>
      </c>
      <c r="F1443" s="36" t="s">
        <v>161</v>
      </c>
    </row>
    <row r="1444" spans="1:6" s="2" customFormat="1" x14ac:dyDescent="0.25">
      <c r="A1444" s="2" t="s">
        <v>354</v>
      </c>
      <c r="B1444" s="14">
        <f>5000-100-30-33-66</f>
        <v>4771</v>
      </c>
      <c r="C1444" s="3">
        <v>1615</v>
      </c>
      <c r="D1444" s="2" t="s">
        <v>0</v>
      </c>
      <c r="E1444" s="2" t="s">
        <v>2503</v>
      </c>
      <c r="F1444" s="36" t="s">
        <v>161</v>
      </c>
    </row>
    <row r="1445" spans="1:6" s="2" customFormat="1" x14ac:dyDescent="0.25">
      <c r="A1445" s="2" t="s">
        <v>2771</v>
      </c>
      <c r="B1445" s="14">
        <v>16</v>
      </c>
      <c r="C1445" s="3">
        <v>2012</v>
      </c>
      <c r="D1445" s="2" t="s">
        <v>816</v>
      </c>
      <c r="E1445" s="2" t="s">
        <v>1273</v>
      </c>
      <c r="F1445" s="36"/>
    </row>
    <row r="1446" spans="1:6" s="2" customFormat="1" x14ac:dyDescent="0.25">
      <c r="A1446" s="2" t="s">
        <v>878</v>
      </c>
      <c r="B1446" s="14">
        <f>84-7</f>
        <v>77</v>
      </c>
      <c r="C1446" s="3" t="s">
        <v>214</v>
      </c>
      <c r="D1446" s="2" t="s">
        <v>0</v>
      </c>
      <c r="E1446" s="2" t="s">
        <v>2504</v>
      </c>
      <c r="F1446" s="36" t="s">
        <v>161</v>
      </c>
    </row>
    <row r="1447" spans="1:6" s="2" customFormat="1" x14ac:dyDescent="0.25">
      <c r="A1447" s="2" t="s">
        <v>654</v>
      </c>
      <c r="B1447" s="15">
        <f>15000-5000-5000-25-2-108-20-30-73-146-50-50-100-20-4376</f>
        <v>0</v>
      </c>
      <c r="C1447" s="3">
        <v>1746</v>
      </c>
      <c r="D1447" s="2" t="s">
        <v>0</v>
      </c>
      <c r="E1447" s="2" t="s">
        <v>2505</v>
      </c>
      <c r="F1447" s="36" t="s">
        <v>161</v>
      </c>
    </row>
    <row r="1448" spans="1:6" s="2" customFormat="1" x14ac:dyDescent="0.25">
      <c r="A1448" s="2" t="s">
        <v>1546</v>
      </c>
      <c r="B1448" s="3">
        <f>10000-28-2100-50-5000</f>
        <v>2822</v>
      </c>
      <c r="C1448" s="3">
        <v>2129</v>
      </c>
      <c r="D1448" s="2" t="s">
        <v>0</v>
      </c>
      <c r="E1448" s="2" t="s">
        <v>1547</v>
      </c>
      <c r="F1448" s="36" t="s">
        <v>1</v>
      </c>
    </row>
    <row r="1449" spans="1:6" s="2" customFormat="1" x14ac:dyDescent="0.25">
      <c r="A1449" s="2" t="s">
        <v>416</v>
      </c>
      <c r="B1449" s="14">
        <f>50000-100-10000-19900-5000-6-3500-7-50-73-60-6</f>
        <v>11298</v>
      </c>
      <c r="C1449" s="3">
        <v>1546</v>
      </c>
      <c r="D1449" s="2" t="s">
        <v>0</v>
      </c>
      <c r="E1449" s="2" t="s">
        <v>2506</v>
      </c>
      <c r="F1449" s="36" t="s">
        <v>161</v>
      </c>
    </row>
    <row r="1450" spans="1:6" s="2" customFormat="1" x14ac:dyDescent="0.25">
      <c r="A1450" s="2" t="s">
        <v>633</v>
      </c>
      <c r="B1450" s="14">
        <f>45000-100-10-10000-1</f>
        <v>34889</v>
      </c>
      <c r="C1450" s="3">
        <v>1710</v>
      </c>
      <c r="D1450" s="2" t="s">
        <v>0</v>
      </c>
      <c r="E1450" s="2" t="s">
        <v>2507</v>
      </c>
      <c r="F1450" s="36" t="s">
        <v>161</v>
      </c>
    </row>
    <row r="1451" spans="1:6" s="2" customFormat="1" x14ac:dyDescent="0.25">
      <c r="A1451" s="2" t="s">
        <v>1291</v>
      </c>
      <c r="B1451" s="14">
        <v>1000</v>
      </c>
      <c r="C1451" s="3" t="s">
        <v>214</v>
      </c>
      <c r="D1451" s="2" t="s">
        <v>0</v>
      </c>
      <c r="E1451" s="2" t="s">
        <v>2508</v>
      </c>
      <c r="F1451" s="36" t="s">
        <v>161</v>
      </c>
    </row>
    <row r="1452" spans="1:6" s="2" customFormat="1" x14ac:dyDescent="0.25">
      <c r="A1452" s="2" t="s">
        <v>1271</v>
      </c>
      <c r="B1452" s="6">
        <f>5000-1000-4000</f>
        <v>0</v>
      </c>
      <c r="C1452" s="3">
        <v>1721</v>
      </c>
      <c r="D1452" s="2" t="s">
        <v>0</v>
      </c>
      <c r="E1452" s="2" t="s">
        <v>2509</v>
      </c>
      <c r="F1452" s="36" t="s">
        <v>161</v>
      </c>
    </row>
    <row r="1453" spans="1:6" s="2" customFormat="1" x14ac:dyDescent="0.25">
      <c r="A1453" s="2" t="s">
        <v>2</v>
      </c>
      <c r="B1453" s="14">
        <f>5000-50</f>
        <v>4950</v>
      </c>
      <c r="C1453" s="3">
        <v>1237</v>
      </c>
      <c r="D1453" s="2" t="s">
        <v>0</v>
      </c>
      <c r="E1453" s="2" t="s">
        <v>2510</v>
      </c>
      <c r="F1453" s="36" t="s">
        <v>161</v>
      </c>
    </row>
    <row r="1454" spans="1:6" s="2" customFormat="1" x14ac:dyDescent="0.25">
      <c r="A1454" s="2" t="s">
        <v>608</v>
      </c>
      <c r="B1454" s="6">
        <f>1000-500-500</f>
        <v>0</v>
      </c>
      <c r="C1454" s="3" t="s">
        <v>214</v>
      </c>
      <c r="D1454" s="2" t="s">
        <v>0</v>
      </c>
      <c r="E1454" s="2" t="s">
        <v>2511</v>
      </c>
      <c r="F1454" s="36" t="s">
        <v>161</v>
      </c>
    </row>
    <row r="1455" spans="1:6" s="2" customFormat="1" x14ac:dyDescent="0.25">
      <c r="A1455" s="2" t="s">
        <v>606</v>
      </c>
      <c r="B1455" s="14">
        <f>1000-500</f>
        <v>500</v>
      </c>
      <c r="C1455" s="3" t="s">
        <v>214</v>
      </c>
      <c r="D1455" s="2" t="s">
        <v>0</v>
      </c>
      <c r="E1455" s="2" t="s">
        <v>2512</v>
      </c>
      <c r="F1455" s="36" t="s">
        <v>161</v>
      </c>
    </row>
    <row r="1456" spans="1:6" s="2" customFormat="1" x14ac:dyDescent="0.25">
      <c r="A1456" s="2" t="s">
        <v>618</v>
      </c>
      <c r="B1456" s="14">
        <f>1000-500</f>
        <v>500</v>
      </c>
      <c r="C1456" s="3" t="s">
        <v>214</v>
      </c>
      <c r="D1456" s="2" t="s">
        <v>0</v>
      </c>
      <c r="E1456" s="2" t="s">
        <v>2513</v>
      </c>
      <c r="F1456" s="36" t="s">
        <v>161</v>
      </c>
    </row>
    <row r="1457" spans="1:6" s="2" customFormat="1" x14ac:dyDescent="0.25">
      <c r="A1457" s="2" t="s">
        <v>614</v>
      </c>
      <c r="B1457" s="14">
        <f>1000-500</f>
        <v>500</v>
      </c>
      <c r="C1457" s="3" t="s">
        <v>214</v>
      </c>
      <c r="D1457" s="2" t="s">
        <v>0</v>
      </c>
      <c r="E1457" s="2" t="s">
        <v>2514</v>
      </c>
      <c r="F1457" s="36" t="s">
        <v>161</v>
      </c>
    </row>
    <row r="1458" spans="1:6" s="2" customFormat="1" x14ac:dyDescent="0.25">
      <c r="A1458" s="2" t="s">
        <v>613</v>
      </c>
      <c r="B1458" s="14">
        <f>1000-500</f>
        <v>500</v>
      </c>
      <c r="C1458" s="3" t="s">
        <v>214</v>
      </c>
      <c r="D1458" s="2" t="s">
        <v>0</v>
      </c>
      <c r="E1458" s="2" t="s">
        <v>2515</v>
      </c>
      <c r="F1458" s="36" t="s">
        <v>161</v>
      </c>
    </row>
    <row r="1459" spans="1:6" s="2" customFormat="1" x14ac:dyDescent="0.25">
      <c r="A1459" s="2" t="s">
        <v>438</v>
      </c>
      <c r="B1459" s="14">
        <f>4900-100-30-30-20-21</f>
        <v>4699</v>
      </c>
      <c r="C1459" s="3">
        <v>1645</v>
      </c>
      <c r="D1459" s="2" t="s">
        <v>0</v>
      </c>
      <c r="E1459" s="2" t="s">
        <v>2516</v>
      </c>
      <c r="F1459" s="36" t="s">
        <v>161</v>
      </c>
    </row>
    <row r="1460" spans="1:6" s="2" customFormat="1" x14ac:dyDescent="0.25">
      <c r="A1460" s="2" t="s">
        <v>934</v>
      </c>
      <c r="B1460" s="3">
        <v>20000</v>
      </c>
      <c r="C1460" s="3" t="s">
        <v>1795</v>
      </c>
      <c r="D1460" s="2" t="s">
        <v>0</v>
      </c>
      <c r="E1460" s="2" t="s">
        <v>2517</v>
      </c>
      <c r="F1460" s="36" t="s">
        <v>161</v>
      </c>
    </row>
    <row r="1461" spans="1:6" s="2" customFormat="1" x14ac:dyDescent="0.25">
      <c r="A1461" s="2" t="s">
        <v>615</v>
      </c>
      <c r="B1461" s="14">
        <f>1000-500</f>
        <v>500</v>
      </c>
      <c r="C1461" s="3" t="s">
        <v>214</v>
      </c>
      <c r="D1461" s="2" t="s">
        <v>0</v>
      </c>
      <c r="E1461" s="2" t="s">
        <v>2518</v>
      </c>
      <c r="F1461" s="36" t="s">
        <v>161</v>
      </c>
    </row>
    <row r="1462" spans="1:6" s="2" customFormat="1" x14ac:dyDescent="0.25">
      <c r="A1462" s="2" t="s">
        <v>616</v>
      </c>
      <c r="B1462" s="14">
        <f>1000-500</f>
        <v>500</v>
      </c>
      <c r="C1462" s="3" t="s">
        <v>214</v>
      </c>
      <c r="D1462" s="2" t="s">
        <v>0</v>
      </c>
      <c r="E1462" s="2" t="s">
        <v>2519</v>
      </c>
      <c r="F1462" s="36" t="s">
        <v>161</v>
      </c>
    </row>
    <row r="1463" spans="1:6" s="2" customFormat="1" x14ac:dyDescent="0.25">
      <c r="A1463" s="2" t="s">
        <v>607</v>
      </c>
      <c r="B1463" s="14">
        <f>1000-500</f>
        <v>500</v>
      </c>
      <c r="C1463" s="3" t="s">
        <v>214</v>
      </c>
      <c r="D1463" s="2" t="s">
        <v>0</v>
      </c>
      <c r="E1463" s="2" t="s">
        <v>2520</v>
      </c>
      <c r="F1463" s="36" t="s">
        <v>161</v>
      </c>
    </row>
    <row r="1464" spans="1:6" s="2" customFormat="1" x14ac:dyDescent="0.25">
      <c r="A1464" s="2" t="s">
        <v>247</v>
      </c>
      <c r="B1464" s="3">
        <f>25000-10-30-30-27-10000</f>
        <v>14903</v>
      </c>
      <c r="C1464" s="3">
        <v>1420</v>
      </c>
      <c r="D1464" s="2" t="s">
        <v>0</v>
      </c>
      <c r="E1464" s="2" t="s">
        <v>2212</v>
      </c>
      <c r="F1464" s="36" t="s">
        <v>161</v>
      </c>
    </row>
    <row r="1465" spans="1:6" s="2" customFormat="1" x14ac:dyDescent="0.25">
      <c r="A1465" s="2" t="s">
        <v>2215</v>
      </c>
      <c r="B1465" s="3">
        <v>4760</v>
      </c>
      <c r="C1465" s="3">
        <v>1950</v>
      </c>
      <c r="D1465" s="2" t="s">
        <v>759</v>
      </c>
      <c r="E1465" s="2" t="s">
        <v>2214</v>
      </c>
      <c r="F1465" s="36" t="s">
        <v>2216</v>
      </c>
    </row>
    <row r="1466" spans="1:6" s="2" customFormat="1" x14ac:dyDescent="0.25">
      <c r="A1466" s="2" t="s">
        <v>3543</v>
      </c>
      <c r="B1466" s="14">
        <v>15</v>
      </c>
      <c r="C1466" s="3">
        <v>2250</v>
      </c>
      <c r="D1466" s="2" t="s">
        <v>0</v>
      </c>
      <c r="E1466" s="2" t="s">
        <v>3544</v>
      </c>
      <c r="F1466" s="36" t="s">
        <v>161</v>
      </c>
    </row>
    <row r="1467" spans="1:6" s="2" customFormat="1" x14ac:dyDescent="0.25">
      <c r="A1467" s="2" t="s">
        <v>240</v>
      </c>
      <c r="B1467" s="14">
        <f>40000-100-100-30-30-20-63</f>
        <v>39657</v>
      </c>
      <c r="C1467" s="3">
        <v>1511</v>
      </c>
      <c r="D1467" s="2" t="s">
        <v>0</v>
      </c>
      <c r="E1467" s="2" t="s">
        <v>2213</v>
      </c>
      <c r="F1467" s="36" t="s">
        <v>161</v>
      </c>
    </row>
    <row r="1468" spans="1:6" s="2" customFormat="1" x14ac:dyDescent="0.25">
      <c r="A1468" s="2" t="s">
        <v>604</v>
      </c>
      <c r="B1468" s="3">
        <f>5000-500</f>
        <v>4500</v>
      </c>
      <c r="C1468" s="3">
        <v>1644</v>
      </c>
      <c r="D1468" s="2" t="s">
        <v>0</v>
      </c>
      <c r="E1468" s="2" t="s">
        <v>2521</v>
      </c>
      <c r="F1468" s="36" t="s">
        <v>161</v>
      </c>
    </row>
    <row r="1469" spans="1:6" s="2" customFormat="1" x14ac:dyDescent="0.25">
      <c r="A1469" s="2" t="s">
        <v>617</v>
      </c>
      <c r="B1469" s="14">
        <f>1000-500</f>
        <v>500</v>
      </c>
      <c r="C1469" s="3" t="s">
        <v>214</v>
      </c>
      <c r="D1469" s="2" t="s">
        <v>0</v>
      </c>
      <c r="E1469" s="2" t="s">
        <v>2522</v>
      </c>
      <c r="F1469" s="36" t="s">
        <v>161</v>
      </c>
    </row>
    <row r="1470" spans="1:6" s="2" customFormat="1" x14ac:dyDescent="0.25">
      <c r="A1470" s="2" t="s">
        <v>718</v>
      </c>
      <c r="B1470" s="3">
        <f>15000-5000</f>
        <v>10000</v>
      </c>
      <c r="C1470" s="3">
        <v>1837</v>
      </c>
      <c r="D1470" s="2" t="s">
        <v>0</v>
      </c>
      <c r="E1470" s="2" t="s">
        <v>2523</v>
      </c>
      <c r="F1470" s="36" t="s">
        <v>161</v>
      </c>
    </row>
    <row r="1471" spans="1:6" s="2" customFormat="1" x14ac:dyDescent="0.25">
      <c r="A1471" s="2" t="s">
        <v>609</v>
      </c>
      <c r="B1471" s="14">
        <f>1000-500+1</f>
        <v>501</v>
      </c>
      <c r="C1471" s="3" t="s">
        <v>214</v>
      </c>
      <c r="D1471" s="2" t="s">
        <v>0</v>
      </c>
      <c r="E1471" s="2" t="s">
        <v>2524</v>
      </c>
      <c r="F1471" s="36" t="s">
        <v>161</v>
      </c>
    </row>
    <row r="1472" spans="1:6" s="2" customFormat="1" x14ac:dyDescent="0.25">
      <c r="A1472" s="2" t="s">
        <v>610</v>
      </c>
      <c r="B1472" s="14">
        <f>1000-500</f>
        <v>500</v>
      </c>
      <c r="C1472" s="3" t="s">
        <v>214</v>
      </c>
      <c r="D1472" s="2" t="s">
        <v>0</v>
      </c>
      <c r="E1472" s="2" t="s">
        <v>2525</v>
      </c>
      <c r="F1472" s="36" t="s">
        <v>161</v>
      </c>
    </row>
    <row r="1473" spans="1:6" s="2" customFormat="1" x14ac:dyDescent="0.25">
      <c r="A1473" s="2" t="s">
        <v>3545</v>
      </c>
      <c r="B1473" s="3">
        <v>30</v>
      </c>
      <c r="C1473" s="3">
        <v>2241</v>
      </c>
      <c r="D1473" s="2" t="s">
        <v>0</v>
      </c>
      <c r="E1473" s="2" t="s">
        <v>3546</v>
      </c>
      <c r="F1473" s="36" t="s">
        <v>161</v>
      </c>
    </row>
    <row r="1474" spans="1:6" s="2" customFormat="1" x14ac:dyDescent="0.25">
      <c r="A1474" s="2" t="s">
        <v>605</v>
      </c>
      <c r="B1474" s="3">
        <f>5000-500-1500-2500</f>
        <v>500</v>
      </c>
      <c r="C1474" s="3"/>
      <c r="D1474" s="2" t="s">
        <v>0</v>
      </c>
      <c r="E1474" s="2" t="s">
        <v>2526</v>
      </c>
      <c r="F1474" s="36" t="s">
        <v>161</v>
      </c>
    </row>
    <row r="1475" spans="1:6" s="2" customFormat="1" x14ac:dyDescent="0.25">
      <c r="A1475" s="2" t="s">
        <v>408</v>
      </c>
      <c r="B1475" s="14">
        <f>5000-6-4-30-30-20-63</f>
        <v>4847</v>
      </c>
      <c r="C1475" s="3">
        <v>1505</v>
      </c>
      <c r="D1475" s="2" t="s">
        <v>0</v>
      </c>
      <c r="E1475" s="2" t="s">
        <v>2527</v>
      </c>
      <c r="F1475" s="36" t="s">
        <v>161</v>
      </c>
    </row>
    <row r="1476" spans="1:6" s="2" customFormat="1" x14ac:dyDescent="0.25">
      <c r="A1476" s="2" t="s">
        <v>611</v>
      </c>
      <c r="B1476" s="14">
        <f>1000-500</f>
        <v>500</v>
      </c>
      <c r="C1476" s="3" t="s">
        <v>214</v>
      </c>
      <c r="D1476" s="2" t="s">
        <v>0</v>
      </c>
      <c r="E1476" s="2" t="s">
        <v>2528</v>
      </c>
      <c r="F1476" s="36" t="s">
        <v>161</v>
      </c>
    </row>
    <row r="1477" spans="1:6" s="2" customFormat="1" x14ac:dyDescent="0.25">
      <c r="A1477" s="2" t="s">
        <v>612</v>
      </c>
      <c r="B1477" s="15">
        <f>1000-500-500</f>
        <v>0</v>
      </c>
      <c r="C1477" s="3" t="s">
        <v>214</v>
      </c>
      <c r="D1477" s="2" t="s">
        <v>0</v>
      </c>
      <c r="E1477" s="2" t="s">
        <v>2529</v>
      </c>
      <c r="F1477" s="36" t="s">
        <v>161</v>
      </c>
    </row>
    <row r="1478" spans="1:6" s="2" customFormat="1" x14ac:dyDescent="0.25">
      <c r="A1478" s="2" t="s">
        <v>619</v>
      </c>
      <c r="B1478" s="14">
        <f>1000-500</f>
        <v>500</v>
      </c>
      <c r="C1478" s="3" t="s">
        <v>214</v>
      </c>
      <c r="D1478" s="2" t="s">
        <v>0</v>
      </c>
      <c r="E1478" s="2" t="s">
        <v>2530</v>
      </c>
      <c r="F1478" s="36" t="s">
        <v>161</v>
      </c>
    </row>
    <row r="1479" spans="1:6" s="2" customFormat="1" x14ac:dyDescent="0.25">
      <c r="A1479" s="2" t="s">
        <v>1182</v>
      </c>
      <c r="B1479" s="14">
        <f>25000-5000</f>
        <v>20000</v>
      </c>
      <c r="C1479" s="3">
        <v>1811</v>
      </c>
      <c r="D1479" s="2" t="s">
        <v>0</v>
      </c>
      <c r="E1479" s="2" t="s">
        <v>2531</v>
      </c>
      <c r="F1479" s="36" t="s">
        <v>161</v>
      </c>
    </row>
    <row r="1480" spans="1:6" s="2" customFormat="1" x14ac:dyDescent="0.25">
      <c r="A1480" s="2" t="s">
        <v>712</v>
      </c>
      <c r="B1480" s="3">
        <f>5000-7-30-30-20</f>
        <v>4913</v>
      </c>
      <c r="C1480" s="3">
        <v>1803</v>
      </c>
      <c r="D1480" s="2" t="s">
        <v>0</v>
      </c>
      <c r="E1480" s="2" t="s">
        <v>2532</v>
      </c>
      <c r="F1480" s="36" t="s">
        <v>161</v>
      </c>
    </row>
    <row r="1481" spans="1:6" s="2" customFormat="1" x14ac:dyDescent="0.25">
      <c r="A1481" s="2" t="s">
        <v>713</v>
      </c>
      <c r="B1481" s="3">
        <v>10000</v>
      </c>
      <c r="C1481" s="3">
        <v>1636</v>
      </c>
      <c r="D1481" s="2" t="s">
        <v>0</v>
      </c>
      <c r="E1481" s="2" t="s">
        <v>2533</v>
      </c>
      <c r="F1481" s="36" t="s">
        <v>161</v>
      </c>
    </row>
    <row r="1482" spans="1:6" s="2" customFormat="1" x14ac:dyDescent="0.25">
      <c r="A1482" s="2" t="s">
        <v>655</v>
      </c>
      <c r="B1482" s="14">
        <f>5000-500</f>
        <v>4500</v>
      </c>
      <c r="C1482" s="3">
        <v>1811</v>
      </c>
      <c r="D1482" s="2" t="s">
        <v>0</v>
      </c>
      <c r="E1482" s="2" t="s">
        <v>1399</v>
      </c>
      <c r="F1482" s="36" t="s">
        <v>161</v>
      </c>
    </row>
    <row r="1483" spans="1:6" s="2" customFormat="1" x14ac:dyDescent="0.25">
      <c r="A1483" s="2" t="s">
        <v>1397</v>
      </c>
      <c r="B1483" s="14">
        <v>70</v>
      </c>
      <c r="C1483" s="3">
        <v>2033</v>
      </c>
      <c r="D1483" s="2" t="s">
        <v>0</v>
      </c>
      <c r="E1483" s="2" t="s">
        <v>1398</v>
      </c>
      <c r="F1483" s="36" t="s">
        <v>161</v>
      </c>
    </row>
    <row r="1484" spans="1:6" s="2" customFormat="1" x14ac:dyDescent="0.25">
      <c r="A1484" s="2" t="s">
        <v>413</v>
      </c>
      <c r="B1484" s="14">
        <f>45000-100-30-20-16-150-300-1000-18</f>
        <v>43366</v>
      </c>
      <c r="C1484" s="3">
        <v>1645</v>
      </c>
      <c r="D1484" s="2" t="s">
        <v>0</v>
      </c>
      <c r="E1484" s="2" t="s">
        <v>2534</v>
      </c>
      <c r="F1484" s="36" t="s">
        <v>414</v>
      </c>
    </row>
    <row r="1485" spans="1:6" s="2" customFormat="1" x14ac:dyDescent="0.25">
      <c r="A1485" s="2" t="s">
        <v>435</v>
      </c>
      <c r="B1485" s="14">
        <f>4900-100-60-10-10</f>
        <v>4720</v>
      </c>
      <c r="C1485" s="3">
        <v>1631</v>
      </c>
      <c r="D1485" s="2" t="s">
        <v>0</v>
      </c>
      <c r="E1485" s="2" t="s">
        <v>2535</v>
      </c>
      <c r="F1485" s="36" t="s">
        <v>414</v>
      </c>
    </row>
    <row r="1486" spans="1:6" s="2" customFormat="1" x14ac:dyDescent="0.25">
      <c r="A1486" s="2" t="s">
        <v>432</v>
      </c>
      <c r="B1486" s="14">
        <f>4900-100</f>
        <v>4800</v>
      </c>
      <c r="C1486" s="3">
        <v>1645</v>
      </c>
      <c r="D1486" s="2" t="s">
        <v>0</v>
      </c>
      <c r="E1486" s="2" t="s">
        <v>2536</v>
      </c>
      <c r="F1486" s="36" t="s">
        <v>414</v>
      </c>
    </row>
    <row r="1487" spans="1:6" s="2" customFormat="1" x14ac:dyDescent="0.25">
      <c r="A1487" s="2" t="s">
        <v>1056</v>
      </c>
      <c r="B1487" s="14">
        <v>500</v>
      </c>
      <c r="C1487" s="3" t="s">
        <v>214</v>
      </c>
      <c r="D1487" s="2" t="s">
        <v>71</v>
      </c>
      <c r="E1487" s="2" t="s">
        <v>2537</v>
      </c>
      <c r="F1487" s="36"/>
    </row>
    <row r="1488" spans="1:6" s="2" customFormat="1" x14ac:dyDescent="0.25">
      <c r="A1488" s="2" t="s">
        <v>436</v>
      </c>
      <c r="B1488" s="14">
        <f>4900-100-50</f>
        <v>4750</v>
      </c>
      <c r="C1488" s="3">
        <v>1545</v>
      </c>
      <c r="D1488" s="2" t="s">
        <v>0</v>
      </c>
      <c r="E1488" s="2" t="s">
        <v>2127</v>
      </c>
      <c r="F1488" s="36" t="s">
        <v>414</v>
      </c>
    </row>
    <row r="1489" spans="1:6" s="2" customFormat="1" x14ac:dyDescent="0.25">
      <c r="A1489" s="2" t="s">
        <v>2126</v>
      </c>
      <c r="B1489" s="3">
        <v>5000</v>
      </c>
      <c r="C1489" s="3">
        <v>2139</v>
      </c>
      <c r="D1489" s="2" t="s">
        <v>76</v>
      </c>
      <c r="E1489" s="2" t="s">
        <v>2128</v>
      </c>
      <c r="F1489" s="36" t="s">
        <v>2129</v>
      </c>
    </row>
    <row r="1490" spans="1:6" s="2" customFormat="1" x14ac:dyDescent="0.25">
      <c r="A1490" s="2" t="s">
        <v>736</v>
      </c>
      <c r="B1490" s="14">
        <v>75</v>
      </c>
      <c r="C1490" s="3" t="s">
        <v>214</v>
      </c>
      <c r="D1490" s="2" t="s">
        <v>738</v>
      </c>
      <c r="E1490" s="2" t="s">
        <v>2538</v>
      </c>
      <c r="F1490" s="36" t="s">
        <v>737</v>
      </c>
    </row>
    <row r="1491" spans="1:6" s="2" customFormat="1" x14ac:dyDescent="0.25">
      <c r="A1491" s="2" t="s">
        <v>1085</v>
      </c>
      <c r="B1491" s="14">
        <v>10</v>
      </c>
      <c r="C1491" s="3" t="s">
        <v>214</v>
      </c>
      <c r="D1491" s="2" t="s">
        <v>0</v>
      </c>
      <c r="E1491" s="2" t="s">
        <v>2539</v>
      </c>
      <c r="F1491" s="36" t="s">
        <v>414</v>
      </c>
    </row>
    <row r="1492" spans="1:6" s="2" customFormat="1" x14ac:dyDescent="0.25">
      <c r="A1492" s="2" t="s">
        <v>2606</v>
      </c>
      <c r="B1492" s="14">
        <v>217</v>
      </c>
      <c r="C1492" s="3">
        <v>2217</v>
      </c>
      <c r="D1492" s="2" t="s">
        <v>0</v>
      </c>
      <c r="E1492" s="2" t="s">
        <v>2607</v>
      </c>
      <c r="F1492" s="36" t="s">
        <v>2608</v>
      </c>
    </row>
    <row r="1493" spans="1:6" s="2" customFormat="1" x14ac:dyDescent="0.25">
      <c r="A1493" s="2" t="s">
        <v>1093</v>
      </c>
      <c r="B1493" s="14">
        <f>27-20</f>
        <v>7</v>
      </c>
      <c r="C1493" s="3">
        <v>1902</v>
      </c>
      <c r="D1493" s="2" t="s">
        <v>0</v>
      </c>
      <c r="E1493" s="2" t="s">
        <v>2540</v>
      </c>
      <c r="F1493" s="36" t="s">
        <v>414</v>
      </c>
    </row>
    <row r="1494" spans="1:6" s="2" customFormat="1" x14ac:dyDescent="0.25">
      <c r="A1494" s="2" t="s">
        <v>3745</v>
      </c>
      <c r="B1494" s="14">
        <v>77</v>
      </c>
      <c r="C1494" s="3">
        <v>2349</v>
      </c>
      <c r="D1494" s="2" t="s">
        <v>0</v>
      </c>
      <c r="E1494" s="2" t="s">
        <v>3746</v>
      </c>
      <c r="F1494" s="36" t="s">
        <v>3747</v>
      </c>
    </row>
    <row r="1495" spans="1:6" s="2" customFormat="1" ht="30" x14ac:dyDescent="0.25">
      <c r="A1495" s="5" t="s">
        <v>1070</v>
      </c>
      <c r="B1495" s="6">
        <f>1009-1009</f>
        <v>0</v>
      </c>
      <c r="C1495" s="4" t="s">
        <v>1069</v>
      </c>
      <c r="D1495" s="2" t="s">
        <v>624</v>
      </c>
      <c r="F1495" s="36"/>
    </row>
    <row r="1496" spans="1:6" s="2" customFormat="1" x14ac:dyDescent="0.25">
      <c r="A1496" s="2" t="s">
        <v>1145</v>
      </c>
      <c r="B1496" s="6">
        <f>3999-999-100-2900</f>
        <v>0</v>
      </c>
      <c r="C1496" s="4" t="s">
        <v>1317</v>
      </c>
      <c r="D1496" s="2" t="s">
        <v>624</v>
      </c>
      <c r="F1496" s="36"/>
    </row>
    <row r="1497" spans="1:6" s="2" customFormat="1" ht="30" x14ac:dyDescent="0.25">
      <c r="A1497" s="5" t="s">
        <v>1146</v>
      </c>
      <c r="B1497" s="6">
        <f>4493-1180-3313</f>
        <v>0</v>
      </c>
      <c r="C1497" s="26" t="s">
        <v>1316</v>
      </c>
      <c r="D1497" s="2" t="s">
        <v>624</v>
      </c>
      <c r="F1497" s="36"/>
    </row>
    <row r="1498" spans="1:6" s="2" customFormat="1" x14ac:dyDescent="0.25">
      <c r="A1498" s="2" t="s">
        <v>969</v>
      </c>
      <c r="B1498" s="3">
        <v>2</v>
      </c>
      <c r="C1498" s="4" t="s">
        <v>970</v>
      </c>
      <c r="D1498" s="2" t="s">
        <v>624</v>
      </c>
      <c r="F1498" s="36"/>
    </row>
    <row r="1499" spans="1:6" s="2" customFormat="1" x14ac:dyDescent="0.25">
      <c r="A1499" s="2" t="s">
        <v>967</v>
      </c>
      <c r="B1499" s="3">
        <v>5</v>
      </c>
      <c r="C1499" s="4" t="s">
        <v>968</v>
      </c>
      <c r="D1499" s="2" t="s">
        <v>624</v>
      </c>
      <c r="F1499" s="36"/>
    </row>
    <row r="1500" spans="1:6" s="2" customFormat="1" x14ac:dyDescent="0.25">
      <c r="A1500" s="2" t="s">
        <v>1313</v>
      </c>
      <c r="B1500" s="6">
        <f>1003-1003</f>
        <v>0</v>
      </c>
      <c r="C1500" s="4">
        <v>1933</v>
      </c>
      <c r="D1500" s="2" t="s">
        <v>624</v>
      </c>
    </row>
    <row r="1501" spans="1:6" s="2" customFormat="1" ht="30" x14ac:dyDescent="0.25">
      <c r="A1501" s="5" t="s">
        <v>1071</v>
      </c>
      <c r="B1501" s="6">
        <f>3543-1000-2543</f>
        <v>0</v>
      </c>
      <c r="C1501" s="26" t="s">
        <v>1318</v>
      </c>
      <c r="D1501" s="2" t="s">
        <v>624</v>
      </c>
    </row>
    <row r="1502" spans="1:6" s="2" customFormat="1" x14ac:dyDescent="0.25">
      <c r="A1502" s="2" t="s">
        <v>336</v>
      </c>
      <c r="B1502" s="3">
        <v>2</v>
      </c>
      <c r="C1502" s="4" t="s">
        <v>337</v>
      </c>
      <c r="D1502" s="2" t="s">
        <v>338</v>
      </c>
      <c r="E1502" s="2" t="s">
        <v>331</v>
      </c>
    </row>
    <row r="1503" spans="1:6" s="2" customFormat="1" x14ac:dyDescent="0.25">
      <c r="A1503" s="2" t="s">
        <v>304</v>
      </c>
      <c r="B1503" s="3">
        <v>5</v>
      </c>
      <c r="C1503" s="4" t="s">
        <v>305</v>
      </c>
      <c r="D1503" s="2" t="s">
        <v>303</v>
      </c>
      <c r="E1503" s="2" t="s">
        <v>302</v>
      </c>
    </row>
    <row r="1504" spans="1:6" s="2" customFormat="1" x14ac:dyDescent="0.25">
      <c r="A1504" s="2" t="s">
        <v>300</v>
      </c>
      <c r="B1504" s="3">
        <f>65-10</f>
        <v>55</v>
      </c>
      <c r="C1504" s="4" t="s">
        <v>214</v>
      </c>
      <c r="D1504" s="2" t="s">
        <v>301</v>
      </c>
      <c r="E1504" s="2" t="s">
        <v>302</v>
      </c>
    </row>
    <row r="1505" spans="1:6" s="2" customFormat="1" x14ac:dyDescent="0.25">
      <c r="A1505" s="2" t="s">
        <v>359</v>
      </c>
      <c r="B1505" s="3">
        <v>1</v>
      </c>
      <c r="C1505" s="4" t="s">
        <v>214</v>
      </c>
      <c r="D1505" s="2" t="s">
        <v>360</v>
      </c>
      <c r="E1505" s="2" t="s">
        <v>296</v>
      </c>
    </row>
    <row r="1506" spans="1:6" s="2" customFormat="1" x14ac:dyDescent="0.25">
      <c r="A1506" s="2" t="s">
        <v>308</v>
      </c>
      <c r="B1506" s="3">
        <v>1</v>
      </c>
      <c r="C1506" s="4" t="s">
        <v>294</v>
      </c>
      <c r="D1506" s="2" t="s">
        <v>295</v>
      </c>
      <c r="E1506" s="2" t="s">
        <v>296</v>
      </c>
    </row>
    <row r="1507" spans="1:6" s="2" customFormat="1" x14ac:dyDescent="0.25">
      <c r="A1507" s="2" t="s">
        <v>341</v>
      </c>
      <c r="B1507" s="3">
        <v>2</v>
      </c>
      <c r="C1507" s="4" t="s">
        <v>340</v>
      </c>
      <c r="D1507" s="2" t="s">
        <v>343</v>
      </c>
      <c r="E1507" s="2" t="s">
        <v>342</v>
      </c>
    </row>
    <row r="1508" spans="1:6" s="2" customFormat="1" x14ac:dyDescent="0.25">
      <c r="A1508" s="2" t="s">
        <v>310</v>
      </c>
      <c r="B1508" s="3">
        <v>5</v>
      </c>
      <c r="C1508" s="4" t="s">
        <v>287</v>
      </c>
      <c r="D1508" s="2" t="s">
        <v>286</v>
      </c>
      <c r="E1508" s="2" t="s">
        <v>288</v>
      </c>
    </row>
    <row r="1509" spans="1:6" s="2" customFormat="1" x14ac:dyDescent="0.25">
      <c r="A1509" s="5" t="s">
        <v>330</v>
      </c>
      <c r="B1509" s="3">
        <v>3</v>
      </c>
      <c r="C1509" s="4" t="s">
        <v>329</v>
      </c>
      <c r="D1509" s="2" t="s">
        <v>333</v>
      </c>
      <c r="E1509" s="2" t="s">
        <v>332</v>
      </c>
    </row>
    <row r="1510" spans="1:6" s="2" customFormat="1" x14ac:dyDescent="0.25">
      <c r="A1510" s="5" t="s">
        <v>330</v>
      </c>
      <c r="B1510" s="3">
        <v>2</v>
      </c>
      <c r="C1510" s="4" t="s">
        <v>334</v>
      </c>
      <c r="D1510" s="2" t="s">
        <v>333</v>
      </c>
      <c r="E1510" s="2" t="s">
        <v>335</v>
      </c>
    </row>
    <row r="1511" spans="1:6" s="2" customFormat="1" x14ac:dyDescent="0.25">
      <c r="A1511" s="2" t="s">
        <v>417</v>
      </c>
      <c r="B1511" s="3">
        <v>1</v>
      </c>
      <c r="C1511" s="4" t="s">
        <v>418</v>
      </c>
      <c r="D1511" s="2" t="s">
        <v>419</v>
      </c>
      <c r="E1511" s="2" t="s">
        <v>420</v>
      </c>
    </row>
    <row r="1512" spans="1:6" s="2" customFormat="1" x14ac:dyDescent="0.25">
      <c r="A1512" s="2" t="s">
        <v>688</v>
      </c>
      <c r="B1512" s="3">
        <v>13</v>
      </c>
      <c r="C1512" s="3" t="s">
        <v>214</v>
      </c>
      <c r="E1512" s="2" t="s">
        <v>689</v>
      </c>
      <c r="F1512" s="36" t="s">
        <v>690</v>
      </c>
    </row>
    <row r="1513" spans="1:6" s="2" customFormat="1" x14ac:dyDescent="0.25">
      <c r="A1513" s="2" t="s">
        <v>228</v>
      </c>
      <c r="B1513" s="3">
        <v>11</v>
      </c>
      <c r="C1513" s="4" t="s">
        <v>229</v>
      </c>
      <c r="D1513" s="2" t="s">
        <v>290</v>
      </c>
      <c r="E1513" s="2" t="s">
        <v>292</v>
      </c>
    </row>
    <row r="1514" spans="1:6" s="2" customFormat="1" x14ac:dyDescent="0.25">
      <c r="A1514" s="2" t="s">
        <v>358</v>
      </c>
      <c r="B1514" s="3">
        <v>10</v>
      </c>
      <c r="C1514" s="4" t="s">
        <v>293</v>
      </c>
      <c r="D1514" s="2" t="s">
        <v>290</v>
      </c>
      <c r="E1514" s="2" t="s">
        <v>292</v>
      </c>
    </row>
    <row r="1515" spans="1:6" s="2" customFormat="1" x14ac:dyDescent="0.25">
      <c r="A1515" s="2" t="s">
        <v>1233</v>
      </c>
      <c r="B1515" s="3">
        <v>698</v>
      </c>
      <c r="C1515" s="4" t="s">
        <v>311</v>
      </c>
      <c r="E1515" s="2" t="s">
        <v>312</v>
      </c>
    </row>
    <row r="1516" spans="1:6" s="2" customFormat="1" x14ac:dyDescent="0.25">
      <c r="A1516" s="2" t="s">
        <v>866</v>
      </c>
      <c r="B1516" s="3">
        <f>500-15</f>
        <v>485</v>
      </c>
      <c r="C1516" s="4"/>
      <c r="E1516" s="2" t="s">
        <v>312</v>
      </c>
      <c r="F1516" s="36" t="s">
        <v>867</v>
      </c>
    </row>
    <row r="1517" spans="1:6" s="2" customFormat="1" x14ac:dyDescent="0.25">
      <c r="A1517" s="2" t="s">
        <v>691</v>
      </c>
      <c r="B1517" s="3">
        <v>1</v>
      </c>
      <c r="C1517" s="4"/>
      <c r="E1517" s="2" t="s">
        <v>288</v>
      </c>
    </row>
    <row r="1518" spans="1:6" s="2" customFormat="1" x14ac:dyDescent="0.25">
      <c r="A1518" s="2" t="s">
        <v>799</v>
      </c>
      <c r="B1518" s="3">
        <v>12</v>
      </c>
      <c r="C1518" s="4" t="s">
        <v>800</v>
      </c>
      <c r="D1518" s="2" t="s">
        <v>299</v>
      </c>
      <c r="E1518" s="2" t="s">
        <v>288</v>
      </c>
    </row>
    <row r="1519" spans="1:6" s="2" customFormat="1" x14ac:dyDescent="0.25">
      <c r="A1519" s="2" t="s">
        <v>309</v>
      </c>
      <c r="B1519" s="3">
        <v>4</v>
      </c>
      <c r="C1519" s="4" t="s">
        <v>289</v>
      </c>
      <c r="E1519" s="2" t="s">
        <v>288</v>
      </c>
    </row>
    <row r="1520" spans="1:6" s="2" customFormat="1" x14ac:dyDescent="0.25">
      <c r="A1520" s="2" t="s">
        <v>306</v>
      </c>
      <c r="B1520" s="6">
        <f>2-2</f>
        <v>0</v>
      </c>
      <c r="C1520" s="4" t="s">
        <v>307</v>
      </c>
      <c r="E1520" s="2" t="s">
        <v>291</v>
      </c>
    </row>
    <row r="1521" spans="1:11" s="2" customFormat="1" x14ac:dyDescent="0.25">
      <c r="A1521" s="2" t="s">
        <v>297</v>
      </c>
      <c r="B1521" s="3">
        <v>50</v>
      </c>
      <c r="C1521" s="4" t="s">
        <v>298</v>
      </c>
      <c r="D1521" s="2" t="s">
        <v>299</v>
      </c>
      <c r="E1521" s="2" t="s">
        <v>296</v>
      </c>
    </row>
    <row r="1522" spans="1:11" s="2" customFormat="1" x14ac:dyDescent="0.25">
      <c r="A1522" s="2" t="s">
        <v>976</v>
      </c>
      <c r="B1522" s="3">
        <f>102-20</f>
        <v>82</v>
      </c>
      <c r="C1522" s="3" t="s">
        <v>214</v>
      </c>
      <c r="E1522" s="7" t="s">
        <v>977</v>
      </c>
      <c r="F1522" s="36" t="s">
        <v>978</v>
      </c>
    </row>
    <row r="1523" spans="1:11" s="2" customFormat="1" x14ac:dyDescent="0.25">
      <c r="A1523" s="2" t="s">
        <v>284</v>
      </c>
      <c r="B1523" s="3">
        <v>1</v>
      </c>
      <c r="C1523" s="3">
        <v>1505</v>
      </c>
      <c r="E1523" s="2" t="s">
        <v>285</v>
      </c>
    </row>
    <row r="1524" spans="1:11" s="2" customFormat="1" x14ac:dyDescent="0.25">
      <c r="A1524" s="2" t="s">
        <v>3058</v>
      </c>
      <c r="B1524" s="3">
        <v>100</v>
      </c>
      <c r="C1524" s="3">
        <v>2146</v>
      </c>
    </row>
    <row r="1525" spans="1:11" s="2" customFormat="1" x14ac:dyDescent="0.25">
      <c r="A1525" s="2" t="s">
        <v>3060</v>
      </c>
      <c r="B1525" s="3">
        <v>1</v>
      </c>
      <c r="C1525" s="3"/>
    </row>
    <row r="1526" spans="1:11" s="2" customFormat="1" x14ac:dyDescent="0.25">
      <c r="A1526" s="2" t="s">
        <v>3061</v>
      </c>
      <c r="B1526" s="3">
        <f>4-4</f>
        <v>0</v>
      </c>
      <c r="C1526" s="3"/>
      <c r="D1526" s="2" t="s">
        <v>187</v>
      </c>
    </row>
    <row r="1527" spans="1:11" s="2" customFormat="1" x14ac:dyDescent="0.25">
      <c r="A1527" s="2" t="s">
        <v>3064</v>
      </c>
      <c r="B1527" s="3">
        <v>2</v>
      </c>
      <c r="C1527" s="3"/>
      <c r="D1527" s="2" t="s">
        <v>3065</v>
      </c>
    </row>
    <row r="1528" spans="1:11" s="2" customFormat="1" x14ac:dyDescent="0.25">
      <c r="A1528" s="2" t="s">
        <v>3066</v>
      </c>
      <c r="B1528" s="3">
        <v>50</v>
      </c>
      <c r="C1528" s="3"/>
    </row>
    <row r="1529" spans="1:11" s="2" customFormat="1" x14ac:dyDescent="0.25">
      <c r="A1529" s="2" t="s">
        <v>3067</v>
      </c>
      <c r="B1529" s="3">
        <v>2</v>
      </c>
      <c r="C1529" s="3"/>
    </row>
    <row r="1530" spans="1:11" s="2" customFormat="1" x14ac:dyDescent="0.25">
      <c r="A1530" s="2" t="s">
        <v>3069</v>
      </c>
      <c r="B1530" s="3">
        <v>2</v>
      </c>
      <c r="C1530" s="3"/>
      <c r="D1530" s="2" t="s">
        <v>315</v>
      </c>
    </row>
    <row r="1531" spans="1:11" s="2" customFormat="1" x14ac:dyDescent="0.25">
      <c r="A1531" s="2" t="s">
        <v>3522</v>
      </c>
      <c r="B1531" s="3">
        <v>90</v>
      </c>
      <c r="C1531" s="3">
        <v>2029</v>
      </c>
      <c r="D1531" s="2" t="s">
        <v>3523</v>
      </c>
    </row>
    <row r="1532" spans="1:11" s="2" customFormat="1" x14ac:dyDescent="0.25">
      <c r="A1532" s="28" t="s">
        <v>3688</v>
      </c>
      <c r="B1532" s="28">
        <f>1128-200</f>
        <v>928</v>
      </c>
      <c r="C1532" s="3">
        <v>2406</v>
      </c>
      <c r="D1532" s="2" t="s">
        <v>3690</v>
      </c>
      <c r="E1532" s="2" t="s">
        <v>3689</v>
      </c>
    </row>
    <row r="1533" spans="1:11" s="2" customFormat="1" x14ac:dyDescent="0.25">
      <c r="A1533" s="28" t="s">
        <v>3758</v>
      </c>
      <c r="B1533" s="29">
        <v>183</v>
      </c>
      <c r="C1533" s="28"/>
      <c r="D1533" s="28" t="s">
        <v>3759</v>
      </c>
      <c r="E1533" s="5"/>
      <c r="F1533" s="5"/>
      <c r="H1533" s="7"/>
      <c r="K1533" s="30"/>
    </row>
    <row r="1534" spans="1:11" s="2" customFormat="1" x14ac:dyDescent="0.25">
      <c r="A1534" s="28" t="s">
        <v>3760</v>
      </c>
      <c r="B1534" s="29">
        <v>10</v>
      </c>
      <c r="C1534" s="28"/>
      <c r="D1534" s="28" t="s">
        <v>3759</v>
      </c>
      <c r="E1534" s="5"/>
      <c r="F1534" s="5"/>
      <c r="H1534" s="7"/>
      <c r="K1534" s="30"/>
    </row>
    <row r="1535" spans="1:11" s="2" customFormat="1" x14ac:dyDescent="0.25">
      <c r="A1535" s="28" t="s">
        <v>3761</v>
      </c>
      <c r="B1535" s="29">
        <v>3</v>
      </c>
      <c r="C1535" s="28"/>
      <c r="D1535" s="28" t="s">
        <v>3759</v>
      </c>
      <c r="E1535" s="5"/>
      <c r="F1535" s="5"/>
      <c r="H1535" s="7"/>
      <c r="K1535" s="30"/>
    </row>
    <row r="1536" spans="1:11" s="2" customFormat="1" x14ac:dyDescent="0.25">
      <c r="A1536" s="28" t="s">
        <v>3762</v>
      </c>
      <c r="B1536" s="29">
        <v>5</v>
      </c>
      <c r="C1536" s="28"/>
      <c r="D1536" s="28" t="s">
        <v>3759</v>
      </c>
      <c r="E1536" s="5"/>
      <c r="F1536" s="5"/>
      <c r="H1536" s="7"/>
      <c r="K1536" s="30"/>
    </row>
    <row r="1537" spans="1:11" s="2" customFormat="1" x14ac:dyDescent="0.25">
      <c r="A1537" s="28" t="s">
        <v>3763</v>
      </c>
      <c r="B1537" s="29">
        <v>2</v>
      </c>
      <c r="C1537" s="28"/>
      <c r="D1537" s="28" t="s">
        <v>3759</v>
      </c>
      <c r="E1537" s="12"/>
      <c r="F1537" s="1"/>
      <c r="H1537" s="7"/>
      <c r="K1537" s="30"/>
    </row>
    <row r="1538" spans="1:11" s="2" customFormat="1" x14ac:dyDescent="0.25">
      <c r="A1538" s="28" t="s">
        <v>3764</v>
      </c>
      <c r="B1538" s="29">
        <v>7</v>
      </c>
      <c r="C1538" s="28"/>
      <c r="D1538" s="28" t="s">
        <v>3765</v>
      </c>
      <c r="E1538" s="5"/>
      <c r="F1538" s="5"/>
      <c r="H1538" s="7"/>
      <c r="K1538" s="30"/>
    </row>
    <row r="1539" spans="1:11" s="2" customFormat="1" x14ac:dyDescent="0.25">
      <c r="A1539" s="28" t="s">
        <v>3766</v>
      </c>
      <c r="B1539" s="29">
        <v>23</v>
      </c>
      <c r="C1539" s="28"/>
      <c r="D1539" s="28" t="s">
        <v>3767</v>
      </c>
      <c r="E1539" s="5"/>
      <c r="F1539" s="5"/>
      <c r="H1539" s="7"/>
      <c r="K1539" s="30"/>
    </row>
    <row r="1540" spans="1:11" s="2" customFormat="1" x14ac:dyDescent="0.25">
      <c r="A1540" s="28" t="s">
        <v>3768</v>
      </c>
      <c r="B1540" s="29">
        <v>1</v>
      </c>
      <c r="C1540" s="28"/>
      <c r="D1540" s="28" t="s">
        <v>3769</v>
      </c>
      <c r="E1540" s="5"/>
      <c r="F1540" s="5"/>
      <c r="H1540" s="7"/>
      <c r="K1540" s="30"/>
    </row>
    <row r="1541" spans="1:11" s="2" customFormat="1" x14ac:dyDescent="0.25">
      <c r="A1541" s="28" t="s">
        <v>3770</v>
      </c>
      <c r="B1541" s="29">
        <v>1</v>
      </c>
      <c r="C1541" s="28"/>
      <c r="D1541" s="28" t="s">
        <v>3771</v>
      </c>
      <c r="E1541" s="5"/>
      <c r="F1541" s="5"/>
      <c r="H1541" s="7"/>
      <c r="K1541" s="30"/>
    </row>
    <row r="1542" spans="1:11" s="2" customFormat="1" x14ac:dyDescent="0.25">
      <c r="A1542" s="28" t="s">
        <v>3772</v>
      </c>
      <c r="B1542" s="29">
        <v>145</v>
      </c>
      <c r="C1542" s="28"/>
      <c r="D1542" s="28" t="s">
        <v>3523</v>
      </c>
      <c r="E1542" s="5"/>
      <c r="F1542" s="5"/>
      <c r="H1542" s="7"/>
      <c r="K1542" s="30"/>
    </row>
    <row r="1543" spans="1:11" s="2" customFormat="1" x14ac:dyDescent="0.25">
      <c r="A1543" s="28" t="s">
        <v>3773</v>
      </c>
      <c r="B1543" s="29">
        <v>13</v>
      </c>
      <c r="C1543" s="28"/>
      <c r="D1543" s="28" t="s">
        <v>3523</v>
      </c>
      <c r="E1543" s="5"/>
      <c r="F1543" s="5"/>
      <c r="H1543" s="7"/>
      <c r="K1543" s="30"/>
    </row>
    <row r="1544" spans="1:11" s="2" customFormat="1" x14ac:dyDescent="0.25">
      <c r="A1544" s="28" t="s">
        <v>3774</v>
      </c>
      <c r="B1544" s="29">
        <v>18</v>
      </c>
      <c r="C1544" s="28"/>
      <c r="D1544" s="28" t="s">
        <v>3523</v>
      </c>
      <c r="E1544" s="5"/>
      <c r="F1544" s="5"/>
      <c r="H1544" s="7"/>
      <c r="K1544" s="30"/>
    </row>
    <row r="1545" spans="1:11" s="2" customFormat="1" x14ac:dyDescent="0.25">
      <c r="A1545" s="28" t="s">
        <v>3775</v>
      </c>
      <c r="B1545" s="29">
        <v>12</v>
      </c>
      <c r="C1545" s="28"/>
      <c r="D1545" s="28" t="s">
        <v>3523</v>
      </c>
      <c r="E1545" s="5"/>
      <c r="F1545" s="5"/>
      <c r="H1545" s="7"/>
      <c r="K1545" s="30"/>
    </row>
    <row r="1546" spans="1:11" s="2" customFormat="1" x14ac:dyDescent="0.25">
      <c r="A1546" s="28" t="s">
        <v>3776</v>
      </c>
      <c r="B1546" s="29">
        <v>1</v>
      </c>
      <c r="C1546" s="28"/>
      <c r="D1546" s="28" t="s">
        <v>3523</v>
      </c>
      <c r="E1546" s="3"/>
      <c r="H1546" s="7"/>
      <c r="K1546" s="30"/>
    </row>
    <row r="1547" spans="1:11" s="2" customFormat="1" x14ac:dyDescent="0.25">
      <c r="A1547" s="28" t="s">
        <v>3777</v>
      </c>
      <c r="B1547" s="29">
        <v>3</v>
      </c>
      <c r="C1547" s="28"/>
      <c r="D1547" s="28" t="s">
        <v>3523</v>
      </c>
      <c r="E1547" s="3"/>
      <c r="H1547" s="7"/>
      <c r="K1547" s="30"/>
    </row>
    <row r="1548" spans="1:11" s="2" customFormat="1" ht="15.75" customHeight="1" x14ac:dyDescent="0.25">
      <c r="A1548" s="28" t="s">
        <v>3778</v>
      </c>
      <c r="B1548" s="29">
        <v>1</v>
      </c>
      <c r="C1548" s="28"/>
      <c r="D1548" s="28" t="s">
        <v>3523</v>
      </c>
      <c r="E1548" s="3"/>
      <c r="H1548" s="7"/>
      <c r="K1548" s="30"/>
    </row>
    <row r="1549" spans="1:11" s="2" customFormat="1" x14ac:dyDescent="0.25">
      <c r="A1549" s="28" t="s">
        <v>3779</v>
      </c>
      <c r="B1549" s="29">
        <v>10</v>
      </c>
      <c r="C1549" s="28"/>
      <c r="D1549" s="28" t="s">
        <v>3780</v>
      </c>
      <c r="E1549" s="3"/>
      <c r="H1549" s="7"/>
      <c r="K1549" s="30"/>
    </row>
    <row r="1550" spans="1:11" s="2" customFormat="1" x14ac:dyDescent="0.25">
      <c r="A1550" s="28" t="s">
        <v>3781</v>
      </c>
      <c r="B1550" s="29">
        <v>124</v>
      </c>
      <c r="C1550" s="28"/>
      <c r="D1550" s="28" t="s">
        <v>3782</v>
      </c>
      <c r="E1550" s="3"/>
      <c r="H1550" s="7"/>
      <c r="K1550" s="30"/>
    </row>
    <row r="1551" spans="1:11" s="2" customFormat="1" x14ac:dyDescent="0.25">
      <c r="A1551" s="28" t="s">
        <v>3783</v>
      </c>
      <c r="B1551" s="29">
        <v>1</v>
      </c>
      <c r="C1551" s="28"/>
      <c r="D1551" s="28" t="s">
        <v>3784</v>
      </c>
      <c r="E1551" s="3"/>
      <c r="H1551" s="7"/>
      <c r="K1551" s="30"/>
    </row>
    <row r="1552" spans="1:11" s="2" customFormat="1" x14ac:dyDescent="0.25">
      <c r="A1552" s="28" t="s">
        <v>3785</v>
      </c>
      <c r="B1552" s="29">
        <v>22</v>
      </c>
      <c r="C1552" s="28"/>
      <c r="D1552" s="28" t="s">
        <v>3786</v>
      </c>
      <c r="E1552" s="3"/>
      <c r="H1552" s="7"/>
      <c r="K1552" s="30"/>
    </row>
    <row r="1553" spans="1:11" s="2" customFormat="1" x14ac:dyDescent="0.25">
      <c r="A1553" s="28" t="s">
        <v>3787</v>
      </c>
      <c r="B1553" s="29">
        <v>4</v>
      </c>
      <c r="C1553" s="28"/>
      <c r="D1553" s="28" t="s">
        <v>3788</v>
      </c>
      <c r="E1553" s="3"/>
      <c r="H1553" s="7"/>
      <c r="K1553" s="30"/>
    </row>
    <row r="1554" spans="1:11" s="2" customFormat="1" x14ac:dyDescent="0.25">
      <c r="A1554" s="28" t="s">
        <v>3789</v>
      </c>
      <c r="B1554" s="29">
        <v>17</v>
      </c>
      <c r="C1554" s="28"/>
      <c r="D1554" s="28" t="s">
        <v>447</v>
      </c>
      <c r="E1554" s="3"/>
      <c r="H1554" s="7"/>
      <c r="K1554" s="30"/>
    </row>
    <row r="1555" spans="1:11" s="2" customFormat="1" x14ac:dyDescent="0.25">
      <c r="A1555" s="28" t="s">
        <v>3790</v>
      </c>
      <c r="B1555" s="29">
        <v>32</v>
      </c>
      <c r="C1555" s="28"/>
      <c r="D1555" s="28" t="s">
        <v>447</v>
      </c>
      <c r="E1555" s="3"/>
      <c r="H1555" s="7"/>
      <c r="K1555" s="30"/>
    </row>
    <row r="1556" spans="1:11" s="2" customFormat="1" x14ac:dyDescent="0.25">
      <c r="A1556" s="28" t="s">
        <v>3791</v>
      </c>
      <c r="B1556" s="29">
        <v>11</v>
      </c>
      <c r="C1556" s="28"/>
      <c r="D1556" s="28" t="s">
        <v>447</v>
      </c>
      <c r="E1556" s="3"/>
      <c r="H1556" s="7"/>
      <c r="K1556" s="30"/>
    </row>
    <row r="1557" spans="1:11" s="2" customFormat="1" x14ac:dyDescent="0.25">
      <c r="A1557" s="28" t="s">
        <v>3792</v>
      </c>
      <c r="B1557" s="29">
        <v>3</v>
      </c>
      <c r="C1557" s="28"/>
      <c r="D1557" s="28" t="s">
        <v>447</v>
      </c>
      <c r="E1557" s="3"/>
      <c r="H1557" s="7"/>
      <c r="K1557" s="30"/>
    </row>
    <row r="1558" spans="1:11" s="2" customFormat="1" x14ac:dyDescent="0.25">
      <c r="A1558" s="28" t="s">
        <v>3793</v>
      </c>
      <c r="B1558" s="29">
        <v>47</v>
      </c>
      <c r="C1558" s="28"/>
      <c r="D1558" s="28" t="s">
        <v>447</v>
      </c>
      <c r="E1558" s="3"/>
      <c r="H1558" s="7"/>
      <c r="K1558" s="30"/>
    </row>
    <row r="1559" spans="1:11" s="2" customFormat="1" x14ac:dyDescent="0.25">
      <c r="A1559" s="28" t="s">
        <v>3794</v>
      </c>
      <c r="B1559" s="29">
        <v>47</v>
      </c>
      <c r="C1559" s="28"/>
      <c r="D1559" s="28" t="s">
        <v>447</v>
      </c>
      <c r="E1559" s="3"/>
      <c r="H1559" s="7"/>
      <c r="K1559" s="30"/>
    </row>
    <row r="1560" spans="1:11" s="2" customFormat="1" x14ac:dyDescent="0.25">
      <c r="A1560" s="28" t="s">
        <v>3795</v>
      </c>
      <c r="B1560" s="29">
        <v>19</v>
      </c>
      <c r="C1560" s="28"/>
      <c r="D1560" s="28" t="s">
        <v>447</v>
      </c>
      <c r="E1560" s="3"/>
      <c r="H1560" s="7"/>
      <c r="K1560" s="30"/>
    </row>
    <row r="1561" spans="1:11" s="2" customFormat="1" x14ac:dyDescent="0.25">
      <c r="A1561" s="28" t="s">
        <v>3796</v>
      </c>
      <c r="B1561" s="29">
        <v>1</v>
      </c>
      <c r="C1561" s="28"/>
      <c r="D1561" s="28" t="s">
        <v>447</v>
      </c>
      <c r="E1561" s="3"/>
      <c r="H1561" s="7"/>
      <c r="K1561" s="30"/>
    </row>
    <row r="1562" spans="1:11" s="2" customFormat="1" x14ac:dyDescent="0.25">
      <c r="A1562" s="28" t="s">
        <v>3797</v>
      </c>
      <c r="B1562" s="29">
        <v>22</v>
      </c>
      <c r="C1562" s="28"/>
      <c r="D1562" s="28" t="s">
        <v>447</v>
      </c>
      <c r="E1562" s="3"/>
      <c r="H1562" s="7"/>
      <c r="K1562" s="30"/>
    </row>
    <row r="1563" spans="1:11" s="2" customFormat="1" x14ac:dyDescent="0.25">
      <c r="A1563" s="28" t="s">
        <v>3798</v>
      </c>
      <c r="B1563" s="29">
        <v>1</v>
      </c>
      <c r="C1563" s="28"/>
      <c r="D1563" s="28" t="s">
        <v>447</v>
      </c>
      <c r="E1563" s="3"/>
      <c r="H1563" s="7"/>
      <c r="K1563" s="30"/>
    </row>
    <row r="1564" spans="1:11" s="2" customFormat="1" x14ac:dyDescent="0.25">
      <c r="A1564" s="28" t="s">
        <v>3799</v>
      </c>
      <c r="B1564" s="29">
        <v>33</v>
      </c>
      <c r="C1564" s="28"/>
      <c r="D1564" s="28" t="s">
        <v>1000</v>
      </c>
      <c r="E1564" s="3"/>
      <c r="H1564" s="7"/>
      <c r="K1564" s="30"/>
    </row>
    <row r="1565" spans="1:11" s="2" customFormat="1" x14ac:dyDescent="0.25">
      <c r="A1565" s="28" t="s">
        <v>3800</v>
      </c>
      <c r="B1565" s="29">
        <v>28</v>
      </c>
      <c r="C1565" s="28"/>
      <c r="D1565" s="28" t="s">
        <v>1000</v>
      </c>
      <c r="E1565" s="3"/>
      <c r="H1565" s="7"/>
      <c r="K1565" s="30"/>
    </row>
    <row r="1566" spans="1:11" s="2" customFormat="1" x14ac:dyDescent="0.25">
      <c r="A1566" s="28" t="s">
        <v>3801</v>
      </c>
      <c r="B1566" s="29">
        <v>3</v>
      </c>
      <c r="C1566" s="28"/>
      <c r="D1566" s="28" t="s">
        <v>1000</v>
      </c>
      <c r="E1566" s="3"/>
      <c r="H1566" s="7"/>
      <c r="K1566" s="30"/>
    </row>
    <row r="1567" spans="1:11" s="2" customFormat="1" x14ac:dyDescent="0.25">
      <c r="A1567" s="28" t="s">
        <v>3802</v>
      </c>
      <c r="B1567" s="29">
        <v>497</v>
      </c>
      <c r="C1567" s="28"/>
      <c r="D1567" s="28" t="s">
        <v>3803</v>
      </c>
      <c r="E1567" s="3"/>
      <c r="H1567" s="7"/>
      <c r="K1567" s="30"/>
    </row>
    <row r="1568" spans="1:11" s="2" customFormat="1" x14ac:dyDescent="0.25">
      <c r="A1568" s="31">
        <v>132360</v>
      </c>
      <c r="B1568" s="29">
        <v>58</v>
      </c>
      <c r="C1568" s="28"/>
      <c r="D1568" s="28" t="s">
        <v>3803</v>
      </c>
      <c r="E1568" s="3"/>
      <c r="H1568" s="7"/>
      <c r="K1568" s="30"/>
    </row>
    <row r="1569" spans="1:11" s="2" customFormat="1" x14ac:dyDescent="0.25">
      <c r="A1569" s="28" t="s">
        <v>3804</v>
      </c>
      <c r="B1569" s="29">
        <v>1</v>
      </c>
      <c r="C1569" s="28"/>
      <c r="D1569" s="28" t="s">
        <v>3803</v>
      </c>
      <c r="E1569" s="3"/>
      <c r="H1569" s="7"/>
      <c r="K1569" s="30"/>
    </row>
    <row r="1570" spans="1:11" s="2" customFormat="1" x14ac:dyDescent="0.25">
      <c r="A1570" s="28" t="s">
        <v>3805</v>
      </c>
      <c r="B1570" s="29">
        <v>12</v>
      </c>
      <c r="C1570" s="28"/>
      <c r="D1570" s="28" t="s">
        <v>3803</v>
      </c>
      <c r="E1570" s="3"/>
      <c r="H1570" s="7"/>
      <c r="K1570" s="30"/>
    </row>
    <row r="1571" spans="1:11" s="2" customFormat="1" x14ac:dyDescent="0.25">
      <c r="A1571" s="28" t="s">
        <v>3806</v>
      </c>
      <c r="B1571" s="29">
        <v>8</v>
      </c>
      <c r="C1571" s="28"/>
      <c r="D1571" s="28" t="s">
        <v>3803</v>
      </c>
      <c r="E1571" s="3"/>
      <c r="H1571" s="7"/>
      <c r="K1571" s="30"/>
    </row>
    <row r="1572" spans="1:11" s="2" customFormat="1" x14ac:dyDescent="0.25">
      <c r="A1572" s="28" t="s">
        <v>3807</v>
      </c>
      <c r="B1572" s="29">
        <v>2</v>
      </c>
      <c r="C1572" s="28"/>
      <c r="D1572" s="28" t="s">
        <v>3803</v>
      </c>
      <c r="E1572" s="3"/>
      <c r="H1572" s="7"/>
      <c r="K1572" s="30"/>
    </row>
    <row r="1573" spans="1:11" s="2" customFormat="1" x14ac:dyDescent="0.25">
      <c r="A1573" s="28" t="s">
        <v>3808</v>
      </c>
      <c r="B1573" s="29">
        <v>1</v>
      </c>
      <c r="C1573" s="28"/>
      <c r="D1573" s="28" t="s">
        <v>3803</v>
      </c>
      <c r="E1573" s="3"/>
      <c r="H1573" s="7"/>
      <c r="K1573" s="30"/>
    </row>
    <row r="1574" spans="1:11" s="2" customFormat="1" x14ac:dyDescent="0.25">
      <c r="A1574" s="28" t="s">
        <v>3809</v>
      </c>
      <c r="B1574" s="29">
        <v>1</v>
      </c>
      <c r="C1574" s="28"/>
      <c r="D1574" s="28" t="s">
        <v>3803</v>
      </c>
      <c r="E1574" s="3"/>
      <c r="H1574" s="7"/>
      <c r="K1574" s="30"/>
    </row>
    <row r="1575" spans="1:11" s="2" customFormat="1" x14ac:dyDescent="0.25">
      <c r="A1575" s="28" t="s">
        <v>3810</v>
      </c>
      <c r="B1575" s="29">
        <v>4</v>
      </c>
      <c r="C1575" s="28"/>
      <c r="D1575" s="28" t="s">
        <v>3803</v>
      </c>
      <c r="E1575" s="3"/>
      <c r="H1575" s="7"/>
      <c r="K1575" s="30"/>
    </row>
    <row r="1576" spans="1:11" s="2" customFormat="1" x14ac:dyDescent="0.25">
      <c r="A1576" s="28" t="s">
        <v>3811</v>
      </c>
      <c r="B1576" s="29">
        <v>1</v>
      </c>
      <c r="C1576" s="28"/>
      <c r="D1576" s="28" t="s">
        <v>3803</v>
      </c>
      <c r="E1576" s="3"/>
      <c r="H1576" s="7"/>
      <c r="K1576" s="30"/>
    </row>
    <row r="1577" spans="1:11" s="2" customFormat="1" x14ac:dyDescent="0.25">
      <c r="A1577" s="28" t="s">
        <v>3812</v>
      </c>
      <c r="B1577" s="29">
        <v>1</v>
      </c>
      <c r="C1577" s="28"/>
      <c r="D1577" s="28" t="s">
        <v>3813</v>
      </c>
      <c r="E1577" s="3"/>
      <c r="H1577" s="7"/>
      <c r="K1577" s="30"/>
    </row>
    <row r="1578" spans="1:11" s="2" customFormat="1" x14ac:dyDescent="0.25">
      <c r="A1578" s="28" t="s">
        <v>3814</v>
      </c>
      <c r="B1578" s="29">
        <v>1</v>
      </c>
      <c r="C1578" s="28"/>
      <c r="D1578" s="28" t="s">
        <v>3813</v>
      </c>
      <c r="E1578" s="3"/>
      <c r="H1578" s="7"/>
      <c r="K1578" s="30"/>
    </row>
    <row r="1579" spans="1:11" s="2" customFormat="1" x14ac:dyDescent="0.25">
      <c r="A1579" s="28" t="s">
        <v>3815</v>
      </c>
      <c r="B1579" s="29">
        <v>4490</v>
      </c>
      <c r="C1579" s="28"/>
      <c r="D1579" s="28" t="s">
        <v>3816</v>
      </c>
      <c r="E1579" s="3"/>
      <c r="H1579" s="7"/>
      <c r="K1579" s="30"/>
    </row>
    <row r="1580" spans="1:11" s="2" customFormat="1" x14ac:dyDescent="0.25">
      <c r="A1580" s="28" t="s">
        <v>3817</v>
      </c>
      <c r="B1580" s="29">
        <v>4</v>
      </c>
      <c r="C1580" s="28"/>
      <c r="D1580" s="28" t="s">
        <v>2588</v>
      </c>
      <c r="E1580" s="3"/>
      <c r="H1580" s="7"/>
      <c r="K1580" s="30"/>
    </row>
    <row r="1581" spans="1:11" s="2" customFormat="1" x14ac:dyDescent="0.25">
      <c r="A1581" s="28" t="s">
        <v>3818</v>
      </c>
      <c r="B1581" s="29">
        <v>41</v>
      </c>
      <c r="C1581" s="28"/>
      <c r="D1581" s="28" t="s">
        <v>70</v>
      </c>
      <c r="E1581" s="3"/>
      <c r="H1581" s="7"/>
      <c r="K1581" s="30"/>
    </row>
    <row r="1582" spans="1:11" s="2" customFormat="1" x14ac:dyDescent="0.25">
      <c r="A1582" s="28" t="s">
        <v>3819</v>
      </c>
      <c r="B1582" s="29">
        <v>71</v>
      </c>
      <c r="C1582" s="28"/>
      <c r="D1582" s="28" t="s">
        <v>70</v>
      </c>
      <c r="E1582" s="3"/>
      <c r="H1582" s="7"/>
      <c r="K1582" s="30"/>
    </row>
    <row r="1583" spans="1:11" s="2" customFormat="1" x14ac:dyDescent="0.25">
      <c r="A1583" s="28" t="s">
        <v>3820</v>
      </c>
      <c r="B1583" s="29">
        <v>128</v>
      </c>
      <c r="C1583" s="28"/>
      <c r="D1583" s="28" t="s">
        <v>70</v>
      </c>
      <c r="E1583" s="3"/>
      <c r="H1583" s="7"/>
      <c r="K1583" s="30"/>
    </row>
    <row r="1584" spans="1:11" s="2" customFormat="1" x14ac:dyDescent="0.25">
      <c r="A1584" s="28" t="s">
        <v>3821</v>
      </c>
      <c r="B1584" s="29">
        <v>16</v>
      </c>
      <c r="C1584" s="28"/>
      <c r="D1584" s="28" t="s">
        <v>70</v>
      </c>
      <c r="E1584" s="3"/>
      <c r="H1584" s="7"/>
      <c r="K1584" s="30"/>
    </row>
    <row r="1585" spans="1:11" s="2" customFormat="1" x14ac:dyDescent="0.25">
      <c r="A1585" s="28" t="s">
        <v>3822</v>
      </c>
      <c r="B1585" s="29">
        <v>104</v>
      </c>
      <c r="C1585" s="28"/>
      <c r="D1585" s="28" t="s">
        <v>70</v>
      </c>
      <c r="E1585" s="3"/>
      <c r="H1585" s="7"/>
      <c r="K1585" s="30"/>
    </row>
    <row r="1586" spans="1:11" s="2" customFormat="1" x14ac:dyDescent="0.25">
      <c r="A1586" s="28" t="s">
        <v>3823</v>
      </c>
      <c r="B1586" s="29">
        <v>33</v>
      </c>
      <c r="C1586" s="28"/>
      <c r="D1586" s="28" t="s">
        <v>70</v>
      </c>
      <c r="E1586" s="3"/>
      <c r="H1586" s="7"/>
      <c r="K1586" s="30"/>
    </row>
    <row r="1587" spans="1:11" s="2" customFormat="1" x14ac:dyDescent="0.25">
      <c r="A1587" s="28" t="s">
        <v>3824</v>
      </c>
      <c r="B1587" s="29">
        <v>40</v>
      </c>
      <c r="C1587" s="28"/>
      <c r="D1587" s="28" t="s">
        <v>70</v>
      </c>
      <c r="E1587" s="3"/>
      <c r="H1587" s="7"/>
      <c r="K1587" s="30"/>
    </row>
    <row r="1588" spans="1:11" s="2" customFormat="1" x14ac:dyDescent="0.25">
      <c r="A1588" s="28" t="s">
        <v>3825</v>
      </c>
      <c r="B1588" s="29">
        <v>227</v>
      </c>
      <c r="C1588" s="28"/>
      <c r="D1588" s="28" t="s">
        <v>70</v>
      </c>
      <c r="E1588" s="3"/>
      <c r="H1588" s="7"/>
      <c r="K1588" s="30"/>
    </row>
    <row r="1589" spans="1:11" s="2" customFormat="1" x14ac:dyDescent="0.25">
      <c r="A1589" s="28" t="s">
        <v>3826</v>
      </c>
      <c r="B1589" s="29">
        <v>192</v>
      </c>
      <c r="C1589" s="28"/>
      <c r="D1589" s="28" t="s">
        <v>70</v>
      </c>
      <c r="E1589" s="3"/>
      <c r="H1589" s="7"/>
      <c r="K1589" s="30"/>
    </row>
    <row r="1590" spans="1:11" s="2" customFormat="1" x14ac:dyDescent="0.25">
      <c r="A1590" s="28" t="s">
        <v>3827</v>
      </c>
      <c r="B1590" s="29">
        <v>190</v>
      </c>
      <c r="C1590" s="28"/>
      <c r="D1590" s="28" t="s">
        <v>70</v>
      </c>
      <c r="E1590" s="3"/>
      <c r="H1590" s="7"/>
      <c r="K1590" s="30"/>
    </row>
    <row r="1591" spans="1:11" s="2" customFormat="1" x14ac:dyDescent="0.25">
      <c r="A1591" s="28" t="s">
        <v>3828</v>
      </c>
      <c r="B1591" s="29">
        <v>17</v>
      </c>
      <c r="C1591" s="28"/>
      <c r="D1591" s="28" t="s">
        <v>70</v>
      </c>
      <c r="E1591" s="3"/>
      <c r="H1591" s="7"/>
      <c r="K1591" s="30"/>
    </row>
    <row r="1592" spans="1:11" s="2" customFormat="1" x14ac:dyDescent="0.25">
      <c r="A1592" s="28" t="s">
        <v>3829</v>
      </c>
      <c r="B1592" s="29">
        <v>28</v>
      </c>
      <c r="C1592" s="28"/>
      <c r="D1592" s="28" t="s">
        <v>70</v>
      </c>
      <c r="E1592" s="3"/>
      <c r="H1592" s="7"/>
      <c r="K1592" s="30"/>
    </row>
    <row r="1593" spans="1:11" s="2" customFormat="1" x14ac:dyDescent="0.25">
      <c r="A1593" s="28" t="s">
        <v>3830</v>
      </c>
      <c r="B1593" s="29">
        <v>33</v>
      </c>
      <c r="C1593" s="28"/>
      <c r="D1593" s="28" t="s">
        <v>70</v>
      </c>
      <c r="E1593" s="3"/>
      <c r="H1593" s="7"/>
      <c r="K1593" s="30"/>
    </row>
    <row r="1594" spans="1:11" s="2" customFormat="1" x14ac:dyDescent="0.25">
      <c r="A1594" s="28" t="s">
        <v>3831</v>
      </c>
      <c r="B1594" s="29">
        <v>145</v>
      </c>
      <c r="C1594" s="28"/>
      <c r="D1594" s="28" t="s">
        <v>70</v>
      </c>
      <c r="E1594" s="3"/>
      <c r="H1594" s="7"/>
      <c r="K1594" s="30"/>
    </row>
    <row r="1595" spans="1:11" s="2" customFormat="1" x14ac:dyDescent="0.25">
      <c r="A1595" s="28" t="s">
        <v>3832</v>
      </c>
      <c r="B1595" s="29">
        <v>14</v>
      </c>
      <c r="C1595" s="28"/>
      <c r="D1595" s="28" t="s">
        <v>70</v>
      </c>
      <c r="E1595" s="3"/>
      <c r="H1595" s="7"/>
      <c r="K1595" s="30"/>
    </row>
    <row r="1596" spans="1:11" s="2" customFormat="1" x14ac:dyDescent="0.25">
      <c r="A1596" s="28" t="s">
        <v>3833</v>
      </c>
      <c r="B1596" s="29">
        <v>6</v>
      </c>
      <c r="C1596" s="28"/>
      <c r="D1596" s="28" t="s">
        <v>70</v>
      </c>
      <c r="E1596" s="3"/>
      <c r="H1596" s="7"/>
      <c r="K1596" s="30"/>
    </row>
    <row r="1597" spans="1:11" s="2" customFormat="1" x14ac:dyDescent="0.25">
      <c r="A1597" s="28" t="s">
        <v>3834</v>
      </c>
      <c r="B1597" s="29">
        <v>44</v>
      </c>
      <c r="C1597" s="28"/>
      <c r="D1597" s="28" t="s">
        <v>70</v>
      </c>
      <c r="E1597" s="3"/>
      <c r="H1597" s="7"/>
      <c r="K1597" s="30"/>
    </row>
    <row r="1598" spans="1:11" s="2" customFormat="1" x14ac:dyDescent="0.25">
      <c r="A1598" s="28" t="s">
        <v>3835</v>
      </c>
      <c r="B1598" s="29">
        <v>18</v>
      </c>
      <c r="C1598" s="28"/>
      <c r="D1598" s="28" t="s">
        <v>70</v>
      </c>
      <c r="E1598" s="3"/>
      <c r="H1598" s="7"/>
      <c r="K1598" s="30"/>
    </row>
    <row r="1599" spans="1:11" s="2" customFormat="1" x14ac:dyDescent="0.25">
      <c r="A1599" s="28" t="s">
        <v>3836</v>
      </c>
      <c r="B1599" s="29">
        <v>4</v>
      </c>
      <c r="C1599" s="28"/>
      <c r="D1599" s="28" t="s">
        <v>70</v>
      </c>
      <c r="E1599" s="3"/>
      <c r="H1599" s="7"/>
      <c r="K1599" s="30"/>
    </row>
    <row r="1600" spans="1:11" s="2" customFormat="1" x14ac:dyDescent="0.25">
      <c r="A1600" s="28" t="s">
        <v>3837</v>
      </c>
      <c r="B1600" s="29">
        <v>2</v>
      </c>
      <c r="C1600" s="28"/>
      <c r="D1600" s="28" t="s">
        <v>70</v>
      </c>
      <c r="E1600" s="3"/>
      <c r="H1600" s="7"/>
      <c r="K1600" s="30"/>
    </row>
    <row r="1601" spans="1:11" s="2" customFormat="1" x14ac:dyDescent="0.25">
      <c r="A1601" s="28" t="s">
        <v>3838</v>
      </c>
      <c r="B1601" s="29">
        <v>2</v>
      </c>
      <c r="C1601" s="28"/>
      <c r="D1601" s="28" t="s">
        <v>70</v>
      </c>
      <c r="E1601" s="3"/>
      <c r="H1601" s="7"/>
      <c r="K1601" s="30"/>
    </row>
    <row r="1602" spans="1:11" s="2" customFormat="1" x14ac:dyDescent="0.25">
      <c r="A1602" s="28" t="s">
        <v>3839</v>
      </c>
      <c r="B1602" s="29">
        <v>18</v>
      </c>
      <c r="C1602" s="28"/>
      <c r="D1602" s="28" t="s">
        <v>70</v>
      </c>
      <c r="E1602" s="3"/>
      <c r="H1602" s="7"/>
      <c r="K1602" s="30"/>
    </row>
    <row r="1603" spans="1:11" s="2" customFormat="1" x14ac:dyDescent="0.25">
      <c r="A1603" s="28" t="s">
        <v>3840</v>
      </c>
      <c r="B1603" s="29">
        <v>32</v>
      </c>
      <c r="C1603" s="28"/>
      <c r="D1603" s="28" t="s">
        <v>70</v>
      </c>
      <c r="E1603" s="3"/>
      <c r="H1603" s="7"/>
      <c r="K1603" s="30"/>
    </row>
    <row r="1604" spans="1:11" s="2" customFormat="1" x14ac:dyDescent="0.25">
      <c r="A1604" s="28" t="s">
        <v>3841</v>
      </c>
      <c r="B1604" s="29">
        <v>11</v>
      </c>
      <c r="C1604" s="28"/>
      <c r="D1604" s="28" t="s">
        <v>70</v>
      </c>
      <c r="E1604" s="3"/>
      <c r="H1604" s="7"/>
      <c r="K1604" s="30"/>
    </row>
    <row r="1605" spans="1:11" s="2" customFormat="1" x14ac:dyDescent="0.25">
      <c r="A1605" s="28" t="s">
        <v>3842</v>
      </c>
      <c r="B1605" s="29">
        <v>4</v>
      </c>
      <c r="C1605" s="28"/>
      <c r="D1605" s="28" t="s">
        <v>70</v>
      </c>
      <c r="E1605" s="3"/>
      <c r="H1605" s="7"/>
      <c r="K1605" s="30"/>
    </row>
    <row r="1606" spans="1:11" s="2" customFormat="1" x14ac:dyDescent="0.25">
      <c r="A1606" s="28" t="s">
        <v>3843</v>
      </c>
      <c r="B1606" s="29">
        <v>3</v>
      </c>
      <c r="C1606" s="28"/>
      <c r="D1606" s="28" t="s">
        <v>70</v>
      </c>
      <c r="E1606" s="3"/>
      <c r="H1606" s="7"/>
      <c r="K1606" s="30"/>
    </row>
    <row r="1607" spans="1:11" s="2" customFormat="1" x14ac:dyDescent="0.25">
      <c r="A1607" s="28" t="s">
        <v>3844</v>
      </c>
      <c r="B1607" s="29">
        <v>95</v>
      </c>
      <c r="C1607" s="28"/>
      <c r="D1607" s="28" t="s">
        <v>70</v>
      </c>
      <c r="E1607" s="3"/>
      <c r="H1607" s="7"/>
      <c r="K1607" s="30"/>
    </row>
    <row r="1608" spans="1:11" s="2" customFormat="1" x14ac:dyDescent="0.25">
      <c r="A1608" s="28" t="s">
        <v>3845</v>
      </c>
      <c r="B1608" s="29">
        <v>15</v>
      </c>
      <c r="C1608" s="28"/>
      <c r="D1608" s="28" t="s">
        <v>70</v>
      </c>
      <c r="E1608" s="3"/>
      <c r="H1608" s="7"/>
      <c r="K1608" s="30"/>
    </row>
    <row r="1609" spans="1:11" s="2" customFormat="1" x14ac:dyDescent="0.25">
      <c r="A1609" s="28" t="s">
        <v>3846</v>
      </c>
      <c r="B1609" s="29">
        <v>4</v>
      </c>
      <c r="C1609" s="28"/>
      <c r="D1609" s="28" t="s">
        <v>70</v>
      </c>
      <c r="E1609" s="3"/>
      <c r="H1609" s="7"/>
      <c r="K1609" s="30"/>
    </row>
    <row r="1610" spans="1:11" s="2" customFormat="1" x14ac:dyDescent="0.25">
      <c r="A1610" s="28" t="s">
        <v>3847</v>
      </c>
      <c r="B1610" s="29">
        <v>5</v>
      </c>
      <c r="C1610" s="28"/>
      <c r="D1610" s="28" t="s">
        <v>70</v>
      </c>
      <c r="E1610" s="3"/>
      <c r="H1610" s="7"/>
      <c r="K1610" s="30"/>
    </row>
    <row r="1611" spans="1:11" s="2" customFormat="1" x14ac:dyDescent="0.25">
      <c r="A1611" s="28" t="s">
        <v>3848</v>
      </c>
      <c r="B1611" s="29">
        <v>20</v>
      </c>
      <c r="C1611" s="28"/>
      <c r="D1611" s="28" t="s">
        <v>70</v>
      </c>
      <c r="E1611" s="3"/>
      <c r="H1611" s="7"/>
      <c r="K1611" s="30"/>
    </row>
    <row r="1612" spans="1:11" s="2" customFormat="1" x14ac:dyDescent="0.25">
      <c r="A1612" s="28" t="s">
        <v>3849</v>
      </c>
      <c r="B1612" s="29">
        <v>4</v>
      </c>
      <c r="C1612" s="28"/>
      <c r="D1612" s="28" t="s">
        <v>70</v>
      </c>
      <c r="E1612" s="3"/>
      <c r="H1612" s="7"/>
      <c r="K1612" s="30"/>
    </row>
    <row r="1613" spans="1:11" s="2" customFormat="1" x14ac:dyDescent="0.25">
      <c r="A1613" s="28" t="s">
        <v>3850</v>
      </c>
      <c r="B1613" s="29">
        <v>7</v>
      </c>
      <c r="C1613" s="28"/>
      <c r="D1613" s="28" t="s">
        <v>70</v>
      </c>
      <c r="E1613" s="3"/>
      <c r="H1613" s="7"/>
      <c r="K1613" s="30"/>
    </row>
    <row r="1614" spans="1:11" s="2" customFormat="1" x14ac:dyDescent="0.25">
      <c r="A1614" s="28" t="s">
        <v>3851</v>
      </c>
      <c r="B1614" s="29">
        <v>4</v>
      </c>
      <c r="C1614" s="28"/>
      <c r="D1614" s="28" t="s">
        <v>70</v>
      </c>
      <c r="E1614" s="3"/>
      <c r="H1614" s="7"/>
      <c r="K1614" s="30"/>
    </row>
    <row r="1615" spans="1:11" s="2" customFormat="1" x14ac:dyDescent="0.25">
      <c r="A1615" s="28" t="s">
        <v>3852</v>
      </c>
      <c r="B1615" s="29">
        <v>2</v>
      </c>
      <c r="C1615" s="28"/>
      <c r="D1615" s="28" t="s">
        <v>70</v>
      </c>
      <c r="E1615" s="3"/>
      <c r="H1615" s="7"/>
      <c r="K1615" s="30"/>
    </row>
    <row r="1616" spans="1:11" s="2" customFormat="1" x14ac:dyDescent="0.25">
      <c r="A1616" s="28" t="s">
        <v>3853</v>
      </c>
      <c r="B1616" s="29">
        <v>25</v>
      </c>
      <c r="C1616" s="28"/>
      <c r="D1616" s="28" t="s">
        <v>70</v>
      </c>
      <c r="E1616" s="3"/>
      <c r="H1616" s="7"/>
      <c r="K1616" s="30"/>
    </row>
    <row r="1617" spans="1:11" s="2" customFormat="1" x14ac:dyDescent="0.25">
      <c r="A1617" s="28" t="s">
        <v>3854</v>
      </c>
      <c r="B1617" s="29">
        <v>13</v>
      </c>
      <c r="C1617" s="28"/>
      <c r="D1617" s="28" t="s">
        <v>70</v>
      </c>
      <c r="E1617" s="3"/>
      <c r="H1617" s="7"/>
      <c r="K1617" s="30"/>
    </row>
    <row r="1618" spans="1:11" s="2" customFormat="1" x14ac:dyDescent="0.25">
      <c r="A1618" s="28" t="s">
        <v>3855</v>
      </c>
      <c r="B1618" s="29">
        <v>2</v>
      </c>
      <c r="C1618" s="28"/>
      <c r="D1618" s="28" t="s">
        <v>70</v>
      </c>
      <c r="E1618" s="3"/>
      <c r="H1618" s="7"/>
      <c r="K1618" s="30"/>
    </row>
    <row r="1619" spans="1:11" s="2" customFormat="1" x14ac:dyDescent="0.25">
      <c r="A1619" s="28" t="s">
        <v>3856</v>
      </c>
      <c r="B1619" s="29">
        <v>24</v>
      </c>
      <c r="C1619" s="28"/>
      <c r="D1619" s="28" t="s">
        <v>70</v>
      </c>
      <c r="E1619" s="3"/>
      <c r="H1619" s="7"/>
      <c r="K1619" s="30"/>
    </row>
    <row r="1620" spans="1:11" s="2" customFormat="1" x14ac:dyDescent="0.25">
      <c r="A1620" s="28" t="s">
        <v>3857</v>
      </c>
      <c r="B1620" s="29">
        <v>3</v>
      </c>
      <c r="C1620" s="28"/>
      <c r="D1620" s="28" t="s">
        <v>70</v>
      </c>
      <c r="E1620" s="3"/>
      <c r="H1620" s="7"/>
      <c r="K1620" s="30"/>
    </row>
    <row r="1621" spans="1:11" s="2" customFormat="1" x14ac:dyDescent="0.25">
      <c r="A1621" s="28" t="s">
        <v>3858</v>
      </c>
      <c r="B1621" s="29">
        <v>8</v>
      </c>
      <c r="C1621" s="28"/>
      <c r="D1621" s="28" t="s">
        <v>70</v>
      </c>
      <c r="E1621" s="3"/>
      <c r="H1621" s="7"/>
      <c r="K1621" s="30"/>
    </row>
    <row r="1622" spans="1:11" s="2" customFormat="1" x14ac:dyDescent="0.25">
      <c r="A1622" s="28" t="s">
        <v>3859</v>
      </c>
      <c r="B1622" s="29">
        <v>6</v>
      </c>
      <c r="C1622" s="28"/>
      <c r="D1622" s="28" t="s">
        <v>70</v>
      </c>
      <c r="E1622" s="3"/>
      <c r="H1622" s="7"/>
      <c r="K1622" s="30"/>
    </row>
    <row r="1623" spans="1:11" s="2" customFormat="1" x14ac:dyDescent="0.25">
      <c r="A1623" s="28" t="s">
        <v>3860</v>
      </c>
      <c r="B1623" s="29">
        <v>9</v>
      </c>
      <c r="C1623" s="28"/>
      <c r="D1623" s="28" t="s">
        <v>70</v>
      </c>
      <c r="E1623" s="3"/>
      <c r="H1623" s="7"/>
      <c r="K1623" s="30"/>
    </row>
    <row r="1624" spans="1:11" s="2" customFormat="1" x14ac:dyDescent="0.25">
      <c r="A1624" s="28" t="s">
        <v>3861</v>
      </c>
      <c r="B1624" s="29">
        <v>6</v>
      </c>
      <c r="C1624" s="28"/>
      <c r="D1624" s="28" t="s">
        <v>70</v>
      </c>
      <c r="E1624" s="3"/>
      <c r="H1624" s="7"/>
      <c r="K1624" s="30"/>
    </row>
    <row r="1625" spans="1:11" s="2" customFormat="1" x14ac:dyDescent="0.25">
      <c r="A1625" s="28" t="s">
        <v>3862</v>
      </c>
      <c r="B1625" s="29">
        <v>5</v>
      </c>
      <c r="C1625" s="28"/>
      <c r="D1625" s="28" t="s">
        <v>70</v>
      </c>
      <c r="E1625" s="3"/>
      <c r="H1625" s="7"/>
      <c r="K1625" s="30"/>
    </row>
    <row r="1626" spans="1:11" s="2" customFormat="1" x14ac:dyDescent="0.25">
      <c r="A1626" s="28" t="s">
        <v>3863</v>
      </c>
      <c r="B1626" s="29">
        <v>6</v>
      </c>
      <c r="C1626" s="28"/>
      <c r="D1626" s="28" t="s">
        <v>70</v>
      </c>
      <c r="E1626" s="3"/>
      <c r="H1626" s="7"/>
      <c r="K1626" s="30"/>
    </row>
    <row r="1627" spans="1:11" s="2" customFormat="1" x14ac:dyDescent="0.25">
      <c r="A1627" s="28" t="s">
        <v>3864</v>
      </c>
      <c r="B1627" s="29">
        <v>3</v>
      </c>
      <c r="C1627" s="28"/>
      <c r="D1627" s="28" t="s">
        <v>70</v>
      </c>
      <c r="E1627" s="3"/>
      <c r="H1627" s="7"/>
      <c r="K1627" s="30"/>
    </row>
    <row r="1628" spans="1:11" s="2" customFormat="1" x14ac:dyDescent="0.25">
      <c r="A1628" s="28" t="s">
        <v>3865</v>
      </c>
      <c r="B1628" s="29">
        <v>5</v>
      </c>
      <c r="C1628" s="28"/>
      <c r="D1628" s="28" t="s">
        <v>70</v>
      </c>
      <c r="E1628" s="3"/>
      <c r="H1628" s="7"/>
      <c r="K1628" s="30"/>
    </row>
    <row r="1629" spans="1:11" s="2" customFormat="1" x14ac:dyDescent="0.25">
      <c r="A1629" s="28" t="s">
        <v>3866</v>
      </c>
      <c r="B1629" s="29">
        <v>15</v>
      </c>
      <c r="C1629" s="28"/>
      <c r="D1629" s="28" t="s">
        <v>70</v>
      </c>
      <c r="E1629" s="3"/>
      <c r="H1629" s="7"/>
      <c r="K1629" s="30"/>
    </row>
    <row r="1630" spans="1:11" s="2" customFormat="1" x14ac:dyDescent="0.25">
      <c r="A1630" s="28" t="s">
        <v>3827</v>
      </c>
      <c r="B1630" s="29">
        <v>15</v>
      </c>
      <c r="C1630" s="28"/>
      <c r="D1630" s="28" t="s">
        <v>70</v>
      </c>
      <c r="E1630" s="3"/>
      <c r="H1630" s="7"/>
      <c r="K1630" s="30"/>
    </row>
    <row r="1631" spans="1:11" s="2" customFormat="1" x14ac:dyDescent="0.25">
      <c r="A1631" s="28" t="s">
        <v>3867</v>
      </c>
      <c r="B1631" s="29">
        <v>2</v>
      </c>
      <c r="C1631" s="28"/>
      <c r="D1631" s="28" t="s">
        <v>70</v>
      </c>
      <c r="E1631" s="3"/>
      <c r="H1631" s="7"/>
      <c r="K1631" s="30"/>
    </row>
    <row r="1632" spans="1:11" s="2" customFormat="1" x14ac:dyDescent="0.25">
      <c r="A1632" s="28" t="s">
        <v>3868</v>
      </c>
      <c r="B1632" s="29">
        <v>9</v>
      </c>
      <c r="C1632" s="28"/>
      <c r="D1632" s="28" t="s">
        <v>70</v>
      </c>
      <c r="E1632" s="3"/>
      <c r="H1632" s="7"/>
      <c r="K1632" s="30"/>
    </row>
    <row r="1633" spans="1:11" s="2" customFormat="1" x14ac:dyDescent="0.25">
      <c r="A1633" s="28" t="s">
        <v>3869</v>
      </c>
      <c r="B1633" s="29">
        <v>5</v>
      </c>
      <c r="C1633" s="28"/>
      <c r="D1633" s="28" t="s">
        <v>70</v>
      </c>
      <c r="E1633" s="3"/>
      <c r="H1633" s="7"/>
      <c r="K1633" s="30"/>
    </row>
    <row r="1634" spans="1:11" s="2" customFormat="1" x14ac:dyDescent="0.25">
      <c r="A1634" s="28" t="s">
        <v>3870</v>
      </c>
      <c r="B1634" s="29">
        <v>2</v>
      </c>
      <c r="C1634" s="28"/>
      <c r="D1634" s="28" t="s">
        <v>70</v>
      </c>
      <c r="E1634" s="3"/>
      <c r="H1634" s="7"/>
      <c r="K1634" s="30"/>
    </row>
    <row r="1635" spans="1:11" s="2" customFormat="1" x14ac:dyDescent="0.25">
      <c r="A1635" s="28" t="s">
        <v>3871</v>
      </c>
      <c r="B1635" s="29">
        <v>2</v>
      </c>
      <c r="C1635" s="28"/>
      <c r="D1635" s="28" t="s">
        <v>70</v>
      </c>
      <c r="E1635" s="3"/>
      <c r="H1635" s="7"/>
      <c r="K1635" s="30"/>
    </row>
    <row r="1636" spans="1:11" s="2" customFormat="1" x14ac:dyDescent="0.25">
      <c r="A1636" s="28" t="s">
        <v>3872</v>
      </c>
      <c r="B1636" s="29">
        <v>6</v>
      </c>
      <c r="C1636" s="28"/>
      <c r="D1636" s="28" t="s">
        <v>70</v>
      </c>
      <c r="E1636" s="3"/>
      <c r="H1636" s="7"/>
      <c r="K1636" s="30"/>
    </row>
    <row r="1637" spans="1:11" s="2" customFormat="1" x14ac:dyDescent="0.25">
      <c r="A1637" s="28" t="s">
        <v>3873</v>
      </c>
      <c r="B1637" s="29">
        <v>2</v>
      </c>
      <c r="C1637" s="28"/>
      <c r="D1637" s="28" t="s">
        <v>70</v>
      </c>
      <c r="E1637" s="3"/>
      <c r="H1637" s="7"/>
      <c r="K1637" s="30"/>
    </row>
    <row r="1638" spans="1:11" s="2" customFormat="1" x14ac:dyDescent="0.25">
      <c r="A1638" s="28" t="s">
        <v>3874</v>
      </c>
      <c r="B1638" s="29">
        <v>6</v>
      </c>
      <c r="C1638" s="28"/>
      <c r="D1638" s="28" t="s">
        <v>70</v>
      </c>
      <c r="E1638" s="3"/>
      <c r="H1638" s="7"/>
      <c r="K1638" s="30"/>
    </row>
    <row r="1639" spans="1:11" s="2" customFormat="1" x14ac:dyDescent="0.25">
      <c r="A1639" s="28" t="s">
        <v>3875</v>
      </c>
      <c r="B1639" s="29">
        <v>18</v>
      </c>
      <c r="C1639" s="28"/>
      <c r="D1639" s="28" t="s">
        <v>70</v>
      </c>
      <c r="E1639" s="3"/>
      <c r="H1639" s="7"/>
      <c r="K1639" s="30"/>
    </row>
    <row r="1640" spans="1:11" s="2" customFormat="1" x14ac:dyDescent="0.25">
      <c r="A1640" s="28" t="s">
        <v>3876</v>
      </c>
      <c r="B1640" s="29">
        <v>2</v>
      </c>
      <c r="C1640" s="28"/>
      <c r="D1640" s="28" t="s">
        <v>70</v>
      </c>
      <c r="E1640" s="3"/>
      <c r="H1640" s="7"/>
      <c r="K1640" s="30"/>
    </row>
    <row r="1641" spans="1:11" s="2" customFormat="1" x14ac:dyDescent="0.25">
      <c r="A1641" s="28" t="s">
        <v>3877</v>
      </c>
      <c r="B1641" s="29">
        <v>2</v>
      </c>
      <c r="C1641" s="28"/>
      <c r="D1641" s="28" t="s">
        <v>70</v>
      </c>
      <c r="E1641" s="3"/>
      <c r="H1641" s="7"/>
      <c r="K1641" s="30"/>
    </row>
    <row r="1642" spans="1:11" s="2" customFormat="1" x14ac:dyDescent="0.25">
      <c r="A1642" s="28" t="s">
        <v>3878</v>
      </c>
      <c r="B1642" s="29">
        <v>4</v>
      </c>
      <c r="C1642" s="28"/>
      <c r="D1642" s="28" t="s">
        <v>70</v>
      </c>
      <c r="E1642" s="3"/>
      <c r="H1642" s="7"/>
      <c r="K1642" s="30"/>
    </row>
    <row r="1643" spans="1:11" s="2" customFormat="1" x14ac:dyDescent="0.25">
      <c r="A1643" s="28" t="s">
        <v>3879</v>
      </c>
      <c r="B1643" s="29">
        <v>3</v>
      </c>
      <c r="C1643" s="28"/>
      <c r="D1643" s="28" t="s">
        <v>70</v>
      </c>
      <c r="E1643" s="3"/>
      <c r="H1643" s="7"/>
      <c r="K1643" s="30"/>
    </row>
    <row r="1644" spans="1:11" s="2" customFormat="1" x14ac:dyDescent="0.25">
      <c r="A1644" s="28" t="s">
        <v>3880</v>
      </c>
      <c r="B1644" s="29">
        <v>2</v>
      </c>
      <c r="C1644" s="28"/>
      <c r="D1644" s="28" t="s">
        <v>70</v>
      </c>
      <c r="E1644" s="3"/>
      <c r="H1644" s="7"/>
      <c r="K1644" s="30"/>
    </row>
    <row r="1645" spans="1:11" s="2" customFormat="1" x14ac:dyDescent="0.25">
      <c r="A1645" s="28" t="s">
        <v>3881</v>
      </c>
      <c r="B1645" s="29">
        <v>3</v>
      </c>
      <c r="C1645" s="28"/>
      <c r="D1645" s="28" t="s">
        <v>70</v>
      </c>
      <c r="E1645" s="3"/>
      <c r="H1645" s="7"/>
      <c r="K1645" s="30"/>
    </row>
    <row r="1646" spans="1:11" s="2" customFormat="1" x14ac:dyDescent="0.25">
      <c r="A1646" s="28" t="s">
        <v>3882</v>
      </c>
      <c r="B1646" s="29">
        <v>2</v>
      </c>
      <c r="C1646" s="28"/>
      <c r="D1646" s="28" t="s">
        <v>70</v>
      </c>
      <c r="E1646" s="3"/>
      <c r="H1646" s="7"/>
      <c r="K1646" s="30"/>
    </row>
    <row r="1647" spans="1:11" s="2" customFormat="1" x14ac:dyDescent="0.25">
      <c r="A1647" s="28" t="s">
        <v>3883</v>
      </c>
      <c r="B1647" s="29">
        <v>2</v>
      </c>
      <c r="C1647" s="28"/>
      <c r="D1647" s="28" t="s">
        <v>70</v>
      </c>
      <c r="E1647" s="3"/>
      <c r="H1647" s="7"/>
      <c r="K1647" s="30"/>
    </row>
    <row r="1648" spans="1:11" s="2" customFormat="1" x14ac:dyDescent="0.25">
      <c r="A1648" s="28" t="s">
        <v>3884</v>
      </c>
      <c r="B1648" s="29">
        <v>2</v>
      </c>
      <c r="C1648" s="28"/>
      <c r="D1648" s="28" t="s">
        <v>70</v>
      </c>
      <c r="E1648" s="3"/>
      <c r="H1648" s="7"/>
      <c r="K1648" s="30"/>
    </row>
    <row r="1649" spans="1:11" s="2" customFormat="1" x14ac:dyDescent="0.25">
      <c r="A1649" s="28" t="s">
        <v>3885</v>
      </c>
      <c r="B1649" s="29">
        <v>1</v>
      </c>
      <c r="C1649" s="28"/>
      <c r="D1649" s="28" t="s">
        <v>70</v>
      </c>
      <c r="E1649" s="3"/>
      <c r="H1649" s="7"/>
      <c r="K1649" s="30"/>
    </row>
    <row r="1650" spans="1:11" s="2" customFormat="1" x14ac:dyDescent="0.25">
      <c r="A1650" s="28" t="s">
        <v>3886</v>
      </c>
      <c r="B1650" s="29">
        <v>1</v>
      </c>
      <c r="C1650" s="28"/>
      <c r="D1650" s="28" t="s">
        <v>70</v>
      </c>
      <c r="E1650" s="3"/>
      <c r="H1650" s="7"/>
      <c r="K1650" s="30"/>
    </row>
    <row r="1651" spans="1:11" s="2" customFormat="1" x14ac:dyDescent="0.25">
      <c r="A1651" s="28" t="s">
        <v>3887</v>
      </c>
      <c r="B1651" s="29">
        <v>3</v>
      </c>
      <c r="C1651" s="28"/>
      <c r="D1651" s="28" t="s">
        <v>70</v>
      </c>
      <c r="E1651" s="3"/>
      <c r="H1651" s="7"/>
      <c r="K1651" s="30"/>
    </row>
    <row r="1652" spans="1:11" s="2" customFormat="1" x14ac:dyDescent="0.25">
      <c r="A1652" s="28" t="s">
        <v>3888</v>
      </c>
      <c r="B1652" s="29">
        <v>30</v>
      </c>
      <c r="C1652" s="28"/>
      <c r="D1652" s="28" t="s">
        <v>70</v>
      </c>
      <c r="E1652" s="3"/>
      <c r="H1652" s="7"/>
      <c r="K1652" s="30"/>
    </row>
    <row r="1653" spans="1:11" s="2" customFormat="1" x14ac:dyDescent="0.25">
      <c r="A1653" s="28" t="s">
        <v>3889</v>
      </c>
      <c r="B1653" s="29">
        <v>1</v>
      </c>
      <c r="C1653" s="28"/>
      <c r="D1653" s="28" t="s">
        <v>70</v>
      </c>
      <c r="E1653" s="3"/>
      <c r="H1653" s="7"/>
      <c r="K1653" s="30"/>
    </row>
    <row r="1654" spans="1:11" s="2" customFormat="1" x14ac:dyDescent="0.25">
      <c r="A1654" s="28" t="s">
        <v>3890</v>
      </c>
      <c r="B1654" s="29">
        <v>1</v>
      </c>
      <c r="C1654" s="28"/>
      <c r="D1654" s="28" t="s">
        <v>70</v>
      </c>
      <c r="E1654" s="3"/>
      <c r="H1654" s="7"/>
      <c r="K1654" s="30"/>
    </row>
    <row r="1655" spans="1:11" s="2" customFormat="1" x14ac:dyDescent="0.25">
      <c r="A1655" s="28" t="s">
        <v>3891</v>
      </c>
      <c r="B1655" s="29">
        <v>608</v>
      </c>
      <c r="C1655" s="28"/>
      <c r="D1655" s="28" t="s">
        <v>3892</v>
      </c>
      <c r="E1655" s="3"/>
      <c r="H1655" s="7"/>
      <c r="K1655" s="30"/>
    </row>
    <row r="1656" spans="1:11" s="2" customFormat="1" x14ac:dyDescent="0.25">
      <c r="A1656" s="28" t="s">
        <v>3893</v>
      </c>
      <c r="B1656" s="29">
        <v>3</v>
      </c>
      <c r="C1656" s="28"/>
      <c r="D1656" s="28" t="s">
        <v>3894</v>
      </c>
      <c r="E1656" s="3"/>
      <c r="H1656" s="7"/>
      <c r="K1656" s="30"/>
    </row>
    <row r="1657" spans="1:11" s="2" customFormat="1" x14ac:dyDescent="0.25">
      <c r="A1657" s="28" t="s">
        <v>3895</v>
      </c>
      <c r="B1657" s="29">
        <v>3</v>
      </c>
      <c r="C1657" s="28"/>
      <c r="D1657" s="28" t="s">
        <v>3896</v>
      </c>
      <c r="E1657" s="3"/>
      <c r="H1657" s="7"/>
      <c r="K1657" s="30"/>
    </row>
    <row r="1658" spans="1:11" s="2" customFormat="1" x14ac:dyDescent="0.25">
      <c r="A1658" s="28" t="s">
        <v>3897</v>
      </c>
      <c r="B1658" s="29">
        <v>5000</v>
      </c>
      <c r="C1658" s="28"/>
      <c r="D1658" s="28" t="s">
        <v>3898</v>
      </c>
      <c r="E1658" s="3"/>
      <c r="H1658" s="7"/>
      <c r="K1658" s="30"/>
    </row>
    <row r="1659" spans="1:11" s="2" customFormat="1" x14ac:dyDescent="0.25">
      <c r="A1659" s="28" t="s">
        <v>3899</v>
      </c>
      <c r="B1659" s="29">
        <v>1</v>
      </c>
      <c r="C1659" s="28"/>
      <c r="D1659" s="28" t="s">
        <v>3900</v>
      </c>
      <c r="E1659" s="3"/>
      <c r="H1659" s="7"/>
      <c r="K1659" s="30"/>
    </row>
    <row r="1660" spans="1:11" s="2" customFormat="1" x14ac:dyDescent="0.25">
      <c r="A1660" s="28" t="s">
        <v>3901</v>
      </c>
      <c r="B1660" s="29">
        <v>1</v>
      </c>
      <c r="C1660" s="28"/>
      <c r="D1660" s="28" t="s">
        <v>3902</v>
      </c>
      <c r="E1660" s="3"/>
      <c r="H1660" s="7"/>
      <c r="K1660" s="30"/>
    </row>
    <row r="1661" spans="1:11" s="2" customFormat="1" x14ac:dyDescent="0.25">
      <c r="A1661" s="28" t="s">
        <v>3903</v>
      </c>
      <c r="B1661" s="29">
        <v>1</v>
      </c>
      <c r="C1661" s="28"/>
      <c r="D1661" s="28" t="s">
        <v>3507</v>
      </c>
      <c r="E1661" s="3"/>
      <c r="H1661" s="7"/>
      <c r="K1661" s="30"/>
    </row>
    <row r="1662" spans="1:11" s="2" customFormat="1" x14ac:dyDescent="0.25">
      <c r="A1662" s="28" t="s">
        <v>3904</v>
      </c>
      <c r="B1662" s="29">
        <v>68</v>
      </c>
      <c r="C1662" s="28"/>
      <c r="D1662" s="28" t="s">
        <v>3507</v>
      </c>
      <c r="E1662" s="3"/>
      <c r="H1662" s="7"/>
      <c r="K1662" s="30"/>
    </row>
    <row r="1663" spans="1:11" s="2" customFormat="1" x14ac:dyDescent="0.25">
      <c r="A1663" s="28" t="s">
        <v>3905</v>
      </c>
      <c r="B1663" s="29">
        <v>3</v>
      </c>
      <c r="C1663" s="28"/>
      <c r="D1663" s="28" t="s">
        <v>3507</v>
      </c>
      <c r="E1663" s="3"/>
      <c r="H1663" s="7"/>
      <c r="K1663" s="30"/>
    </row>
    <row r="1664" spans="1:11" s="2" customFormat="1" x14ac:dyDescent="0.25">
      <c r="A1664" s="28" t="s">
        <v>3906</v>
      </c>
      <c r="B1664" s="29">
        <v>2</v>
      </c>
      <c r="C1664" s="28"/>
      <c r="D1664" s="28" t="s">
        <v>3507</v>
      </c>
      <c r="E1664" s="3"/>
      <c r="H1664" s="7"/>
      <c r="K1664" s="30"/>
    </row>
    <row r="1665" spans="1:11" s="2" customFormat="1" x14ac:dyDescent="0.25">
      <c r="A1665" s="28" t="s">
        <v>3907</v>
      </c>
      <c r="B1665" s="29">
        <v>92</v>
      </c>
      <c r="C1665" s="28"/>
      <c r="D1665" s="28" t="s">
        <v>3908</v>
      </c>
      <c r="E1665" s="3"/>
      <c r="H1665" s="7"/>
      <c r="K1665" s="30"/>
    </row>
    <row r="1666" spans="1:11" s="2" customFormat="1" x14ac:dyDescent="0.25">
      <c r="A1666" s="28" t="s">
        <v>3909</v>
      </c>
      <c r="B1666" s="29">
        <v>97</v>
      </c>
      <c r="C1666" s="28"/>
      <c r="D1666" s="28" t="s">
        <v>3908</v>
      </c>
      <c r="E1666" s="3"/>
      <c r="H1666" s="7"/>
      <c r="K1666" s="30"/>
    </row>
    <row r="1667" spans="1:11" s="2" customFormat="1" x14ac:dyDescent="0.25">
      <c r="A1667" s="28" t="s">
        <v>3910</v>
      </c>
      <c r="B1667" s="29">
        <v>15</v>
      </c>
      <c r="C1667" s="28"/>
      <c r="D1667" s="28" t="s">
        <v>3908</v>
      </c>
      <c r="E1667" s="3"/>
      <c r="H1667" s="7"/>
      <c r="K1667" s="30"/>
    </row>
    <row r="1668" spans="1:11" s="2" customFormat="1" x14ac:dyDescent="0.25">
      <c r="A1668" s="28" t="s">
        <v>3911</v>
      </c>
      <c r="B1668" s="29">
        <v>92</v>
      </c>
      <c r="C1668" s="28"/>
      <c r="D1668" s="28" t="s">
        <v>3908</v>
      </c>
      <c r="E1668" s="3"/>
      <c r="H1668" s="7"/>
      <c r="K1668" s="30"/>
    </row>
    <row r="1669" spans="1:11" s="2" customFormat="1" x14ac:dyDescent="0.25">
      <c r="A1669" s="28" t="s">
        <v>3912</v>
      </c>
      <c r="B1669" s="29">
        <v>98</v>
      </c>
      <c r="C1669" s="28"/>
      <c r="D1669" s="28" t="s">
        <v>3908</v>
      </c>
      <c r="E1669" s="3"/>
      <c r="H1669" s="7"/>
      <c r="K1669" s="30"/>
    </row>
    <row r="1670" spans="1:11" s="2" customFormat="1" x14ac:dyDescent="0.25">
      <c r="A1670" s="28" t="s">
        <v>3913</v>
      </c>
      <c r="B1670" s="29">
        <v>34</v>
      </c>
      <c r="C1670" s="28"/>
      <c r="D1670" s="28" t="s">
        <v>3908</v>
      </c>
      <c r="E1670" s="3"/>
      <c r="H1670" s="7"/>
      <c r="K1670" s="30"/>
    </row>
    <row r="1671" spans="1:11" s="2" customFormat="1" x14ac:dyDescent="0.25">
      <c r="A1671" s="28" t="s">
        <v>3914</v>
      </c>
      <c r="B1671" s="29">
        <v>4</v>
      </c>
      <c r="C1671" s="28"/>
      <c r="D1671" s="28" t="s">
        <v>3908</v>
      </c>
      <c r="E1671" s="3"/>
      <c r="H1671" s="7"/>
      <c r="K1671" s="30"/>
    </row>
    <row r="1672" spans="1:11" s="2" customFormat="1" x14ac:dyDescent="0.25">
      <c r="A1672" s="28" t="s">
        <v>3915</v>
      </c>
      <c r="B1672" s="29">
        <v>8</v>
      </c>
      <c r="C1672" s="28"/>
      <c r="D1672" s="28" t="s">
        <v>3908</v>
      </c>
      <c r="E1672" s="3"/>
      <c r="H1672" s="7"/>
      <c r="K1672" s="30"/>
    </row>
    <row r="1673" spans="1:11" s="2" customFormat="1" x14ac:dyDescent="0.25">
      <c r="A1673" s="28" t="s">
        <v>3916</v>
      </c>
      <c r="B1673" s="29">
        <v>6</v>
      </c>
      <c r="C1673" s="28"/>
      <c r="D1673" s="28" t="s">
        <v>3908</v>
      </c>
      <c r="E1673" s="3"/>
      <c r="H1673" s="7"/>
      <c r="K1673" s="30"/>
    </row>
    <row r="1674" spans="1:11" s="2" customFormat="1" x14ac:dyDescent="0.25">
      <c r="A1674" s="28" t="s">
        <v>3917</v>
      </c>
      <c r="B1674" s="29">
        <v>6</v>
      </c>
      <c r="C1674" s="28"/>
      <c r="D1674" s="28" t="s">
        <v>3908</v>
      </c>
      <c r="E1674" s="3"/>
      <c r="H1674" s="7"/>
      <c r="K1674" s="30"/>
    </row>
    <row r="1675" spans="1:11" s="2" customFormat="1" x14ac:dyDescent="0.25">
      <c r="A1675" s="28" t="s">
        <v>3918</v>
      </c>
      <c r="B1675" s="29">
        <v>6</v>
      </c>
      <c r="C1675" s="28"/>
      <c r="D1675" s="28" t="s">
        <v>3908</v>
      </c>
      <c r="E1675" s="3"/>
      <c r="H1675" s="7"/>
      <c r="K1675" s="30"/>
    </row>
    <row r="1676" spans="1:11" s="2" customFormat="1" x14ac:dyDescent="0.25">
      <c r="A1676" s="28" t="s">
        <v>3919</v>
      </c>
      <c r="B1676" s="29">
        <v>4</v>
      </c>
      <c r="C1676" s="28"/>
      <c r="D1676" s="28" t="s">
        <v>3908</v>
      </c>
      <c r="E1676" s="3"/>
      <c r="H1676" s="7"/>
      <c r="K1676" s="30"/>
    </row>
    <row r="1677" spans="1:11" s="2" customFormat="1" x14ac:dyDescent="0.25">
      <c r="A1677" s="28" t="s">
        <v>3920</v>
      </c>
      <c r="B1677" s="29">
        <v>45</v>
      </c>
      <c r="C1677" s="28"/>
      <c r="D1677" s="28" t="s">
        <v>3908</v>
      </c>
      <c r="E1677" s="3"/>
      <c r="H1677" s="7"/>
      <c r="K1677" s="30"/>
    </row>
    <row r="1678" spans="1:11" s="2" customFormat="1" x14ac:dyDescent="0.25">
      <c r="A1678" s="28" t="s">
        <v>3921</v>
      </c>
      <c r="B1678" s="29">
        <v>3</v>
      </c>
      <c r="C1678" s="28"/>
      <c r="D1678" s="28" t="s">
        <v>3908</v>
      </c>
      <c r="E1678" s="3"/>
      <c r="H1678" s="7"/>
      <c r="K1678" s="30"/>
    </row>
    <row r="1679" spans="1:11" s="2" customFormat="1" x14ac:dyDescent="0.25">
      <c r="A1679" s="28" t="s">
        <v>3922</v>
      </c>
      <c r="B1679" s="29">
        <v>2</v>
      </c>
      <c r="C1679" s="28"/>
      <c r="D1679" s="28" t="s">
        <v>3908</v>
      </c>
      <c r="E1679" s="3"/>
      <c r="H1679" s="7"/>
      <c r="K1679" s="30"/>
    </row>
    <row r="1680" spans="1:11" s="2" customFormat="1" x14ac:dyDescent="0.25">
      <c r="A1680" s="28" t="s">
        <v>3923</v>
      </c>
      <c r="B1680" s="29">
        <v>1</v>
      </c>
      <c r="C1680" s="28"/>
      <c r="D1680" s="28" t="s">
        <v>3908</v>
      </c>
      <c r="E1680" s="3"/>
      <c r="H1680" s="7"/>
      <c r="K1680" s="30"/>
    </row>
    <row r="1681" spans="1:11" s="2" customFormat="1" x14ac:dyDescent="0.25">
      <c r="A1681" s="28" t="s">
        <v>3924</v>
      </c>
      <c r="B1681" s="29">
        <v>15</v>
      </c>
      <c r="C1681" s="28"/>
      <c r="D1681" s="28" t="s">
        <v>3925</v>
      </c>
      <c r="E1681" s="3"/>
      <c r="H1681" s="7"/>
      <c r="K1681" s="30"/>
    </row>
    <row r="1682" spans="1:11" s="2" customFormat="1" x14ac:dyDescent="0.25">
      <c r="A1682" s="28" t="s">
        <v>3926</v>
      </c>
      <c r="B1682" s="29">
        <v>15</v>
      </c>
      <c r="C1682" s="28"/>
      <c r="D1682" s="28" t="s">
        <v>3925</v>
      </c>
      <c r="E1682" s="3"/>
      <c r="H1682" s="7"/>
      <c r="K1682" s="30"/>
    </row>
    <row r="1683" spans="1:11" s="2" customFormat="1" x14ac:dyDescent="0.25">
      <c r="A1683" s="28" t="s">
        <v>3927</v>
      </c>
      <c r="B1683" s="29">
        <v>113</v>
      </c>
      <c r="C1683" s="28"/>
      <c r="D1683" s="28" t="s">
        <v>3928</v>
      </c>
      <c r="E1683" s="3"/>
      <c r="H1683" s="7"/>
      <c r="K1683" s="30"/>
    </row>
    <row r="1684" spans="1:11" s="2" customFormat="1" x14ac:dyDescent="0.25">
      <c r="A1684" s="28" t="s">
        <v>3929</v>
      </c>
      <c r="B1684" s="29">
        <v>10</v>
      </c>
      <c r="C1684" s="28"/>
      <c r="D1684" s="28" t="s">
        <v>3928</v>
      </c>
      <c r="E1684" s="3"/>
      <c r="H1684" s="7"/>
      <c r="K1684" s="30"/>
    </row>
    <row r="1685" spans="1:11" s="2" customFormat="1" x14ac:dyDescent="0.25">
      <c r="A1685" s="28" t="s">
        <v>3930</v>
      </c>
      <c r="B1685" s="29">
        <v>4</v>
      </c>
      <c r="C1685" s="28"/>
      <c r="D1685" s="28" t="s">
        <v>3928</v>
      </c>
      <c r="E1685" s="3"/>
      <c r="H1685" s="7"/>
      <c r="K1685" s="30"/>
    </row>
    <row r="1686" spans="1:11" s="2" customFormat="1" x14ac:dyDescent="0.25">
      <c r="A1686" s="28" t="s">
        <v>3931</v>
      </c>
      <c r="B1686" s="29">
        <v>4</v>
      </c>
      <c r="C1686" s="28"/>
      <c r="D1686" s="28" t="s">
        <v>3928</v>
      </c>
      <c r="E1686" s="3"/>
      <c r="H1686" s="7"/>
      <c r="K1686" s="30"/>
    </row>
    <row r="1687" spans="1:11" s="2" customFormat="1" x14ac:dyDescent="0.25">
      <c r="A1687" s="28" t="s">
        <v>3932</v>
      </c>
      <c r="B1687" s="29">
        <v>8</v>
      </c>
      <c r="C1687" s="28"/>
      <c r="D1687" s="28" t="s">
        <v>3928</v>
      </c>
      <c r="E1687" s="3"/>
      <c r="H1687" s="7"/>
      <c r="K1687" s="30"/>
    </row>
    <row r="1688" spans="1:11" s="2" customFormat="1" x14ac:dyDescent="0.25">
      <c r="A1688" s="28" t="s">
        <v>3933</v>
      </c>
      <c r="B1688" s="29">
        <v>3</v>
      </c>
      <c r="C1688" s="28"/>
      <c r="D1688" s="28" t="s">
        <v>3928</v>
      </c>
      <c r="E1688" s="3"/>
      <c r="H1688" s="7"/>
      <c r="K1688" s="30"/>
    </row>
    <row r="1689" spans="1:11" s="2" customFormat="1" x14ac:dyDescent="0.25">
      <c r="A1689" s="28" t="s">
        <v>3934</v>
      </c>
      <c r="B1689" s="29">
        <v>2</v>
      </c>
      <c r="C1689" s="28"/>
      <c r="D1689" s="28" t="s">
        <v>3928</v>
      </c>
      <c r="E1689" s="3"/>
      <c r="H1689" s="7"/>
      <c r="K1689" s="30"/>
    </row>
    <row r="1690" spans="1:11" s="2" customFormat="1" x14ac:dyDescent="0.25">
      <c r="A1690" s="28" t="s">
        <v>3935</v>
      </c>
      <c r="B1690" s="29">
        <v>5</v>
      </c>
      <c r="C1690" s="28"/>
      <c r="D1690" s="28" t="s">
        <v>3936</v>
      </c>
      <c r="E1690" s="3"/>
      <c r="H1690" s="7"/>
      <c r="K1690" s="30"/>
    </row>
    <row r="1691" spans="1:11" s="2" customFormat="1" x14ac:dyDescent="0.25">
      <c r="A1691" s="28" t="s">
        <v>3937</v>
      </c>
      <c r="B1691" s="29">
        <v>6</v>
      </c>
      <c r="C1691" s="28"/>
      <c r="D1691" s="28" t="s">
        <v>101</v>
      </c>
      <c r="E1691" s="3"/>
      <c r="H1691" s="7"/>
      <c r="K1691" s="30"/>
    </row>
    <row r="1692" spans="1:11" s="2" customFormat="1" x14ac:dyDescent="0.25">
      <c r="A1692" s="28" t="s">
        <v>3938</v>
      </c>
      <c r="B1692" s="29">
        <v>5</v>
      </c>
      <c r="C1692" s="28"/>
      <c r="D1692" s="28" t="s">
        <v>101</v>
      </c>
      <c r="E1692" s="3"/>
      <c r="H1692" s="7"/>
      <c r="K1692" s="30"/>
    </row>
    <row r="1693" spans="1:11" s="2" customFormat="1" x14ac:dyDescent="0.25">
      <c r="A1693" s="28" t="s">
        <v>3939</v>
      </c>
      <c r="B1693" s="29">
        <v>12</v>
      </c>
      <c r="C1693" s="28"/>
      <c r="D1693" s="28" t="s">
        <v>101</v>
      </c>
      <c r="E1693" s="3"/>
      <c r="H1693" s="7"/>
      <c r="K1693" s="30"/>
    </row>
    <row r="1694" spans="1:11" s="2" customFormat="1" x14ac:dyDescent="0.25">
      <c r="A1694" s="28" t="s">
        <v>3940</v>
      </c>
      <c r="B1694" s="29">
        <v>30</v>
      </c>
      <c r="C1694" s="28"/>
      <c r="D1694" s="28" t="s">
        <v>3941</v>
      </c>
      <c r="E1694" s="3"/>
      <c r="H1694" s="7"/>
      <c r="K1694" s="30"/>
    </row>
    <row r="1695" spans="1:11" s="2" customFormat="1" x14ac:dyDescent="0.25">
      <c r="A1695" s="28" t="s">
        <v>3942</v>
      </c>
      <c r="B1695" s="29">
        <v>50</v>
      </c>
      <c r="C1695" s="28"/>
      <c r="D1695" s="28" t="s">
        <v>3941</v>
      </c>
      <c r="E1695" s="3"/>
      <c r="H1695" s="7"/>
      <c r="K1695" s="30"/>
    </row>
    <row r="1696" spans="1:11" s="2" customFormat="1" x14ac:dyDescent="0.25">
      <c r="A1696" s="28" t="s">
        <v>1608</v>
      </c>
      <c r="B1696" s="29">
        <v>3202</v>
      </c>
      <c r="C1696" s="28"/>
      <c r="D1696" s="28" t="s">
        <v>250</v>
      </c>
      <c r="E1696" s="3"/>
      <c r="H1696" s="7"/>
      <c r="K1696" s="30"/>
    </row>
    <row r="1697" spans="1:11" s="2" customFormat="1" x14ac:dyDescent="0.25">
      <c r="A1697" s="28" t="s">
        <v>3943</v>
      </c>
      <c r="B1697" s="29">
        <v>3883</v>
      </c>
      <c r="C1697" s="28"/>
      <c r="D1697" s="28" t="s">
        <v>250</v>
      </c>
      <c r="E1697" s="3"/>
      <c r="H1697" s="7"/>
      <c r="K1697" s="30"/>
    </row>
    <row r="1698" spans="1:11" s="2" customFormat="1" x14ac:dyDescent="0.25">
      <c r="A1698" s="28" t="s">
        <v>3944</v>
      </c>
      <c r="B1698" s="29">
        <v>165</v>
      </c>
      <c r="C1698" s="28"/>
      <c r="D1698" s="28" t="s">
        <v>250</v>
      </c>
      <c r="E1698" s="3"/>
      <c r="H1698" s="7"/>
      <c r="K1698" s="30"/>
    </row>
    <row r="1699" spans="1:11" s="2" customFormat="1" x14ac:dyDescent="0.25">
      <c r="A1699" s="28" t="s">
        <v>3945</v>
      </c>
      <c r="B1699" s="29">
        <v>129</v>
      </c>
      <c r="C1699" s="28"/>
      <c r="D1699" s="28" t="s">
        <v>250</v>
      </c>
      <c r="E1699" s="3"/>
      <c r="H1699" s="7"/>
      <c r="K1699" s="30"/>
    </row>
    <row r="1700" spans="1:11" s="2" customFormat="1" x14ac:dyDescent="0.25">
      <c r="A1700" s="28" t="s">
        <v>3946</v>
      </c>
      <c r="B1700" s="29">
        <v>2059</v>
      </c>
      <c r="C1700" s="28"/>
      <c r="D1700" s="28" t="s">
        <v>250</v>
      </c>
      <c r="E1700" s="3"/>
      <c r="H1700" s="7"/>
      <c r="K1700" s="30"/>
    </row>
    <row r="1701" spans="1:11" s="2" customFormat="1" x14ac:dyDescent="0.25">
      <c r="A1701" s="28" t="s">
        <v>3947</v>
      </c>
      <c r="B1701" s="29">
        <v>658</v>
      </c>
      <c r="C1701" s="28"/>
      <c r="D1701" s="28" t="s">
        <v>250</v>
      </c>
      <c r="E1701" s="3"/>
      <c r="H1701" s="7"/>
      <c r="K1701" s="30"/>
    </row>
    <row r="1702" spans="1:11" s="2" customFormat="1" x14ac:dyDescent="0.25">
      <c r="A1702" s="28" t="s">
        <v>3948</v>
      </c>
      <c r="B1702" s="29">
        <v>66</v>
      </c>
      <c r="C1702" s="28"/>
      <c r="D1702" s="28" t="s">
        <v>250</v>
      </c>
      <c r="E1702" s="3"/>
      <c r="H1702" s="7"/>
      <c r="K1702" s="30"/>
    </row>
    <row r="1703" spans="1:11" s="2" customFormat="1" x14ac:dyDescent="0.25">
      <c r="A1703" s="28" t="s">
        <v>3949</v>
      </c>
      <c r="B1703" s="29">
        <v>91</v>
      </c>
      <c r="C1703" s="28"/>
      <c r="D1703" s="28" t="s">
        <v>250</v>
      </c>
      <c r="E1703" s="3"/>
      <c r="H1703" s="7"/>
      <c r="K1703" s="30"/>
    </row>
    <row r="1704" spans="1:11" s="2" customFormat="1" x14ac:dyDescent="0.25">
      <c r="A1704" s="28" t="s">
        <v>3950</v>
      </c>
      <c r="B1704" s="29">
        <v>61</v>
      </c>
      <c r="C1704" s="28"/>
      <c r="D1704" s="28" t="s">
        <v>250</v>
      </c>
      <c r="E1704" s="3"/>
      <c r="H1704" s="7"/>
      <c r="K1704" s="30"/>
    </row>
    <row r="1705" spans="1:11" s="2" customFormat="1" x14ac:dyDescent="0.25">
      <c r="A1705" s="28" t="s">
        <v>3951</v>
      </c>
      <c r="B1705" s="29">
        <v>586</v>
      </c>
      <c r="C1705" s="28"/>
      <c r="D1705" s="28" t="s">
        <v>250</v>
      </c>
      <c r="E1705" s="3"/>
      <c r="H1705" s="7"/>
      <c r="K1705" s="30"/>
    </row>
    <row r="1706" spans="1:11" s="2" customFormat="1" x14ac:dyDescent="0.25">
      <c r="A1706" s="28" t="s">
        <v>3952</v>
      </c>
      <c r="B1706" s="29">
        <v>5000</v>
      </c>
      <c r="C1706" s="28"/>
      <c r="D1706" s="28" t="s">
        <v>250</v>
      </c>
      <c r="E1706" s="3"/>
      <c r="H1706" s="7"/>
      <c r="K1706" s="30"/>
    </row>
    <row r="1707" spans="1:11" s="2" customFormat="1" x14ac:dyDescent="0.25">
      <c r="A1707" s="28" t="s">
        <v>3953</v>
      </c>
      <c r="B1707" s="29">
        <v>29</v>
      </c>
      <c r="C1707" s="28"/>
      <c r="D1707" s="28" t="s">
        <v>250</v>
      </c>
      <c r="E1707" s="3"/>
      <c r="H1707" s="7"/>
      <c r="K1707" s="30"/>
    </row>
    <row r="1708" spans="1:11" s="2" customFormat="1" x14ac:dyDescent="0.25">
      <c r="A1708" s="28" t="s">
        <v>3954</v>
      </c>
      <c r="B1708" s="29">
        <v>347</v>
      </c>
      <c r="C1708" s="28"/>
      <c r="D1708" s="28" t="s">
        <v>250</v>
      </c>
      <c r="E1708" s="3"/>
      <c r="H1708" s="7"/>
      <c r="K1708" s="30"/>
    </row>
    <row r="1709" spans="1:11" s="2" customFormat="1" x14ac:dyDescent="0.25">
      <c r="A1709" s="28" t="s">
        <v>3955</v>
      </c>
      <c r="B1709" s="29">
        <v>20</v>
      </c>
      <c r="C1709" s="28"/>
      <c r="D1709" s="28" t="s">
        <v>250</v>
      </c>
      <c r="E1709" s="3"/>
      <c r="H1709" s="7"/>
      <c r="K1709" s="30"/>
    </row>
    <row r="1710" spans="1:11" s="2" customFormat="1" x14ac:dyDescent="0.25">
      <c r="A1710" s="28" t="s">
        <v>3956</v>
      </c>
      <c r="B1710" s="29">
        <v>100</v>
      </c>
      <c r="C1710" s="28"/>
      <c r="D1710" s="28" t="s">
        <v>250</v>
      </c>
      <c r="E1710" s="3"/>
      <c r="H1710" s="7"/>
      <c r="K1710" s="30"/>
    </row>
    <row r="1711" spans="1:11" s="2" customFormat="1" x14ac:dyDescent="0.25">
      <c r="A1711" s="28" t="s">
        <v>3957</v>
      </c>
      <c r="B1711" s="29">
        <v>96</v>
      </c>
      <c r="C1711" s="28"/>
      <c r="D1711" s="28" t="s">
        <v>250</v>
      </c>
      <c r="E1711" s="3"/>
      <c r="H1711" s="7"/>
      <c r="K1711" s="30"/>
    </row>
    <row r="1712" spans="1:11" s="2" customFormat="1" x14ac:dyDescent="0.25">
      <c r="A1712" s="28" t="s">
        <v>3958</v>
      </c>
      <c r="B1712" s="29">
        <v>18</v>
      </c>
      <c r="C1712" s="28"/>
      <c r="D1712" s="28" t="s">
        <v>250</v>
      </c>
      <c r="E1712" s="3"/>
      <c r="H1712" s="7"/>
      <c r="K1712" s="30"/>
    </row>
    <row r="1713" spans="1:11" s="2" customFormat="1" x14ac:dyDescent="0.25">
      <c r="A1713" s="28" t="s">
        <v>2063</v>
      </c>
      <c r="B1713" s="29">
        <v>184</v>
      </c>
      <c r="C1713" s="28"/>
      <c r="D1713" s="28" t="s">
        <v>250</v>
      </c>
      <c r="E1713" s="3"/>
      <c r="H1713" s="7"/>
      <c r="K1713" s="30"/>
    </row>
    <row r="1714" spans="1:11" s="2" customFormat="1" x14ac:dyDescent="0.25">
      <c r="A1714" s="28" t="s">
        <v>3959</v>
      </c>
      <c r="B1714" s="29">
        <v>26</v>
      </c>
      <c r="C1714" s="28"/>
      <c r="D1714" s="28" t="s">
        <v>250</v>
      </c>
      <c r="E1714" s="3"/>
      <c r="H1714" s="7"/>
      <c r="K1714" s="30"/>
    </row>
    <row r="1715" spans="1:11" s="2" customFormat="1" x14ac:dyDescent="0.25">
      <c r="A1715" s="28" t="s">
        <v>3960</v>
      </c>
      <c r="B1715" s="29">
        <v>25</v>
      </c>
      <c r="C1715" s="28"/>
      <c r="D1715" s="28" t="s">
        <v>250</v>
      </c>
      <c r="E1715" s="3"/>
      <c r="H1715" s="7"/>
      <c r="K1715" s="30"/>
    </row>
    <row r="1716" spans="1:11" s="2" customFormat="1" x14ac:dyDescent="0.25">
      <c r="A1716" s="28" t="s">
        <v>3961</v>
      </c>
      <c r="B1716" s="29">
        <v>20</v>
      </c>
      <c r="C1716" s="28"/>
      <c r="D1716" s="28" t="s">
        <v>250</v>
      </c>
      <c r="E1716" s="3"/>
      <c r="H1716" s="7"/>
      <c r="K1716" s="30"/>
    </row>
    <row r="1717" spans="1:11" s="2" customFormat="1" x14ac:dyDescent="0.25">
      <c r="A1717" s="28" t="s">
        <v>3962</v>
      </c>
      <c r="B1717" s="29">
        <v>90</v>
      </c>
      <c r="C1717" s="28"/>
      <c r="D1717" s="28" t="s">
        <v>250</v>
      </c>
      <c r="E1717" s="3"/>
      <c r="H1717" s="7"/>
      <c r="K1717" s="30"/>
    </row>
    <row r="1718" spans="1:11" s="2" customFormat="1" x14ac:dyDescent="0.25">
      <c r="A1718" s="28" t="s">
        <v>3963</v>
      </c>
      <c r="B1718" s="29">
        <v>584</v>
      </c>
      <c r="C1718" s="28"/>
      <c r="D1718" s="28" t="s">
        <v>250</v>
      </c>
      <c r="E1718" s="3"/>
      <c r="H1718" s="7"/>
      <c r="K1718" s="30"/>
    </row>
    <row r="1719" spans="1:11" s="2" customFormat="1" x14ac:dyDescent="0.25">
      <c r="A1719" s="28" t="s">
        <v>3964</v>
      </c>
      <c r="B1719" s="29">
        <v>10</v>
      </c>
      <c r="C1719" s="28"/>
      <c r="D1719" s="28" t="s">
        <v>250</v>
      </c>
      <c r="E1719" s="3"/>
      <c r="H1719" s="7"/>
      <c r="K1719" s="30"/>
    </row>
    <row r="1720" spans="1:11" s="2" customFormat="1" x14ac:dyDescent="0.25">
      <c r="A1720" s="28" t="s">
        <v>3502</v>
      </c>
      <c r="B1720" s="29">
        <v>80</v>
      </c>
      <c r="C1720" s="28"/>
      <c r="D1720" s="28" t="s">
        <v>250</v>
      </c>
      <c r="E1720" s="3"/>
      <c r="H1720" s="7"/>
      <c r="K1720" s="30"/>
    </row>
    <row r="1721" spans="1:11" s="2" customFormat="1" x14ac:dyDescent="0.25">
      <c r="A1721" s="28" t="s">
        <v>3965</v>
      </c>
      <c r="B1721" s="29">
        <v>42</v>
      </c>
      <c r="C1721" s="28"/>
      <c r="D1721" s="28" t="s">
        <v>250</v>
      </c>
      <c r="E1721" s="3"/>
      <c r="H1721" s="7"/>
      <c r="K1721" s="30"/>
    </row>
    <row r="1722" spans="1:11" s="2" customFormat="1" x14ac:dyDescent="0.25">
      <c r="A1722" s="28" t="s">
        <v>3966</v>
      </c>
      <c r="B1722" s="29">
        <v>20</v>
      </c>
      <c r="C1722" s="28"/>
      <c r="D1722" s="28" t="s">
        <v>250</v>
      </c>
      <c r="E1722" s="3"/>
      <c r="H1722" s="7"/>
      <c r="K1722" s="30"/>
    </row>
    <row r="1723" spans="1:11" s="2" customFormat="1" x14ac:dyDescent="0.25">
      <c r="A1723" s="28" t="s">
        <v>3967</v>
      </c>
      <c r="B1723" s="29">
        <v>26</v>
      </c>
      <c r="C1723" s="28"/>
      <c r="D1723" s="28" t="s">
        <v>250</v>
      </c>
      <c r="E1723" s="3"/>
      <c r="H1723" s="7"/>
      <c r="K1723" s="30"/>
    </row>
    <row r="1724" spans="1:11" s="2" customFormat="1" x14ac:dyDescent="0.25">
      <c r="A1724" s="28" t="s">
        <v>3968</v>
      </c>
      <c r="B1724" s="29">
        <v>50</v>
      </c>
      <c r="C1724" s="28"/>
      <c r="D1724" s="28" t="s">
        <v>250</v>
      </c>
      <c r="E1724" s="3"/>
      <c r="H1724" s="7"/>
      <c r="K1724" s="30"/>
    </row>
    <row r="1725" spans="1:11" s="2" customFormat="1" x14ac:dyDescent="0.25">
      <c r="A1725" s="28" t="s">
        <v>3969</v>
      </c>
      <c r="B1725" s="29">
        <v>34</v>
      </c>
      <c r="C1725" s="28"/>
      <c r="D1725" s="28" t="s">
        <v>250</v>
      </c>
      <c r="E1725" s="3"/>
      <c r="H1725" s="7"/>
      <c r="K1725" s="30"/>
    </row>
    <row r="1726" spans="1:11" s="2" customFormat="1" x14ac:dyDescent="0.25">
      <c r="A1726" s="28" t="s">
        <v>3970</v>
      </c>
      <c r="B1726" s="29">
        <v>80</v>
      </c>
      <c r="C1726" s="28"/>
      <c r="D1726" s="28" t="s">
        <v>250</v>
      </c>
      <c r="E1726" s="3"/>
      <c r="H1726" s="7"/>
      <c r="K1726" s="30"/>
    </row>
    <row r="1727" spans="1:11" s="2" customFormat="1" x14ac:dyDescent="0.25">
      <c r="A1727" s="28" t="s">
        <v>3971</v>
      </c>
      <c r="B1727" s="29">
        <v>50</v>
      </c>
      <c r="C1727" s="28"/>
      <c r="D1727" s="28" t="s">
        <v>250</v>
      </c>
      <c r="E1727" s="3"/>
      <c r="H1727" s="7"/>
      <c r="K1727" s="30"/>
    </row>
    <row r="1728" spans="1:11" s="2" customFormat="1" x14ac:dyDescent="0.25">
      <c r="A1728" s="28" t="s">
        <v>3972</v>
      </c>
      <c r="B1728" s="29">
        <v>172</v>
      </c>
      <c r="C1728" s="28"/>
      <c r="D1728" s="28" t="s">
        <v>250</v>
      </c>
      <c r="E1728" s="3"/>
      <c r="H1728" s="7"/>
      <c r="K1728" s="30"/>
    </row>
    <row r="1729" spans="1:11" s="2" customFormat="1" x14ac:dyDescent="0.25">
      <c r="A1729" s="28" t="s">
        <v>3973</v>
      </c>
      <c r="B1729" s="29">
        <v>171</v>
      </c>
      <c r="C1729" s="28"/>
      <c r="D1729" s="28" t="s">
        <v>250</v>
      </c>
      <c r="E1729" s="3"/>
      <c r="H1729" s="7"/>
      <c r="K1729" s="30"/>
    </row>
    <row r="1730" spans="1:11" s="2" customFormat="1" x14ac:dyDescent="0.25">
      <c r="A1730" s="28" t="s">
        <v>3974</v>
      </c>
      <c r="B1730" s="29">
        <v>161</v>
      </c>
      <c r="C1730" s="28"/>
      <c r="D1730" s="28" t="s">
        <v>250</v>
      </c>
      <c r="E1730" s="3"/>
      <c r="H1730" s="7"/>
      <c r="K1730" s="30"/>
    </row>
    <row r="1731" spans="1:11" s="2" customFormat="1" x14ac:dyDescent="0.25">
      <c r="A1731" s="28" t="s">
        <v>3975</v>
      </c>
      <c r="B1731" s="29">
        <v>118</v>
      </c>
      <c r="C1731" s="28"/>
      <c r="D1731" s="28" t="s">
        <v>250</v>
      </c>
      <c r="E1731" s="3"/>
      <c r="H1731" s="7"/>
      <c r="K1731" s="30"/>
    </row>
    <row r="1732" spans="1:11" s="2" customFormat="1" x14ac:dyDescent="0.25">
      <c r="A1732" s="28" t="s">
        <v>3976</v>
      </c>
      <c r="B1732" s="29">
        <v>150</v>
      </c>
      <c r="C1732" s="28"/>
      <c r="D1732" s="28" t="s">
        <v>250</v>
      </c>
      <c r="E1732" s="3"/>
      <c r="H1732" s="7"/>
      <c r="K1732" s="30"/>
    </row>
    <row r="1733" spans="1:11" s="2" customFormat="1" x14ac:dyDescent="0.25">
      <c r="A1733" s="28" t="s">
        <v>3977</v>
      </c>
      <c r="B1733" s="29">
        <v>18</v>
      </c>
      <c r="C1733" s="28"/>
      <c r="D1733" s="28" t="s">
        <v>250</v>
      </c>
      <c r="E1733" s="3"/>
      <c r="H1733" s="7"/>
      <c r="K1733" s="30"/>
    </row>
    <row r="1734" spans="1:11" s="2" customFormat="1" x14ac:dyDescent="0.25">
      <c r="A1734" s="28" t="s">
        <v>3978</v>
      </c>
      <c r="B1734" s="29">
        <v>10</v>
      </c>
      <c r="C1734" s="28"/>
      <c r="D1734" s="28" t="s">
        <v>250</v>
      </c>
      <c r="E1734" s="3"/>
      <c r="H1734" s="7"/>
      <c r="K1734" s="30"/>
    </row>
    <row r="1735" spans="1:11" s="2" customFormat="1" x14ac:dyDescent="0.25">
      <c r="A1735" s="28" t="s">
        <v>3979</v>
      </c>
      <c r="B1735" s="29">
        <v>65</v>
      </c>
      <c r="C1735" s="28"/>
      <c r="D1735" s="28" t="s">
        <v>250</v>
      </c>
      <c r="E1735" s="3"/>
      <c r="H1735" s="7"/>
      <c r="K1735" s="30"/>
    </row>
    <row r="1736" spans="1:11" s="2" customFormat="1" x14ac:dyDescent="0.25">
      <c r="A1736" s="28" t="s">
        <v>3980</v>
      </c>
      <c r="B1736" s="29">
        <v>980</v>
      </c>
      <c r="C1736" s="28"/>
      <c r="D1736" s="28" t="s">
        <v>250</v>
      </c>
      <c r="E1736" s="3"/>
      <c r="H1736" s="7"/>
      <c r="K1736" s="30"/>
    </row>
    <row r="1737" spans="1:11" s="2" customFormat="1" x14ac:dyDescent="0.25">
      <c r="A1737" s="28" t="s">
        <v>3981</v>
      </c>
      <c r="B1737" s="29">
        <v>44</v>
      </c>
      <c r="C1737" s="28"/>
      <c r="D1737" s="28" t="s">
        <v>250</v>
      </c>
      <c r="E1737" s="3"/>
      <c r="H1737" s="7"/>
      <c r="K1737" s="30"/>
    </row>
    <row r="1738" spans="1:11" s="2" customFormat="1" x14ac:dyDescent="0.25">
      <c r="A1738" s="28" t="s">
        <v>3982</v>
      </c>
      <c r="B1738" s="29">
        <v>65</v>
      </c>
      <c r="C1738" s="28"/>
      <c r="D1738" s="28" t="s">
        <v>250</v>
      </c>
      <c r="E1738" s="3"/>
      <c r="H1738" s="7"/>
      <c r="K1738" s="30"/>
    </row>
    <row r="1739" spans="1:11" s="2" customFormat="1" x14ac:dyDescent="0.25">
      <c r="A1739" s="28" t="s">
        <v>3983</v>
      </c>
      <c r="B1739" s="29">
        <v>55</v>
      </c>
      <c r="C1739" s="28"/>
      <c r="D1739" s="28" t="s">
        <v>250</v>
      </c>
      <c r="E1739" s="3"/>
      <c r="H1739" s="7"/>
      <c r="K1739" s="30"/>
    </row>
    <row r="1740" spans="1:11" s="2" customFormat="1" x14ac:dyDescent="0.25">
      <c r="A1740" s="28" t="s">
        <v>3984</v>
      </c>
      <c r="B1740" s="29">
        <v>150</v>
      </c>
      <c r="C1740" s="28"/>
      <c r="D1740" s="28" t="s">
        <v>250</v>
      </c>
      <c r="E1740" s="3"/>
      <c r="H1740" s="7"/>
      <c r="K1740" s="30"/>
    </row>
    <row r="1741" spans="1:11" s="2" customFormat="1" x14ac:dyDescent="0.25">
      <c r="A1741" s="28" t="s">
        <v>3985</v>
      </c>
      <c r="B1741" s="29">
        <v>12</v>
      </c>
      <c r="C1741" s="28"/>
      <c r="D1741" s="28" t="s">
        <v>250</v>
      </c>
      <c r="E1741" s="3"/>
      <c r="H1741" s="7"/>
      <c r="K1741" s="30"/>
    </row>
    <row r="1742" spans="1:11" s="2" customFormat="1" x14ac:dyDescent="0.25">
      <c r="A1742" s="28" t="s">
        <v>3986</v>
      </c>
      <c r="B1742" s="29">
        <v>46</v>
      </c>
      <c r="C1742" s="28"/>
      <c r="D1742" s="28" t="s">
        <v>250</v>
      </c>
      <c r="E1742" s="3"/>
      <c r="H1742" s="7"/>
      <c r="K1742" s="30"/>
    </row>
    <row r="1743" spans="1:11" s="2" customFormat="1" x14ac:dyDescent="0.25">
      <c r="A1743" s="28" t="s">
        <v>3987</v>
      </c>
      <c r="B1743" s="29">
        <v>97</v>
      </c>
      <c r="C1743" s="28"/>
      <c r="D1743" s="28" t="s">
        <v>250</v>
      </c>
      <c r="E1743" s="3"/>
      <c r="H1743" s="7"/>
      <c r="K1743" s="30"/>
    </row>
    <row r="1744" spans="1:11" s="2" customFormat="1" x14ac:dyDescent="0.25">
      <c r="A1744" s="28" t="s">
        <v>3988</v>
      </c>
      <c r="B1744" s="29">
        <v>53</v>
      </c>
      <c r="C1744" s="28"/>
      <c r="D1744" s="28" t="s">
        <v>250</v>
      </c>
      <c r="E1744" s="3"/>
      <c r="H1744" s="7"/>
      <c r="K1744" s="30"/>
    </row>
    <row r="1745" spans="1:11" s="2" customFormat="1" x14ac:dyDescent="0.25">
      <c r="A1745" s="28" t="s">
        <v>3989</v>
      </c>
      <c r="B1745" s="29">
        <v>145</v>
      </c>
      <c r="C1745" s="28"/>
      <c r="D1745" s="28" t="s">
        <v>250</v>
      </c>
      <c r="E1745" s="3"/>
      <c r="H1745" s="7"/>
      <c r="K1745" s="30"/>
    </row>
    <row r="1746" spans="1:11" s="2" customFormat="1" x14ac:dyDescent="0.25">
      <c r="A1746" s="28" t="s">
        <v>3990</v>
      </c>
      <c r="B1746" s="29">
        <v>86</v>
      </c>
      <c r="C1746" s="28"/>
      <c r="D1746" s="28" t="s">
        <v>250</v>
      </c>
      <c r="E1746" s="3"/>
      <c r="H1746" s="7"/>
      <c r="K1746" s="30"/>
    </row>
    <row r="1747" spans="1:11" s="2" customFormat="1" x14ac:dyDescent="0.25">
      <c r="A1747" s="28" t="s">
        <v>3991</v>
      </c>
      <c r="B1747" s="29">
        <v>10</v>
      </c>
      <c r="C1747" s="28"/>
      <c r="D1747" s="28" t="s">
        <v>250</v>
      </c>
      <c r="E1747" s="3"/>
      <c r="H1747" s="7"/>
      <c r="K1747" s="30"/>
    </row>
    <row r="1748" spans="1:11" s="2" customFormat="1" x14ac:dyDescent="0.25">
      <c r="A1748" s="28" t="s">
        <v>3992</v>
      </c>
      <c r="B1748" s="29">
        <v>60</v>
      </c>
      <c r="C1748" s="28"/>
      <c r="D1748" s="28" t="s">
        <v>250</v>
      </c>
      <c r="E1748" s="3"/>
      <c r="H1748" s="7"/>
      <c r="K1748" s="30"/>
    </row>
    <row r="1749" spans="1:11" s="2" customFormat="1" x14ac:dyDescent="0.25">
      <c r="A1749" s="28" t="s">
        <v>3993</v>
      </c>
      <c r="B1749" s="29">
        <v>549</v>
      </c>
      <c r="C1749" s="28"/>
      <c r="D1749" s="28" t="s">
        <v>250</v>
      </c>
      <c r="E1749" s="3"/>
      <c r="H1749" s="7"/>
      <c r="K1749" s="30"/>
    </row>
    <row r="1750" spans="1:11" s="2" customFormat="1" x14ac:dyDescent="0.25">
      <c r="A1750" s="28" t="s">
        <v>1475</v>
      </c>
      <c r="B1750" s="29">
        <v>44</v>
      </c>
      <c r="C1750" s="28"/>
      <c r="D1750" s="28" t="s">
        <v>250</v>
      </c>
      <c r="E1750" s="3"/>
      <c r="H1750" s="7"/>
      <c r="K1750" s="30"/>
    </row>
    <row r="1751" spans="1:11" s="2" customFormat="1" x14ac:dyDescent="0.25">
      <c r="A1751" s="28" t="s">
        <v>3994</v>
      </c>
      <c r="B1751" s="29">
        <v>6</v>
      </c>
      <c r="C1751" s="28"/>
      <c r="D1751" s="28" t="s">
        <v>250</v>
      </c>
      <c r="E1751" s="3"/>
      <c r="H1751" s="7"/>
      <c r="K1751" s="30"/>
    </row>
    <row r="1752" spans="1:11" s="2" customFormat="1" x14ac:dyDescent="0.25">
      <c r="A1752" s="28" t="s">
        <v>3995</v>
      </c>
      <c r="B1752" s="29">
        <v>54</v>
      </c>
      <c r="C1752" s="28"/>
      <c r="D1752" s="28" t="s">
        <v>250</v>
      </c>
      <c r="E1752" s="3"/>
      <c r="H1752" s="7"/>
      <c r="K1752" s="30"/>
    </row>
    <row r="1753" spans="1:11" s="2" customFormat="1" x14ac:dyDescent="0.25">
      <c r="A1753" s="28" t="s">
        <v>3996</v>
      </c>
      <c r="B1753" s="29">
        <v>12</v>
      </c>
      <c r="C1753" s="28"/>
      <c r="D1753" s="28" t="s">
        <v>250</v>
      </c>
      <c r="E1753" s="3"/>
      <c r="H1753" s="7"/>
      <c r="K1753" s="30"/>
    </row>
    <row r="1754" spans="1:11" s="2" customFormat="1" x14ac:dyDescent="0.25">
      <c r="A1754" s="28" t="s">
        <v>3997</v>
      </c>
      <c r="B1754" s="29">
        <v>10</v>
      </c>
      <c r="C1754" s="28"/>
      <c r="D1754" s="28" t="s">
        <v>250</v>
      </c>
      <c r="E1754" s="3"/>
      <c r="H1754" s="7"/>
      <c r="K1754" s="30"/>
    </row>
    <row r="1755" spans="1:11" s="2" customFormat="1" x14ac:dyDescent="0.25">
      <c r="A1755" s="28" t="s">
        <v>3998</v>
      </c>
      <c r="B1755" s="29">
        <v>41</v>
      </c>
      <c r="C1755" s="28"/>
      <c r="D1755" s="28" t="s">
        <v>250</v>
      </c>
      <c r="E1755" s="3"/>
      <c r="H1755" s="7"/>
      <c r="K1755" s="30"/>
    </row>
    <row r="1756" spans="1:11" s="2" customFormat="1" x14ac:dyDescent="0.25">
      <c r="A1756" s="28" t="s">
        <v>3999</v>
      </c>
      <c r="B1756" s="29">
        <v>3920</v>
      </c>
      <c r="C1756" s="28"/>
      <c r="D1756" s="28" t="s">
        <v>250</v>
      </c>
      <c r="E1756" s="3"/>
      <c r="H1756" s="7"/>
      <c r="K1756" s="30"/>
    </row>
    <row r="1757" spans="1:11" s="2" customFormat="1" x14ac:dyDescent="0.25">
      <c r="A1757" s="28" t="s">
        <v>4000</v>
      </c>
      <c r="B1757" s="29">
        <v>2</v>
      </c>
      <c r="C1757" s="28"/>
      <c r="D1757" s="28" t="s">
        <v>250</v>
      </c>
      <c r="E1757" s="3"/>
      <c r="H1757" s="7"/>
      <c r="K1757" s="30"/>
    </row>
    <row r="1758" spans="1:11" s="2" customFormat="1" x14ac:dyDescent="0.25">
      <c r="A1758" s="28" t="s">
        <v>4001</v>
      </c>
      <c r="B1758" s="29">
        <v>27</v>
      </c>
      <c r="C1758" s="28"/>
      <c r="D1758" s="28" t="s">
        <v>250</v>
      </c>
      <c r="E1758" s="3"/>
      <c r="H1758" s="7"/>
      <c r="K1758" s="30"/>
    </row>
    <row r="1759" spans="1:11" s="2" customFormat="1" x14ac:dyDescent="0.25">
      <c r="A1759" s="28" t="s">
        <v>4002</v>
      </c>
      <c r="B1759" s="29">
        <v>35</v>
      </c>
      <c r="C1759" s="28"/>
      <c r="D1759" s="28" t="s">
        <v>250</v>
      </c>
      <c r="E1759" s="3"/>
      <c r="H1759" s="7"/>
      <c r="K1759" s="30"/>
    </row>
    <row r="1760" spans="1:11" s="2" customFormat="1" x14ac:dyDescent="0.25">
      <c r="A1760" s="28" t="s">
        <v>4003</v>
      </c>
      <c r="B1760" s="29">
        <v>296</v>
      </c>
      <c r="C1760" s="28"/>
      <c r="D1760" s="28" t="s">
        <v>250</v>
      </c>
      <c r="E1760" s="3"/>
      <c r="H1760" s="7"/>
      <c r="K1760" s="30"/>
    </row>
    <row r="1761" spans="1:11" s="2" customFormat="1" x14ac:dyDescent="0.25">
      <c r="A1761" s="28" t="s">
        <v>4004</v>
      </c>
      <c r="B1761" s="29">
        <v>22</v>
      </c>
      <c r="C1761" s="28"/>
      <c r="D1761" s="28" t="s">
        <v>250</v>
      </c>
      <c r="E1761" s="3"/>
      <c r="H1761" s="7"/>
      <c r="K1761" s="30"/>
    </row>
    <row r="1762" spans="1:11" s="2" customFormat="1" x14ac:dyDescent="0.25">
      <c r="A1762" s="28" t="s">
        <v>4005</v>
      </c>
      <c r="B1762" s="29">
        <v>99</v>
      </c>
      <c r="C1762" s="28"/>
      <c r="D1762" s="28" t="s">
        <v>250</v>
      </c>
      <c r="E1762" s="3"/>
      <c r="H1762" s="7"/>
      <c r="K1762" s="30"/>
    </row>
    <row r="1763" spans="1:11" s="2" customFormat="1" x14ac:dyDescent="0.25">
      <c r="A1763" s="28" t="s">
        <v>4006</v>
      </c>
      <c r="B1763" s="29">
        <v>8</v>
      </c>
      <c r="C1763" s="28"/>
      <c r="D1763" s="28" t="s">
        <v>250</v>
      </c>
      <c r="E1763" s="3"/>
      <c r="H1763" s="7"/>
      <c r="K1763" s="30"/>
    </row>
    <row r="1764" spans="1:11" s="2" customFormat="1" x14ac:dyDescent="0.25">
      <c r="A1764" s="28" t="s">
        <v>4007</v>
      </c>
      <c r="B1764" s="29">
        <v>5</v>
      </c>
      <c r="C1764" s="28"/>
      <c r="D1764" s="28" t="s">
        <v>250</v>
      </c>
      <c r="E1764" s="3"/>
      <c r="H1764" s="7"/>
      <c r="K1764" s="30"/>
    </row>
    <row r="1765" spans="1:11" s="2" customFormat="1" x14ac:dyDescent="0.25">
      <c r="A1765" s="28" t="s">
        <v>4008</v>
      </c>
      <c r="B1765" s="29">
        <v>50</v>
      </c>
      <c r="C1765" s="28"/>
      <c r="D1765" s="28" t="s">
        <v>250</v>
      </c>
      <c r="E1765" s="3"/>
      <c r="H1765" s="7"/>
      <c r="K1765" s="30"/>
    </row>
    <row r="1766" spans="1:11" s="2" customFormat="1" x14ac:dyDescent="0.25">
      <c r="A1766" s="28" t="s">
        <v>4009</v>
      </c>
      <c r="B1766" s="29">
        <v>30</v>
      </c>
      <c r="C1766" s="28"/>
      <c r="D1766" s="28" t="s">
        <v>250</v>
      </c>
      <c r="E1766" s="3"/>
      <c r="H1766" s="7"/>
      <c r="K1766" s="30"/>
    </row>
    <row r="1767" spans="1:11" s="2" customFormat="1" x14ac:dyDescent="0.25">
      <c r="A1767" s="28" t="s">
        <v>4010</v>
      </c>
      <c r="B1767" s="29">
        <v>93</v>
      </c>
      <c r="C1767" s="28"/>
      <c r="D1767" s="28" t="s">
        <v>250</v>
      </c>
      <c r="E1767" s="3"/>
      <c r="H1767" s="7"/>
      <c r="K1767" s="30"/>
    </row>
    <row r="1768" spans="1:11" s="2" customFormat="1" x14ac:dyDescent="0.25">
      <c r="A1768" s="28" t="s">
        <v>4011</v>
      </c>
      <c r="B1768" s="29">
        <v>20</v>
      </c>
      <c r="C1768" s="28"/>
      <c r="D1768" s="28" t="s">
        <v>250</v>
      </c>
      <c r="E1768" s="3"/>
      <c r="H1768" s="7"/>
      <c r="K1768" s="30"/>
    </row>
    <row r="1769" spans="1:11" s="2" customFormat="1" x14ac:dyDescent="0.25">
      <c r="A1769" s="28" t="s">
        <v>4012</v>
      </c>
      <c r="B1769" s="29">
        <v>29</v>
      </c>
      <c r="C1769" s="28"/>
      <c r="D1769" s="28" t="s">
        <v>250</v>
      </c>
      <c r="E1769" s="3"/>
      <c r="H1769" s="7"/>
      <c r="K1769" s="30"/>
    </row>
    <row r="1770" spans="1:11" s="2" customFormat="1" x14ac:dyDescent="0.25">
      <c r="A1770" s="28" t="s">
        <v>4013</v>
      </c>
      <c r="B1770" s="29">
        <v>4</v>
      </c>
      <c r="C1770" s="28"/>
      <c r="D1770" s="28" t="s">
        <v>250</v>
      </c>
      <c r="E1770" s="3"/>
      <c r="H1770" s="7"/>
      <c r="K1770" s="30"/>
    </row>
    <row r="1771" spans="1:11" s="2" customFormat="1" x14ac:dyDescent="0.25">
      <c r="A1771" s="28" t="s">
        <v>4014</v>
      </c>
      <c r="B1771" s="29">
        <v>24</v>
      </c>
      <c r="C1771" s="28"/>
      <c r="D1771" s="28" t="s">
        <v>250</v>
      </c>
      <c r="E1771" s="3"/>
      <c r="H1771" s="7"/>
      <c r="K1771" s="30"/>
    </row>
    <row r="1772" spans="1:11" s="2" customFormat="1" x14ac:dyDescent="0.25">
      <c r="A1772" s="28" t="s">
        <v>4015</v>
      </c>
      <c r="B1772" s="29">
        <v>25</v>
      </c>
      <c r="C1772" s="28"/>
      <c r="D1772" s="28" t="s">
        <v>250</v>
      </c>
      <c r="E1772" s="3"/>
      <c r="H1772" s="7"/>
      <c r="K1772" s="30"/>
    </row>
    <row r="1773" spans="1:11" s="2" customFormat="1" x14ac:dyDescent="0.25">
      <c r="A1773" s="28" t="s">
        <v>4016</v>
      </c>
      <c r="B1773" s="29">
        <v>100</v>
      </c>
      <c r="C1773" s="28"/>
      <c r="D1773" s="28" t="s">
        <v>250</v>
      </c>
      <c r="E1773" s="3"/>
      <c r="H1773" s="7"/>
      <c r="K1773" s="30"/>
    </row>
    <row r="1774" spans="1:11" s="2" customFormat="1" x14ac:dyDescent="0.25">
      <c r="A1774" s="28" t="s">
        <v>4017</v>
      </c>
      <c r="B1774" s="29">
        <v>2</v>
      </c>
      <c r="C1774" s="28"/>
      <c r="D1774" s="28" t="s">
        <v>250</v>
      </c>
      <c r="E1774" s="3"/>
      <c r="H1774" s="7"/>
      <c r="K1774" s="30"/>
    </row>
    <row r="1775" spans="1:11" s="2" customFormat="1" x14ac:dyDescent="0.25">
      <c r="A1775" s="28" t="s">
        <v>4018</v>
      </c>
      <c r="B1775" s="29">
        <v>15</v>
      </c>
      <c r="C1775" s="28"/>
      <c r="D1775" s="28" t="s">
        <v>250</v>
      </c>
      <c r="E1775" s="3"/>
      <c r="H1775" s="7"/>
      <c r="K1775" s="30"/>
    </row>
    <row r="1776" spans="1:11" s="2" customFormat="1" x14ac:dyDescent="0.25">
      <c r="A1776" s="28" t="s">
        <v>4019</v>
      </c>
      <c r="B1776" s="29">
        <v>30</v>
      </c>
      <c r="C1776" s="28"/>
      <c r="D1776" s="28" t="s">
        <v>250</v>
      </c>
      <c r="E1776" s="3"/>
      <c r="H1776" s="7"/>
      <c r="K1776" s="30"/>
    </row>
    <row r="1777" spans="1:11" s="2" customFormat="1" x14ac:dyDescent="0.25">
      <c r="A1777" s="28" t="s">
        <v>4020</v>
      </c>
      <c r="B1777" s="29">
        <v>50</v>
      </c>
      <c r="C1777" s="28"/>
      <c r="D1777" s="28" t="s">
        <v>250</v>
      </c>
      <c r="E1777" s="3"/>
      <c r="H1777" s="7"/>
      <c r="K1777" s="30"/>
    </row>
    <row r="1778" spans="1:11" s="2" customFormat="1" x14ac:dyDescent="0.25">
      <c r="A1778" s="28" t="s">
        <v>4021</v>
      </c>
      <c r="B1778" s="29">
        <v>40</v>
      </c>
      <c r="C1778" s="28"/>
      <c r="D1778" s="28" t="s">
        <v>250</v>
      </c>
      <c r="E1778" s="3"/>
      <c r="H1778" s="7"/>
      <c r="K1778" s="30"/>
    </row>
    <row r="1779" spans="1:11" s="2" customFormat="1" x14ac:dyDescent="0.25">
      <c r="A1779" s="28" t="s">
        <v>4022</v>
      </c>
      <c r="B1779" s="29">
        <v>16</v>
      </c>
      <c r="C1779" s="28"/>
      <c r="D1779" s="28" t="s">
        <v>250</v>
      </c>
      <c r="E1779" s="3"/>
      <c r="H1779" s="7"/>
      <c r="K1779" s="30"/>
    </row>
    <row r="1780" spans="1:11" s="2" customFormat="1" x14ac:dyDescent="0.25">
      <c r="A1780" s="28" t="s">
        <v>4023</v>
      </c>
      <c r="B1780" s="29">
        <v>9</v>
      </c>
      <c r="C1780" s="28"/>
      <c r="D1780" s="28" t="s">
        <v>250</v>
      </c>
      <c r="E1780" s="3"/>
      <c r="H1780" s="7"/>
      <c r="K1780" s="30"/>
    </row>
    <row r="1781" spans="1:11" s="2" customFormat="1" x14ac:dyDescent="0.25">
      <c r="A1781" s="28" t="s">
        <v>1441</v>
      </c>
      <c r="B1781" s="29">
        <v>32</v>
      </c>
      <c r="C1781" s="28"/>
      <c r="D1781" s="28" t="s">
        <v>250</v>
      </c>
      <c r="E1781" s="3"/>
      <c r="H1781" s="7"/>
      <c r="K1781" s="30"/>
    </row>
    <row r="1782" spans="1:11" s="2" customFormat="1" x14ac:dyDescent="0.25">
      <c r="A1782" s="28" t="s">
        <v>4024</v>
      </c>
      <c r="B1782" s="29">
        <v>5</v>
      </c>
      <c r="C1782" s="28"/>
      <c r="D1782" s="28" t="s">
        <v>250</v>
      </c>
      <c r="E1782" s="3"/>
      <c r="H1782" s="7"/>
      <c r="K1782" s="30"/>
    </row>
    <row r="1783" spans="1:11" s="2" customFormat="1" x14ac:dyDescent="0.25">
      <c r="A1783" s="28" t="s">
        <v>4025</v>
      </c>
      <c r="B1783" s="29">
        <v>32</v>
      </c>
      <c r="C1783" s="28"/>
      <c r="D1783" s="28" t="s">
        <v>250</v>
      </c>
      <c r="E1783" s="3"/>
      <c r="H1783" s="7"/>
      <c r="K1783" s="30"/>
    </row>
    <row r="1784" spans="1:11" s="2" customFormat="1" x14ac:dyDescent="0.25">
      <c r="A1784" s="28" t="s">
        <v>4026</v>
      </c>
      <c r="B1784" s="29">
        <v>5</v>
      </c>
      <c r="C1784" s="28"/>
      <c r="D1784" s="28" t="s">
        <v>250</v>
      </c>
      <c r="E1784" s="3"/>
      <c r="H1784" s="7"/>
      <c r="K1784" s="30"/>
    </row>
    <row r="1785" spans="1:11" s="2" customFormat="1" x14ac:dyDescent="0.25">
      <c r="A1785" s="28" t="s">
        <v>4027</v>
      </c>
      <c r="B1785" s="29">
        <v>3</v>
      </c>
      <c r="C1785" s="28"/>
      <c r="D1785" s="28" t="s">
        <v>250</v>
      </c>
      <c r="E1785" s="3"/>
      <c r="H1785" s="7"/>
      <c r="K1785" s="30"/>
    </row>
    <row r="1786" spans="1:11" s="2" customFormat="1" x14ac:dyDescent="0.25">
      <c r="A1786" s="28" t="s">
        <v>3631</v>
      </c>
      <c r="B1786" s="29">
        <v>15</v>
      </c>
      <c r="C1786" s="28"/>
      <c r="D1786" s="28" t="s">
        <v>250</v>
      </c>
      <c r="E1786" s="3"/>
      <c r="H1786" s="7"/>
      <c r="K1786" s="30"/>
    </row>
    <row r="1787" spans="1:11" s="2" customFormat="1" x14ac:dyDescent="0.25">
      <c r="A1787" s="28" t="s">
        <v>4028</v>
      </c>
      <c r="B1787" s="29">
        <v>45</v>
      </c>
      <c r="C1787" s="28"/>
      <c r="D1787" s="28" t="s">
        <v>250</v>
      </c>
      <c r="E1787" s="3"/>
      <c r="H1787" s="7"/>
      <c r="K1787" s="30"/>
    </row>
    <row r="1788" spans="1:11" s="2" customFormat="1" x14ac:dyDescent="0.25">
      <c r="A1788" s="28" t="s">
        <v>4029</v>
      </c>
      <c r="B1788" s="29">
        <v>5</v>
      </c>
      <c r="C1788" s="28"/>
      <c r="D1788" s="28" t="s">
        <v>250</v>
      </c>
      <c r="E1788" s="3"/>
      <c r="H1788" s="7"/>
      <c r="K1788" s="30"/>
    </row>
    <row r="1789" spans="1:11" s="2" customFormat="1" x14ac:dyDescent="0.25">
      <c r="A1789" s="28" t="s">
        <v>4030</v>
      </c>
      <c r="B1789" s="29">
        <v>20</v>
      </c>
      <c r="C1789" s="28"/>
      <c r="D1789" s="28" t="s">
        <v>250</v>
      </c>
      <c r="E1789" s="3"/>
      <c r="H1789" s="7"/>
      <c r="K1789" s="30"/>
    </row>
    <row r="1790" spans="1:11" s="2" customFormat="1" x14ac:dyDescent="0.25">
      <c r="A1790" s="28" t="s">
        <v>4031</v>
      </c>
      <c r="B1790" s="29">
        <v>72</v>
      </c>
      <c r="C1790" s="28"/>
      <c r="D1790" s="28" t="s">
        <v>250</v>
      </c>
      <c r="E1790" s="3"/>
      <c r="H1790" s="7"/>
      <c r="K1790" s="30"/>
    </row>
    <row r="1791" spans="1:11" s="2" customFormat="1" x14ac:dyDescent="0.25">
      <c r="A1791" s="28" t="s">
        <v>4032</v>
      </c>
      <c r="B1791" s="29">
        <v>40</v>
      </c>
      <c r="C1791" s="28"/>
      <c r="D1791" s="28" t="s">
        <v>250</v>
      </c>
      <c r="E1791" s="3"/>
      <c r="H1791" s="7"/>
      <c r="K1791" s="30"/>
    </row>
    <row r="1792" spans="1:11" s="2" customFormat="1" x14ac:dyDescent="0.25">
      <c r="A1792" s="28" t="s">
        <v>4033</v>
      </c>
      <c r="B1792" s="29">
        <v>4</v>
      </c>
      <c r="C1792" s="28"/>
      <c r="D1792" s="28" t="s">
        <v>250</v>
      </c>
      <c r="E1792" s="3"/>
      <c r="H1792" s="7"/>
      <c r="K1792" s="30"/>
    </row>
    <row r="1793" spans="1:11" s="2" customFormat="1" x14ac:dyDescent="0.25">
      <c r="A1793" s="28" t="s">
        <v>4034</v>
      </c>
      <c r="B1793" s="29">
        <v>2</v>
      </c>
      <c r="C1793" s="28"/>
      <c r="D1793" s="28" t="s">
        <v>250</v>
      </c>
      <c r="E1793" s="3"/>
      <c r="H1793" s="7"/>
      <c r="K1793" s="30"/>
    </row>
    <row r="1794" spans="1:11" s="2" customFormat="1" x14ac:dyDescent="0.25">
      <c r="A1794" s="28" t="s">
        <v>4035</v>
      </c>
      <c r="B1794" s="29">
        <v>40</v>
      </c>
      <c r="C1794" s="28"/>
      <c r="D1794" s="28" t="s">
        <v>250</v>
      </c>
      <c r="E1794" s="3"/>
      <c r="H1794" s="7"/>
      <c r="K1794" s="30"/>
    </row>
    <row r="1795" spans="1:11" s="2" customFormat="1" x14ac:dyDescent="0.25">
      <c r="A1795" s="28" t="s">
        <v>4036</v>
      </c>
      <c r="B1795" s="29">
        <v>29</v>
      </c>
      <c r="C1795" s="28"/>
      <c r="D1795" s="28" t="s">
        <v>250</v>
      </c>
      <c r="E1795" s="3"/>
      <c r="H1795" s="7"/>
      <c r="K1795" s="30"/>
    </row>
    <row r="1796" spans="1:11" s="2" customFormat="1" x14ac:dyDescent="0.25">
      <c r="A1796" s="28" t="s">
        <v>4037</v>
      </c>
      <c r="B1796" s="29">
        <v>43</v>
      </c>
      <c r="C1796" s="28"/>
      <c r="D1796" s="28" t="s">
        <v>250</v>
      </c>
      <c r="E1796" s="3"/>
      <c r="H1796" s="7"/>
      <c r="K1796" s="30"/>
    </row>
    <row r="1797" spans="1:11" s="2" customFormat="1" x14ac:dyDescent="0.25">
      <c r="A1797" s="28" t="s">
        <v>4038</v>
      </c>
      <c r="B1797" s="29">
        <v>112</v>
      </c>
      <c r="C1797" s="28"/>
      <c r="D1797" s="28" t="s">
        <v>250</v>
      </c>
      <c r="E1797" s="3"/>
      <c r="H1797" s="7"/>
      <c r="K1797" s="30"/>
    </row>
    <row r="1798" spans="1:11" s="2" customFormat="1" x14ac:dyDescent="0.25">
      <c r="A1798" s="28" t="s">
        <v>4039</v>
      </c>
      <c r="B1798" s="29">
        <v>60</v>
      </c>
      <c r="C1798" s="28"/>
      <c r="D1798" s="28" t="s">
        <v>250</v>
      </c>
      <c r="E1798" s="3"/>
      <c r="H1798" s="7"/>
      <c r="K1798" s="30"/>
    </row>
    <row r="1799" spans="1:11" s="2" customFormat="1" x14ac:dyDescent="0.25">
      <c r="A1799" s="28" t="s">
        <v>4040</v>
      </c>
      <c r="B1799" s="29">
        <v>21</v>
      </c>
      <c r="C1799" s="28"/>
      <c r="D1799" s="28" t="s">
        <v>250</v>
      </c>
      <c r="E1799" s="3"/>
      <c r="H1799" s="7"/>
      <c r="K1799" s="30"/>
    </row>
    <row r="1800" spans="1:11" s="2" customFormat="1" x14ac:dyDescent="0.25">
      <c r="A1800" s="28" t="s">
        <v>4041</v>
      </c>
      <c r="B1800" s="29">
        <v>20</v>
      </c>
      <c r="C1800" s="28"/>
      <c r="D1800" s="28" t="s">
        <v>250</v>
      </c>
      <c r="E1800" s="3"/>
      <c r="H1800" s="7"/>
      <c r="K1800" s="30"/>
    </row>
    <row r="1801" spans="1:11" s="2" customFormat="1" x14ac:dyDescent="0.25">
      <c r="A1801" s="28" t="s">
        <v>4042</v>
      </c>
      <c r="B1801" s="29">
        <v>39</v>
      </c>
      <c r="C1801" s="28"/>
      <c r="D1801" s="28" t="s">
        <v>250</v>
      </c>
      <c r="E1801" s="3"/>
      <c r="H1801" s="7"/>
      <c r="K1801" s="30"/>
    </row>
    <row r="1802" spans="1:11" s="2" customFormat="1" x14ac:dyDescent="0.25">
      <c r="A1802" s="28" t="s">
        <v>4043</v>
      </c>
      <c r="B1802" s="29">
        <v>39</v>
      </c>
      <c r="C1802" s="28"/>
      <c r="D1802" s="28" t="s">
        <v>250</v>
      </c>
      <c r="E1802" s="3"/>
      <c r="H1802" s="7"/>
      <c r="K1802" s="30"/>
    </row>
    <row r="1803" spans="1:11" s="2" customFormat="1" x14ac:dyDescent="0.25">
      <c r="A1803" s="28" t="s">
        <v>4044</v>
      </c>
      <c r="B1803" s="29">
        <v>4</v>
      </c>
      <c r="C1803" s="28"/>
      <c r="D1803" s="28" t="s">
        <v>250</v>
      </c>
      <c r="E1803" s="3"/>
      <c r="H1803" s="7"/>
      <c r="K1803" s="30"/>
    </row>
    <row r="1804" spans="1:11" s="2" customFormat="1" x14ac:dyDescent="0.25">
      <c r="A1804" s="28" t="s">
        <v>4045</v>
      </c>
      <c r="B1804" s="29">
        <v>17</v>
      </c>
      <c r="C1804" s="28"/>
      <c r="D1804" s="28" t="s">
        <v>250</v>
      </c>
      <c r="E1804" s="3"/>
      <c r="H1804" s="7"/>
      <c r="K1804" s="30"/>
    </row>
    <row r="1805" spans="1:11" s="2" customFormat="1" x14ac:dyDescent="0.25">
      <c r="A1805" s="28" t="s">
        <v>4046</v>
      </c>
      <c r="B1805" s="29">
        <v>48</v>
      </c>
      <c r="C1805" s="28"/>
      <c r="D1805" s="28" t="s">
        <v>250</v>
      </c>
      <c r="E1805" s="3"/>
      <c r="H1805" s="7"/>
      <c r="K1805" s="30"/>
    </row>
    <row r="1806" spans="1:11" s="2" customFormat="1" x14ac:dyDescent="0.25">
      <c r="A1806" s="28" t="s">
        <v>4047</v>
      </c>
      <c r="B1806" s="29">
        <v>2</v>
      </c>
      <c r="C1806" s="28"/>
      <c r="D1806" s="28" t="s">
        <v>250</v>
      </c>
      <c r="E1806" s="3"/>
      <c r="H1806" s="7"/>
      <c r="K1806" s="30"/>
    </row>
    <row r="1807" spans="1:11" s="2" customFormat="1" x14ac:dyDescent="0.25">
      <c r="A1807" s="28" t="s">
        <v>4048</v>
      </c>
      <c r="B1807" s="29">
        <v>91</v>
      </c>
      <c r="C1807" s="28"/>
      <c r="D1807" s="28" t="s">
        <v>250</v>
      </c>
      <c r="E1807" s="3"/>
      <c r="H1807" s="7"/>
      <c r="K1807" s="30"/>
    </row>
    <row r="1808" spans="1:11" s="2" customFormat="1" x14ac:dyDescent="0.25">
      <c r="A1808" s="28" t="s">
        <v>4049</v>
      </c>
      <c r="B1808" s="29">
        <v>14</v>
      </c>
      <c r="C1808" s="28"/>
      <c r="D1808" s="28" t="s">
        <v>250</v>
      </c>
      <c r="E1808" s="3"/>
      <c r="H1808" s="7"/>
      <c r="K1808" s="30"/>
    </row>
    <row r="1809" spans="1:11" s="2" customFormat="1" x14ac:dyDescent="0.25">
      <c r="A1809" s="28" t="s">
        <v>4050</v>
      </c>
      <c r="B1809" s="29">
        <v>4</v>
      </c>
      <c r="C1809" s="28"/>
      <c r="D1809" s="28" t="s">
        <v>250</v>
      </c>
      <c r="E1809" s="3"/>
      <c r="H1809" s="7"/>
      <c r="K1809" s="30"/>
    </row>
    <row r="1810" spans="1:11" s="2" customFormat="1" x14ac:dyDescent="0.25">
      <c r="A1810" s="28" t="s">
        <v>4051</v>
      </c>
      <c r="B1810" s="29">
        <v>41</v>
      </c>
      <c r="C1810" s="28"/>
      <c r="D1810" s="28" t="s">
        <v>250</v>
      </c>
      <c r="E1810" s="3"/>
      <c r="H1810" s="7"/>
      <c r="K1810" s="30"/>
    </row>
    <row r="1811" spans="1:11" s="2" customFormat="1" x14ac:dyDescent="0.25">
      <c r="A1811" s="28" t="s">
        <v>4052</v>
      </c>
      <c r="B1811" s="29">
        <v>32</v>
      </c>
      <c r="C1811" s="28"/>
      <c r="D1811" s="28" t="s">
        <v>250</v>
      </c>
      <c r="E1811" s="3"/>
      <c r="H1811" s="7"/>
      <c r="K1811" s="30"/>
    </row>
    <row r="1812" spans="1:11" s="2" customFormat="1" x14ac:dyDescent="0.25">
      <c r="A1812" s="28" t="s">
        <v>4053</v>
      </c>
      <c r="B1812" s="29">
        <v>44</v>
      </c>
      <c r="C1812" s="28"/>
      <c r="D1812" s="28" t="s">
        <v>250</v>
      </c>
      <c r="E1812" s="3"/>
      <c r="H1812" s="7"/>
      <c r="K1812" s="30"/>
    </row>
    <row r="1813" spans="1:11" s="2" customFormat="1" x14ac:dyDescent="0.25">
      <c r="A1813" s="28" t="s">
        <v>4054</v>
      </c>
      <c r="B1813" s="29">
        <v>15</v>
      </c>
      <c r="C1813" s="28"/>
      <c r="D1813" s="28" t="s">
        <v>250</v>
      </c>
      <c r="E1813" s="3"/>
      <c r="H1813" s="7"/>
      <c r="K1813" s="30"/>
    </row>
    <row r="1814" spans="1:11" s="2" customFormat="1" x14ac:dyDescent="0.25">
      <c r="A1814" s="28" t="s">
        <v>4055</v>
      </c>
      <c r="B1814" s="29">
        <v>20</v>
      </c>
      <c r="C1814" s="28"/>
      <c r="D1814" s="28" t="s">
        <v>250</v>
      </c>
      <c r="E1814" s="3"/>
      <c r="H1814" s="7"/>
      <c r="K1814" s="30"/>
    </row>
    <row r="1815" spans="1:11" s="2" customFormat="1" x14ac:dyDescent="0.25">
      <c r="A1815" s="28" t="s">
        <v>4056</v>
      </c>
      <c r="B1815" s="29">
        <v>44</v>
      </c>
      <c r="C1815" s="28"/>
      <c r="D1815" s="28" t="s">
        <v>250</v>
      </c>
      <c r="E1815" s="3"/>
      <c r="H1815" s="7"/>
      <c r="K1815" s="30"/>
    </row>
    <row r="1816" spans="1:11" s="2" customFormat="1" x14ac:dyDescent="0.25">
      <c r="A1816" s="28" t="s">
        <v>4057</v>
      </c>
      <c r="B1816" s="29">
        <v>50</v>
      </c>
      <c r="C1816" s="28"/>
      <c r="D1816" s="28" t="s">
        <v>250</v>
      </c>
      <c r="E1816" s="3"/>
      <c r="H1816" s="7"/>
      <c r="K1816" s="30"/>
    </row>
    <row r="1817" spans="1:11" s="2" customFormat="1" x14ac:dyDescent="0.25">
      <c r="A1817" s="28" t="s">
        <v>4058</v>
      </c>
      <c r="B1817" s="29">
        <v>7</v>
      </c>
      <c r="C1817" s="28"/>
      <c r="D1817" s="28" t="s">
        <v>250</v>
      </c>
      <c r="E1817" s="3"/>
      <c r="H1817" s="7"/>
      <c r="K1817" s="30"/>
    </row>
    <row r="1818" spans="1:11" s="2" customFormat="1" x14ac:dyDescent="0.25">
      <c r="A1818" s="28" t="s">
        <v>4059</v>
      </c>
      <c r="B1818" s="29">
        <v>20</v>
      </c>
      <c r="C1818" s="28"/>
      <c r="D1818" s="28" t="s">
        <v>250</v>
      </c>
      <c r="E1818" s="3"/>
      <c r="H1818" s="7"/>
      <c r="K1818" s="30"/>
    </row>
    <row r="1819" spans="1:11" s="2" customFormat="1" x14ac:dyDescent="0.25">
      <c r="A1819" s="28" t="s">
        <v>4060</v>
      </c>
      <c r="B1819" s="29">
        <v>28</v>
      </c>
      <c r="C1819" s="28"/>
      <c r="D1819" s="28" t="s">
        <v>250</v>
      </c>
      <c r="E1819" s="3"/>
      <c r="H1819" s="7"/>
      <c r="K1819" s="30"/>
    </row>
    <row r="1820" spans="1:11" s="2" customFormat="1" x14ac:dyDescent="0.25">
      <c r="A1820" s="28" t="s">
        <v>4061</v>
      </c>
      <c r="B1820" s="29">
        <v>33</v>
      </c>
      <c r="C1820" s="28"/>
      <c r="D1820" s="28" t="s">
        <v>250</v>
      </c>
      <c r="E1820" s="3"/>
      <c r="H1820" s="7"/>
      <c r="K1820" s="30"/>
    </row>
    <row r="1821" spans="1:11" s="2" customFormat="1" x14ac:dyDescent="0.25">
      <c r="A1821" s="28" t="s">
        <v>4062</v>
      </c>
      <c r="B1821" s="29">
        <v>1</v>
      </c>
      <c r="C1821" s="28"/>
      <c r="D1821" s="28" t="s">
        <v>250</v>
      </c>
      <c r="E1821" s="3"/>
      <c r="H1821" s="7"/>
      <c r="K1821" s="30"/>
    </row>
    <row r="1822" spans="1:11" s="2" customFormat="1" x14ac:dyDescent="0.25">
      <c r="A1822" s="28" t="s">
        <v>4063</v>
      </c>
      <c r="B1822" s="29">
        <v>13</v>
      </c>
      <c r="C1822" s="28"/>
      <c r="D1822" s="28" t="s">
        <v>250</v>
      </c>
      <c r="E1822" s="3"/>
      <c r="H1822" s="7"/>
      <c r="K1822" s="30"/>
    </row>
    <row r="1823" spans="1:11" s="2" customFormat="1" x14ac:dyDescent="0.25">
      <c r="A1823" s="28" t="s">
        <v>4064</v>
      </c>
      <c r="B1823" s="29">
        <v>38</v>
      </c>
      <c r="C1823" s="28"/>
      <c r="D1823" s="28" t="s">
        <v>250</v>
      </c>
      <c r="E1823" s="3"/>
      <c r="H1823" s="7"/>
      <c r="K1823" s="30"/>
    </row>
    <row r="1824" spans="1:11" s="2" customFormat="1" x14ac:dyDescent="0.25">
      <c r="A1824" s="28" t="s">
        <v>4065</v>
      </c>
      <c r="B1824" s="29">
        <v>4</v>
      </c>
      <c r="C1824" s="28"/>
      <c r="D1824" s="28" t="s">
        <v>250</v>
      </c>
      <c r="E1824" s="3"/>
      <c r="H1824" s="7"/>
      <c r="K1824" s="30"/>
    </row>
    <row r="1825" spans="1:11" s="2" customFormat="1" x14ac:dyDescent="0.25">
      <c r="A1825" s="28" t="s">
        <v>4066</v>
      </c>
      <c r="B1825" s="29">
        <v>1</v>
      </c>
      <c r="C1825" s="28"/>
      <c r="D1825" s="28" t="s">
        <v>250</v>
      </c>
      <c r="E1825" s="3"/>
      <c r="H1825" s="7"/>
      <c r="K1825" s="30"/>
    </row>
    <row r="1826" spans="1:11" s="2" customFormat="1" x14ac:dyDescent="0.25">
      <c r="A1826" s="28" t="s">
        <v>4067</v>
      </c>
      <c r="B1826" s="29">
        <v>20</v>
      </c>
      <c r="C1826" s="28"/>
      <c r="D1826" s="28" t="s">
        <v>250</v>
      </c>
      <c r="E1826" s="3"/>
      <c r="H1826" s="7"/>
      <c r="K1826" s="30"/>
    </row>
    <row r="1827" spans="1:11" s="2" customFormat="1" x14ac:dyDescent="0.25">
      <c r="A1827" s="28" t="s">
        <v>4068</v>
      </c>
      <c r="B1827" s="29">
        <v>1</v>
      </c>
      <c r="C1827" s="28"/>
      <c r="D1827" s="28" t="s">
        <v>250</v>
      </c>
      <c r="E1827" s="3"/>
      <c r="H1827" s="7"/>
      <c r="K1827" s="30"/>
    </row>
    <row r="1828" spans="1:11" s="2" customFormat="1" x14ac:dyDescent="0.25">
      <c r="A1828" s="28" t="s">
        <v>4069</v>
      </c>
      <c r="B1828" s="29">
        <v>13</v>
      </c>
      <c r="C1828" s="28"/>
      <c r="D1828" s="28" t="s">
        <v>250</v>
      </c>
      <c r="E1828" s="3"/>
      <c r="H1828" s="7"/>
      <c r="K1828" s="30"/>
    </row>
    <row r="1829" spans="1:11" s="2" customFormat="1" x14ac:dyDescent="0.25">
      <c r="A1829" s="28" t="s">
        <v>4070</v>
      </c>
      <c r="B1829" s="29">
        <v>15</v>
      </c>
      <c r="C1829" s="28"/>
      <c r="D1829" s="28" t="s">
        <v>250</v>
      </c>
      <c r="E1829" s="3"/>
      <c r="H1829" s="7"/>
      <c r="K1829" s="30"/>
    </row>
    <row r="1830" spans="1:11" s="2" customFormat="1" x14ac:dyDescent="0.25">
      <c r="A1830" s="28" t="s">
        <v>4071</v>
      </c>
      <c r="B1830" s="29">
        <v>18</v>
      </c>
      <c r="C1830" s="28"/>
      <c r="D1830" s="28" t="s">
        <v>250</v>
      </c>
      <c r="E1830" s="3"/>
      <c r="H1830" s="7"/>
      <c r="K1830" s="30"/>
    </row>
    <row r="1831" spans="1:11" s="2" customFormat="1" x14ac:dyDescent="0.25">
      <c r="A1831" s="28" t="s">
        <v>4072</v>
      </c>
      <c r="B1831" s="29">
        <v>30</v>
      </c>
      <c r="C1831" s="28"/>
      <c r="D1831" s="28" t="s">
        <v>250</v>
      </c>
      <c r="E1831" s="3"/>
      <c r="H1831" s="7"/>
      <c r="K1831" s="30"/>
    </row>
    <row r="1832" spans="1:11" s="2" customFormat="1" x14ac:dyDescent="0.25">
      <c r="A1832" s="28" t="s">
        <v>4073</v>
      </c>
      <c r="B1832" s="29">
        <v>48</v>
      </c>
      <c r="C1832" s="28"/>
      <c r="D1832" s="28" t="s">
        <v>250</v>
      </c>
      <c r="E1832" s="3"/>
      <c r="H1832" s="7"/>
      <c r="K1832" s="30"/>
    </row>
    <row r="1833" spans="1:11" s="2" customFormat="1" x14ac:dyDescent="0.25">
      <c r="A1833" s="28" t="s">
        <v>4074</v>
      </c>
      <c r="B1833" s="29">
        <v>24</v>
      </c>
      <c r="C1833" s="28"/>
      <c r="D1833" s="28" t="s">
        <v>250</v>
      </c>
      <c r="E1833" s="3"/>
      <c r="H1833" s="7"/>
      <c r="K1833" s="30"/>
    </row>
    <row r="1834" spans="1:11" s="2" customFormat="1" x14ac:dyDescent="0.25">
      <c r="A1834" s="28" t="s">
        <v>4075</v>
      </c>
      <c r="B1834" s="29">
        <v>42</v>
      </c>
      <c r="C1834" s="28"/>
      <c r="D1834" s="28" t="s">
        <v>250</v>
      </c>
      <c r="E1834" s="3"/>
      <c r="H1834" s="7"/>
      <c r="K1834" s="30"/>
    </row>
    <row r="1835" spans="1:11" s="2" customFormat="1" x14ac:dyDescent="0.25">
      <c r="A1835" s="28" t="s">
        <v>4076</v>
      </c>
      <c r="B1835" s="29">
        <v>4</v>
      </c>
      <c r="C1835" s="28"/>
      <c r="D1835" s="28" t="s">
        <v>250</v>
      </c>
      <c r="E1835" s="3"/>
      <c r="H1835" s="7"/>
      <c r="K1835" s="30"/>
    </row>
    <row r="1836" spans="1:11" s="2" customFormat="1" x14ac:dyDescent="0.25">
      <c r="A1836" s="28" t="s">
        <v>4077</v>
      </c>
      <c r="B1836" s="29">
        <v>2</v>
      </c>
      <c r="C1836" s="28"/>
      <c r="D1836" s="28" t="s">
        <v>250</v>
      </c>
      <c r="E1836" s="3"/>
      <c r="H1836" s="7"/>
      <c r="K1836" s="30"/>
    </row>
    <row r="1837" spans="1:11" s="2" customFormat="1" x14ac:dyDescent="0.25">
      <c r="A1837" s="28" t="s">
        <v>4078</v>
      </c>
      <c r="B1837" s="29">
        <v>6</v>
      </c>
      <c r="C1837" s="28"/>
      <c r="D1837" s="28" t="s">
        <v>250</v>
      </c>
      <c r="E1837" s="3"/>
      <c r="H1837" s="7"/>
      <c r="K1837" s="30"/>
    </row>
    <row r="1838" spans="1:11" s="2" customFormat="1" x14ac:dyDescent="0.25">
      <c r="A1838" s="28" t="s">
        <v>4079</v>
      </c>
      <c r="B1838" s="29">
        <v>7</v>
      </c>
      <c r="C1838" s="28"/>
      <c r="D1838" s="28" t="s">
        <v>250</v>
      </c>
      <c r="E1838" s="3"/>
      <c r="H1838" s="7"/>
      <c r="K1838" s="30"/>
    </row>
    <row r="1839" spans="1:11" s="2" customFormat="1" x14ac:dyDescent="0.25">
      <c r="A1839" s="28" t="s">
        <v>4080</v>
      </c>
      <c r="B1839" s="29">
        <v>4</v>
      </c>
      <c r="C1839" s="28"/>
      <c r="D1839" s="28" t="s">
        <v>4081</v>
      </c>
      <c r="E1839" s="3"/>
      <c r="H1839" s="7"/>
      <c r="K1839" s="30"/>
    </row>
    <row r="1840" spans="1:11" s="2" customFormat="1" x14ac:dyDescent="0.25">
      <c r="A1840" s="28" t="s">
        <v>4082</v>
      </c>
      <c r="B1840" s="29">
        <v>821</v>
      </c>
      <c r="C1840" s="28"/>
      <c r="D1840" s="28" t="s">
        <v>76</v>
      </c>
      <c r="E1840" s="3"/>
      <c r="H1840" s="7"/>
      <c r="K1840" s="30"/>
    </row>
    <row r="1841" spans="1:11" s="2" customFormat="1" x14ac:dyDescent="0.25">
      <c r="A1841" s="28" t="s">
        <v>4083</v>
      </c>
      <c r="B1841" s="29">
        <v>636</v>
      </c>
      <c r="C1841" s="28"/>
      <c r="D1841" s="28" t="s">
        <v>76</v>
      </c>
      <c r="E1841" s="3"/>
      <c r="H1841" s="7"/>
      <c r="K1841" s="30"/>
    </row>
    <row r="1842" spans="1:11" s="2" customFormat="1" x14ac:dyDescent="0.25">
      <c r="A1842" s="28" t="s">
        <v>4084</v>
      </c>
      <c r="B1842" s="29">
        <v>10</v>
      </c>
      <c r="C1842" s="28"/>
      <c r="D1842" s="28" t="s">
        <v>76</v>
      </c>
      <c r="E1842" s="3"/>
      <c r="H1842" s="7"/>
      <c r="K1842" s="30"/>
    </row>
    <row r="1843" spans="1:11" s="2" customFormat="1" x14ac:dyDescent="0.25">
      <c r="A1843" s="28" t="s">
        <v>4085</v>
      </c>
      <c r="B1843" s="29">
        <v>210</v>
      </c>
      <c r="C1843" s="28"/>
      <c r="D1843" s="28" t="s">
        <v>76</v>
      </c>
      <c r="E1843" s="3"/>
      <c r="H1843" s="7"/>
      <c r="K1843" s="30"/>
    </row>
    <row r="1844" spans="1:11" s="2" customFormat="1" x14ac:dyDescent="0.25">
      <c r="A1844" s="28" t="s">
        <v>4086</v>
      </c>
      <c r="B1844" s="29">
        <v>30</v>
      </c>
      <c r="C1844" s="28"/>
      <c r="D1844" s="28" t="s">
        <v>76</v>
      </c>
      <c r="E1844" s="3"/>
      <c r="H1844" s="7"/>
      <c r="K1844" s="30"/>
    </row>
    <row r="1845" spans="1:11" s="2" customFormat="1" x14ac:dyDescent="0.25">
      <c r="A1845" s="28" t="s">
        <v>4087</v>
      </c>
      <c r="B1845" s="29">
        <v>64406</v>
      </c>
      <c r="C1845" s="28"/>
      <c r="D1845" s="28" t="s">
        <v>76</v>
      </c>
      <c r="E1845" s="3"/>
      <c r="H1845" s="7"/>
      <c r="K1845" s="30"/>
    </row>
    <row r="1846" spans="1:11" s="2" customFormat="1" x14ac:dyDescent="0.25">
      <c r="A1846" s="28" t="s">
        <v>4088</v>
      </c>
      <c r="B1846" s="29">
        <v>97</v>
      </c>
      <c r="C1846" s="28"/>
      <c r="D1846" s="28" t="s">
        <v>76</v>
      </c>
      <c r="E1846" s="3"/>
      <c r="H1846" s="7"/>
      <c r="K1846" s="30"/>
    </row>
    <row r="1847" spans="1:11" s="2" customFormat="1" x14ac:dyDescent="0.25">
      <c r="A1847" s="28" t="s">
        <v>4089</v>
      </c>
      <c r="B1847" s="29">
        <v>15</v>
      </c>
      <c r="C1847" s="28"/>
      <c r="D1847" s="28" t="s">
        <v>76</v>
      </c>
      <c r="E1847" s="3"/>
      <c r="H1847" s="7"/>
      <c r="K1847" s="30"/>
    </row>
    <row r="1848" spans="1:11" s="2" customFormat="1" x14ac:dyDescent="0.25">
      <c r="A1848" s="28" t="s">
        <v>4090</v>
      </c>
      <c r="B1848" s="29">
        <v>5</v>
      </c>
      <c r="C1848" s="28"/>
      <c r="D1848" s="28" t="s">
        <v>76</v>
      </c>
      <c r="E1848" s="3"/>
      <c r="H1848" s="7"/>
      <c r="K1848" s="30"/>
    </row>
    <row r="1849" spans="1:11" s="2" customFormat="1" x14ac:dyDescent="0.25">
      <c r="A1849" s="28" t="s">
        <v>4091</v>
      </c>
      <c r="B1849" s="29">
        <v>10510</v>
      </c>
      <c r="C1849" s="28"/>
      <c r="D1849" s="28" t="s">
        <v>76</v>
      </c>
      <c r="E1849" s="3"/>
      <c r="H1849" s="7"/>
      <c r="K1849" s="30"/>
    </row>
    <row r="1850" spans="1:11" s="2" customFormat="1" x14ac:dyDescent="0.25">
      <c r="A1850" s="28" t="s">
        <v>4092</v>
      </c>
      <c r="B1850" s="29">
        <v>2241</v>
      </c>
      <c r="C1850" s="28"/>
      <c r="D1850" s="28" t="s">
        <v>76</v>
      </c>
      <c r="E1850" s="3"/>
      <c r="H1850" s="7"/>
      <c r="K1850" s="30"/>
    </row>
    <row r="1851" spans="1:11" s="2" customFormat="1" x14ac:dyDescent="0.25">
      <c r="A1851" s="28" t="s">
        <v>4093</v>
      </c>
      <c r="B1851" s="29">
        <v>25</v>
      </c>
      <c r="C1851" s="28"/>
      <c r="D1851" s="28" t="s">
        <v>76</v>
      </c>
      <c r="E1851" s="3"/>
      <c r="H1851" s="7"/>
      <c r="K1851" s="30"/>
    </row>
    <row r="1852" spans="1:11" s="2" customFormat="1" x14ac:dyDescent="0.25">
      <c r="A1852" s="28" t="s">
        <v>4094</v>
      </c>
      <c r="B1852" s="29">
        <v>10</v>
      </c>
      <c r="C1852" s="28"/>
      <c r="D1852" s="28" t="s">
        <v>76</v>
      </c>
      <c r="E1852" s="3"/>
      <c r="H1852" s="7"/>
      <c r="K1852" s="30"/>
    </row>
    <row r="1853" spans="1:11" s="2" customFormat="1" x14ac:dyDescent="0.25">
      <c r="A1853" s="28" t="s">
        <v>4095</v>
      </c>
      <c r="B1853" s="29">
        <v>15</v>
      </c>
      <c r="C1853" s="28"/>
      <c r="D1853" s="28" t="s">
        <v>76</v>
      </c>
      <c r="E1853" s="3"/>
      <c r="H1853" s="7"/>
      <c r="K1853" s="30"/>
    </row>
    <row r="1854" spans="1:11" s="2" customFormat="1" x14ac:dyDescent="0.25">
      <c r="A1854" s="28" t="s">
        <v>4096</v>
      </c>
      <c r="B1854" s="29">
        <v>30</v>
      </c>
      <c r="C1854" s="28"/>
      <c r="D1854" s="28" t="s">
        <v>76</v>
      </c>
      <c r="E1854" s="3"/>
      <c r="H1854" s="7"/>
      <c r="K1854" s="30"/>
    </row>
    <row r="1855" spans="1:11" s="2" customFormat="1" x14ac:dyDescent="0.25">
      <c r="A1855" s="28" t="s">
        <v>4097</v>
      </c>
      <c r="B1855" s="29">
        <v>35</v>
      </c>
      <c r="C1855" s="28"/>
      <c r="D1855" s="28" t="s">
        <v>76</v>
      </c>
      <c r="E1855" s="3"/>
      <c r="H1855" s="7"/>
      <c r="K1855" s="30"/>
    </row>
    <row r="1856" spans="1:11" s="2" customFormat="1" x14ac:dyDescent="0.25">
      <c r="A1856" s="28" t="s">
        <v>4098</v>
      </c>
      <c r="B1856" s="29">
        <v>90</v>
      </c>
      <c r="C1856" s="28"/>
      <c r="D1856" s="28" t="s">
        <v>76</v>
      </c>
      <c r="E1856" s="3"/>
      <c r="H1856" s="7"/>
      <c r="K1856" s="30"/>
    </row>
    <row r="1857" spans="1:11" s="2" customFormat="1" x14ac:dyDescent="0.25">
      <c r="A1857" s="28" t="s">
        <v>4099</v>
      </c>
      <c r="B1857" s="29">
        <v>5</v>
      </c>
      <c r="C1857" s="28"/>
      <c r="D1857" s="28" t="s">
        <v>76</v>
      </c>
      <c r="E1857" s="3"/>
      <c r="H1857" s="7"/>
      <c r="K1857" s="30"/>
    </row>
    <row r="1858" spans="1:11" s="2" customFormat="1" x14ac:dyDescent="0.25">
      <c r="A1858" s="28" t="s">
        <v>4100</v>
      </c>
      <c r="B1858" s="29">
        <v>87</v>
      </c>
      <c r="C1858" s="28"/>
      <c r="D1858" s="28" t="s">
        <v>76</v>
      </c>
      <c r="E1858" s="3"/>
      <c r="H1858" s="7"/>
      <c r="K1858" s="30"/>
    </row>
    <row r="1859" spans="1:11" s="2" customFormat="1" x14ac:dyDescent="0.25">
      <c r="A1859" s="28" t="s">
        <v>4101</v>
      </c>
      <c r="B1859" s="29">
        <v>64</v>
      </c>
      <c r="C1859" s="28"/>
      <c r="D1859" s="28" t="s">
        <v>76</v>
      </c>
      <c r="E1859" s="3"/>
      <c r="H1859" s="7"/>
      <c r="K1859" s="30"/>
    </row>
    <row r="1860" spans="1:11" s="2" customFormat="1" x14ac:dyDescent="0.25">
      <c r="A1860" s="28" t="s">
        <v>4102</v>
      </c>
      <c r="B1860" s="29">
        <v>130</v>
      </c>
      <c r="C1860" s="28"/>
      <c r="D1860" s="28" t="s">
        <v>76</v>
      </c>
      <c r="E1860" s="3"/>
      <c r="H1860" s="7"/>
      <c r="K1860" s="30"/>
    </row>
    <row r="1861" spans="1:11" s="2" customFormat="1" x14ac:dyDescent="0.25">
      <c r="A1861" s="28" t="s">
        <v>4103</v>
      </c>
      <c r="B1861" s="29">
        <v>4</v>
      </c>
      <c r="C1861" s="28"/>
      <c r="D1861" s="28" t="s">
        <v>76</v>
      </c>
      <c r="E1861" s="3"/>
      <c r="H1861" s="7"/>
      <c r="K1861" s="30"/>
    </row>
    <row r="1862" spans="1:11" s="2" customFormat="1" x14ac:dyDescent="0.25">
      <c r="A1862" s="28" t="s">
        <v>4104</v>
      </c>
      <c r="B1862" s="29">
        <v>26</v>
      </c>
      <c r="C1862" s="28"/>
      <c r="D1862" s="28" t="s">
        <v>76</v>
      </c>
      <c r="E1862" s="3"/>
      <c r="H1862" s="7"/>
      <c r="K1862" s="30"/>
    </row>
    <row r="1863" spans="1:11" s="2" customFormat="1" x14ac:dyDescent="0.25">
      <c r="A1863" s="28" t="s">
        <v>4105</v>
      </c>
      <c r="B1863" s="29">
        <v>164</v>
      </c>
      <c r="C1863" s="28"/>
      <c r="D1863" s="28" t="s">
        <v>76</v>
      </c>
      <c r="E1863" s="3"/>
      <c r="H1863" s="7"/>
      <c r="K1863" s="30"/>
    </row>
    <row r="1864" spans="1:11" s="2" customFormat="1" x14ac:dyDescent="0.25">
      <c r="A1864" s="28" t="s">
        <v>4106</v>
      </c>
      <c r="B1864" s="29">
        <v>13</v>
      </c>
      <c r="C1864" s="28"/>
      <c r="D1864" s="28" t="s">
        <v>76</v>
      </c>
      <c r="E1864" s="3"/>
      <c r="H1864" s="7"/>
      <c r="K1864" s="30"/>
    </row>
    <row r="1865" spans="1:11" s="2" customFormat="1" x14ac:dyDescent="0.25">
      <c r="A1865" s="28" t="s">
        <v>4107</v>
      </c>
      <c r="B1865" s="29">
        <v>34</v>
      </c>
      <c r="C1865" s="28"/>
      <c r="D1865" s="28" t="s">
        <v>76</v>
      </c>
      <c r="E1865" s="3"/>
      <c r="H1865" s="7"/>
      <c r="K1865" s="30"/>
    </row>
    <row r="1866" spans="1:11" s="2" customFormat="1" x14ac:dyDescent="0.25">
      <c r="A1866" s="28" t="s">
        <v>4108</v>
      </c>
      <c r="B1866" s="29">
        <v>8</v>
      </c>
      <c r="C1866" s="28"/>
      <c r="D1866" s="28" t="s">
        <v>76</v>
      </c>
      <c r="E1866" s="3"/>
      <c r="H1866" s="7"/>
      <c r="K1866" s="30"/>
    </row>
    <row r="1867" spans="1:11" s="2" customFormat="1" x14ac:dyDescent="0.25">
      <c r="A1867" s="28" t="s">
        <v>4109</v>
      </c>
      <c r="B1867" s="29">
        <v>7</v>
      </c>
      <c r="C1867" s="28"/>
      <c r="D1867" s="28" t="s">
        <v>76</v>
      </c>
      <c r="E1867" s="3"/>
      <c r="H1867" s="7"/>
      <c r="K1867" s="30"/>
    </row>
    <row r="1868" spans="1:11" s="2" customFormat="1" x14ac:dyDescent="0.25">
      <c r="A1868" s="28" t="s">
        <v>4110</v>
      </c>
      <c r="B1868" s="29">
        <v>56</v>
      </c>
      <c r="C1868" s="28"/>
      <c r="D1868" s="28" t="s">
        <v>76</v>
      </c>
      <c r="E1868" s="3"/>
      <c r="H1868" s="7"/>
      <c r="K1868" s="30"/>
    </row>
    <row r="1869" spans="1:11" s="2" customFormat="1" x14ac:dyDescent="0.25">
      <c r="A1869" s="28" t="s">
        <v>4111</v>
      </c>
      <c r="B1869" s="29">
        <v>81</v>
      </c>
      <c r="C1869" s="28"/>
      <c r="D1869" s="28" t="s">
        <v>76</v>
      </c>
      <c r="E1869" s="3"/>
      <c r="H1869" s="7"/>
      <c r="K1869" s="30"/>
    </row>
    <row r="1870" spans="1:11" s="2" customFormat="1" x14ac:dyDescent="0.25">
      <c r="A1870" s="28" t="s">
        <v>4112</v>
      </c>
      <c r="B1870" s="29">
        <v>100</v>
      </c>
      <c r="C1870" s="28"/>
      <c r="D1870" s="28" t="s">
        <v>76</v>
      </c>
      <c r="E1870" s="3"/>
      <c r="H1870" s="7"/>
      <c r="K1870" s="30"/>
    </row>
    <row r="1871" spans="1:11" s="2" customFormat="1" x14ac:dyDescent="0.25">
      <c r="A1871" s="28" t="s">
        <v>4113</v>
      </c>
      <c r="B1871" s="29">
        <v>12</v>
      </c>
      <c r="C1871" s="28"/>
      <c r="D1871" s="28" t="s">
        <v>76</v>
      </c>
      <c r="E1871" s="3"/>
      <c r="H1871" s="7"/>
      <c r="K1871" s="30"/>
    </row>
    <row r="1872" spans="1:11" s="2" customFormat="1" x14ac:dyDescent="0.25">
      <c r="A1872" s="28" t="s">
        <v>4114</v>
      </c>
      <c r="B1872" s="29">
        <v>72</v>
      </c>
      <c r="C1872" s="28"/>
      <c r="D1872" s="28" t="s">
        <v>76</v>
      </c>
      <c r="E1872" s="3"/>
      <c r="H1872" s="7"/>
      <c r="K1872" s="30"/>
    </row>
    <row r="1873" spans="1:11" s="2" customFormat="1" x14ac:dyDescent="0.25">
      <c r="A1873" s="28" t="s">
        <v>4115</v>
      </c>
      <c r="B1873" s="29">
        <v>95</v>
      </c>
      <c r="C1873" s="28"/>
      <c r="D1873" s="28" t="s">
        <v>76</v>
      </c>
      <c r="E1873" s="3"/>
      <c r="H1873" s="7"/>
      <c r="K1873" s="30"/>
    </row>
    <row r="1874" spans="1:11" s="2" customFormat="1" x14ac:dyDescent="0.25">
      <c r="A1874" s="28" t="s">
        <v>4116</v>
      </c>
      <c r="B1874" s="29">
        <v>20</v>
      </c>
      <c r="C1874" s="28"/>
      <c r="D1874" s="28" t="s">
        <v>76</v>
      </c>
      <c r="E1874" s="3"/>
      <c r="H1874" s="7"/>
      <c r="K1874" s="30"/>
    </row>
    <row r="1875" spans="1:11" s="2" customFormat="1" x14ac:dyDescent="0.25">
      <c r="A1875" s="28" t="s">
        <v>4117</v>
      </c>
      <c r="B1875" s="29">
        <v>86</v>
      </c>
      <c r="C1875" s="28"/>
      <c r="D1875" s="28" t="s">
        <v>76</v>
      </c>
      <c r="E1875" s="3"/>
      <c r="H1875" s="7"/>
      <c r="K1875" s="30"/>
    </row>
    <row r="1876" spans="1:11" s="2" customFormat="1" x14ac:dyDescent="0.25">
      <c r="A1876" s="28" t="s">
        <v>4118</v>
      </c>
      <c r="B1876" s="29">
        <v>82</v>
      </c>
      <c r="C1876" s="28"/>
      <c r="D1876" s="28" t="s">
        <v>76</v>
      </c>
      <c r="E1876" s="3"/>
      <c r="H1876" s="7"/>
      <c r="K1876" s="30"/>
    </row>
    <row r="1877" spans="1:11" s="2" customFormat="1" x14ac:dyDescent="0.25">
      <c r="A1877" s="28" t="s">
        <v>4119</v>
      </c>
      <c r="B1877" s="29">
        <v>88</v>
      </c>
      <c r="C1877" s="28"/>
      <c r="D1877" s="28" t="s">
        <v>76</v>
      </c>
      <c r="E1877" s="3"/>
      <c r="H1877" s="7"/>
      <c r="K1877" s="30"/>
    </row>
    <row r="1878" spans="1:11" s="2" customFormat="1" x14ac:dyDescent="0.25">
      <c r="A1878" s="28" t="s">
        <v>4120</v>
      </c>
      <c r="B1878" s="29">
        <v>72</v>
      </c>
      <c r="C1878" s="28"/>
      <c r="D1878" s="28" t="s">
        <v>76</v>
      </c>
      <c r="E1878" s="3"/>
      <c r="H1878" s="7"/>
      <c r="K1878" s="30"/>
    </row>
    <row r="1879" spans="1:11" s="2" customFormat="1" x14ac:dyDescent="0.25">
      <c r="A1879" s="28" t="s">
        <v>4121</v>
      </c>
      <c r="B1879" s="29">
        <v>12</v>
      </c>
      <c r="C1879" s="28"/>
      <c r="D1879" s="28" t="s">
        <v>76</v>
      </c>
      <c r="E1879" s="3"/>
      <c r="H1879" s="7"/>
      <c r="K1879" s="30"/>
    </row>
    <row r="1880" spans="1:11" s="2" customFormat="1" x14ac:dyDescent="0.25">
      <c r="A1880" s="28" t="s">
        <v>4122</v>
      </c>
      <c r="B1880" s="29">
        <v>6</v>
      </c>
      <c r="C1880" s="28"/>
      <c r="D1880" s="28" t="s">
        <v>76</v>
      </c>
      <c r="E1880" s="3"/>
      <c r="H1880" s="7"/>
      <c r="K1880" s="30"/>
    </row>
    <row r="1881" spans="1:11" s="2" customFormat="1" x14ac:dyDescent="0.25">
      <c r="A1881" s="28" t="s">
        <v>4123</v>
      </c>
      <c r="B1881" s="29">
        <v>98</v>
      </c>
      <c r="C1881" s="28"/>
      <c r="D1881" s="28" t="s">
        <v>76</v>
      </c>
      <c r="E1881" s="3"/>
      <c r="H1881" s="7"/>
      <c r="K1881" s="30"/>
    </row>
    <row r="1882" spans="1:11" s="2" customFormat="1" x14ac:dyDescent="0.25">
      <c r="A1882" s="28" t="s">
        <v>4124</v>
      </c>
      <c r="B1882" s="29">
        <v>9</v>
      </c>
      <c r="C1882" s="28"/>
      <c r="D1882" s="28" t="s">
        <v>76</v>
      </c>
      <c r="E1882" s="3"/>
      <c r="H1882" s="7"/>
      <c r="K1882" s="30"/>
    </row>
    <row r="1883" spans="1:11" s="2" customFormat="1" x14ac:dyDescent="0.25">
      <c r="A1883" s="28" t="s">
        <v>4125</v>
      </c>
      <c r="B1883" s="29">
        <v>80</v>
      </c>
      <c r="C1883" s="28"/>
      <c r="D1883" s="28" t="s">
        <v>76</v>
      </c>
      <c r="E1883" s="3"/>
      <c r="H1883" s="7"/>
      <c r="K1883" s="30"/>
    </row>
    <row r="1884" spans="1:11" s="2" customFormat="1" x14ac:dyDescent="0.25">
      <c r="A1884" s="28" t="s">
        <v>4126</v>
      </c>
      <c r="B1884" s="29">
        <v>70</v>
      </c>
      <c r="C1884" s="28"/>
      <c r="D1884" s="28" t="s">
        <v>76</v>
      </c>
      <c r="E1884" s="3"/>
      <c r="H1884" s="7"/>
      <c r="K1884" s="30"/>
    </row>
    <row r="1885" spans="1:11" s="2" customFormat="1" x14ac:dyDescent="0.25">
      <c r="A1885" s="28" t="s">
        <v>4127</v>
      </c>
      <c r="B1885" s="29">
        <v>100</v>
      </c>
      <c r="C1885" s="28"/>
      <c r="D1885" s="28" t="s">
        <v>76</v>
      </c>
      <c r="E1885" s="3"/>
      <c r="H1885" s="7"/>
      <c r="K1885" s="30"/>
    </row>
    <row r="1886" spans="1:11" s="2" customFormat="1" x14ac:dyDescent="0.25">
      <c r="A1886" s="28" t="s">
        <v>4128</v>
      </c>
      <c r="B1886" s="29">
        <v>89</v>
      </c>
      <c r="C1886" s="28"/>
      <c r="D1886" s="28" t="s">
        <v>76</v>
      </c>
      <c r="E1886" s="3"/>
      <c r="H1886" s="7"/>
      <c r="K1886" s="30"/>
    </row>
    <row r="1887" spans="1:11" s="2" customFormat="1" x14ac:dyDescent="0.25">
      <c r="A1887" s="28" t="s">
        <v>4129</v>
      </c>
      <c r="B1887" s="29">
        <v>4</v>
      </c>
      <c r="C1887" s="28"/>
      <c r="D1887" s="28" t="s">
        <v>76</v>
      </c>
      <c r="E1887" s="3"/>
      <c r="H1887" s="7"/>
      <c r="K1887" s="30"/>
    </row>
    <row r="1888" spans="1:11" s="2" customFormat="1" x14ac:dyDescent="0.25">
      <c r="A1888" s="28" t="s">
        <v>4130</v>
      </c>
      <c r="B1888" s="29">
        <v>83</v>
      </c>
      <c r="C1888" s="28"/>
      <c r="D1888" s="28" t="s">
        <v>76</v>
      </c>
      <c r="E1888" s="3"/>
      <c r="H1888" s="7"/>
      <c r="K1888" s="30"/>
    </row>
    <row r="1889" spans="1:11" s="2" customFormat="1" x14ac:dyDescent="0.25">
      <c r="A1889" s="28" t="s">
        <v>4131</v>
      </c>
      <c r="B1889" s="29">
        <v>90</v>
      </c>
      <c r="C1889" s="28"/>
      <c r="D1889" s="28" t="s">
        <v>76</v>
      </c>
      <c r="E1889" s="3"/>
      <c r="H1889" s="7"/>
      <c r="K1889" s="30"/>
    </row>
    <row r="1890" spans="1:11" s="2" customFormat="1" x14ac:dyDescent="0.25">
      <c r="A1890" s="28" t="s">
        <v>4132</v>
      </c>
      <c r="B1890" s="29">
        <v>48</v>
      </c>
      <c r="C1890" s="28"/>
      <c r="D1890" s="28" t="s">
        <v>76</v>
      </c>
      <c r="E1890" s="3"/>
      <c r="H1890" s="7"/>
      <c r="K1890" s="30"/>
    </row>
    <row r="1891" spans="1:11" s="2" customFormat="1" x14ac:dyDescent="0.25">
      <c r="A1891" s="28" t="s">
        <v>4133</v>
      </c>
      <c r="B1891" s="29">
        <v>90</v>
      </c>
      <c r="C1891" s="28"/>
      <c r="D1891" s="28" t="s">
        <v>76</v>
      </c>
      <c r="E1891" s="3"/>
      <c r="H1891" s="7"/>
      <c r="K1891" s="30"/>
    </row>
    <row r="1892" spans="1:11" s="2" customFormat="1" x14ac:dyDescent="0.25">
      <c r="A1892" s="28" t="s">
        <v>4134</v>
      </c>
      <c r="B1892" s="29">
        <v>72</v>
      </c>
      <c r="C1892" s="28"/>
      <c r="D1892" s="28" t="s">
        <v>76</v>
      </c>
      <c r="E1892" s="3"/>
      <c r="H1892" s="7"/>
      <c r="K1892" s="30"/>
    </row>
    <row r="1893" spans="1:11" s="2" customFormat="1" x14ac:dyDescent="0.25">
      <c r="A1893" s="28" t="s">
        <v>4135</v>
      </c>
      <c r="B1893" s="29">
        <v>7</v>
      </c>
      <c r="C1893" s="28"/>
      <c r="D1893" s="28" t="s">
        <v>76</v>
      </c>
      <c r="E1893" s="3"/>
      <c r="H1893" s="7"/>
      <c r="K1893" s="30"/>
    </row>
    <row r="1894" spans="1:11" s="2" customFormat="1" x14ac:dyDescent="0.25">
      <c r="A1894" s="28" t="s">
        <v>4136</v>
      </c>
      <c r="B1894" s="29">
        <v>2</v>
      </c>
      <c r="C1894" s="28"/>
      <c r="D1894" s="28" t="s">
        <v>76</v>
      </c>
      <c r="E1894" s="3"/>
      <c r="H1894" s="7"/>
      <c r="K1894" s="30"/>
    </row>
    <row r="1895" spans="1:11" s="2" customFormat="1" x14ac:dyDescent="0.25">
      <c r="A1895" s="28" t="s">
        <v>4137</v>
      </c>
      <c r="B1895" s="29">
        <v>60</v>
      </c>
      <c r="C1895" s="28"/>
      <c r="D1895" s="28" t="s">
        <v>76</v>
      </c>
      <c r="E1895" s="3"/>
      <c r="H1895" s="7"/>
      <c r="K1895" s="30"/>
    </row>
    <row r="1896" spans="1:11" s="2" customFormat="1" x14ac:dyDescent="0.25">
      <c r="A1896" s="28" t="s">
        <v>4138</v>
      </c>
      <c r="B1896" s="29">
        <v>50</v>
      </c>
      <c r="C1896" s="28"/>
      <c r="D1896" s="28" t="s">
        <v>76</v>
      </c>
      <c r="E1896" s="3"/>
      <c r="H1896" s="7"/>
      <c r="K1896" s="30"/>
    </row>
    <row r="1897" spans="1:11" s="2" customFormat="1" x14ac:dyDescent="0.25">
      <c r="A1897" s="28" t="s">
        <v>4139</v>
      </c>
      <c r="B1897" s="29">
        <v>63</v>
      </c>
      <c r="C1897" s="28"/>
      <c r="D1897" s="28" t="s">
        <v>76</v>
      </c>
      <c r="E1897" s="3"/>
      <c r="H1897" s="7"/>
      <c r="K1897" s="30"/>
    </row>
    <row r="1898" spans="1:11" s="2" customFormat="1" x14ac:dyDescent="0.25">
      <c r="A1898" s="28" t="s">
        <v>4140</v>
      </c>
      <c r="B1898" s="29">
        <v>35</v>
      </c>
      <c r="C1898" s="28"/>
      <c r="D1898" s="28" t="s">
        <v>76</v>
      </c>
      <c r="E1898" s="3"/>
      <c r="H1898" s="7"/>
      <c r="K1898" s="30"/>
    </row>
    <row r="1899" spans="1:11" s="2" customFormat="1" x14ac:dyDescent="0.25">
      <c r="A1899" s="28" t="s">
        <v>4141</v>
      </c>
      <c r="B1899" s="29">
        <v>60</v>
      </c>
      <c r="C1899" s="28"/>
      <c r="D1899" s="28" t="s">
        <v>76</v>
      </c>
      <c r="E1899" s="3"/>
      <c r="H1899" s="7"/>
      <c r="K1899" s="30"/>
    </row>
    <row r="1900" spans="1:11" s="2" customFormat="1" x14ac:dyDescent="0.25">
      <c r="A1900" s="28" t="s">
        <v>4142</v>
      </c>
      <c r="B1900" s="29">
        <v>60</v>
      </c>
      <c r="C1900" s="28"/>
      <c r="D1900" s="28" t="s">
        <v>76</v>
      </c>
      <c r="E1900" s="3"/>
      <c r="H1900" s="7"/>
      <c r="K1900" s="30"/>
    </row>
    <row r="1901" spans="1:11" s="2" customFormat="1" x14ac:dyDescent="0.25">
      <c r="A1901" s="28" t="s">
        <v>4143</v>
      </c>
      <c r="B1901" s="29">
        <v>44</v>
      </c>
      <c r="C1901" s="28"/>
      <c r="D1901" s="28" t="s">
        <v>76</v>
      </c>
      <c r="E1901" s="3"/>
      <c r="H1901" s="7"/>
      <c r="K1901" s="30"/>
    </row>
    <row r="1902" spans="1:11" s="2" customFormat="1" x14ac:dyDescent="0.25">
      <c r="A1902" s="28" t="s">
        <v>4144</v>
      </c>
      <c r="B1902" s="29">
        <v>90</v>
      </c>
      <c r="C1902" s="28"/>
      <c r="D1902" s="28" t="s">
        <v>76</v>
      </c>
      <c r="E1902" s="3"/>
      <c r="H1902" s="7"/>
      <c r="K1902" s="30"/>
    </row>
    <row r="1903" spans="1:11" s="2" customFormat="1" x14ac:dyDescent="0.25">
      <c r="A1903" s="28" t="s">
        <v>4145</v>
      </c>
      <c r="B1903" s="29">
        <v>35</v>
      </c>
      <c r="C1903" s="28"/>
      <c r="D1903" s="28" t="s">
        <v>76</v>
      </c>
      <c r="E1903" s="3"/>
      <c r="H1903" s="7"/>
      <c r="K1903" s="30"/>
    </row>
    <row r="1904" spans="1:11" s="2" customFormat="1" x14ac:dyDescent="0.25">
      <c r="A1904" s="28" t="s">
        <v>4146</v>
      </c>
      <c r="B1904" s="29">
        <v>40</v>
      </c>
      <c r="C1904" s="28"/>
      <c r="D1904" s="28" t="s">
        <v>76</v>
      </c>
      <c r="E1904" s="3"/>
      <c r="H1904" s="7"/>
      <c r="K1904" s="30"/>
    </row>
    <row r="1905" spans="1:11" s="2" customFormat="1" x14ac:dyDescent="0.25">
      <c r="A1905" s="28" t="s">
        <v>4147</v>
      </c>
      <c r="B1905" s="29">
        <v>46</v>
      </c>
      <c r="C1905" s="28"/>
      <c r="D1905" s="28" t="s">
        <v>76</v>
      </c>
      <c r="E1905" s="3"/>
      <c r="H1905" s="7"/>
      <c r="K1905" s="30"/>
    </row>
    <row r="1906" spans="1:11" s="2" customFormat="1" x14ac:dyDescent="0.25">
      <c r="A1906" s="28" t="s">
        <v>4148</v>
      </c>
      <c r="B1906" s="29">
        <v>30</v>
      </c>
      <c r="C1906" s="28"/>
      <c r="D1906" s="28" t="s">
        <v>76</v>
      </c>
      <c r="E1906" s="3"/>
      <c r="H1906" s="7"/>
      <c r="K1906" s="30"/>
    </row>
    <row r="1907" spans="1:11" s="2" customFormat="1" x14ac:dyDescent="0.25">
      <c r="A1907" s="28" t="s">
        <v>4149</v>
      </c>
      <c r="B1907" s="29">
        <v>30</v>
      </c>
      <c r="C1907" s="28"/>
      <c r="D1907" s="28" t="s">
        <v>76</v>
      </c>
      <c r="E1907" s="3"/>
      <c r="H1907" s="7"/>
      <c r="K1907" s="30"/>
    </row>
    <row r="1908" spans="1:11" s="2" customFormat="1" x14ac:dyDescent="0.25">
      <c r="A1908" s="28" t="s">
        <v>4150</v>
      </c>
      <c r="B1908" s="29">
        <v>16</v>
      </c>
      <c r="C1908" s="28"/>
      <c r="D1908" s="28" t="s">
        <v>76</v>
      </c>
      <c r="E1908" s="3"/>
      <c r="H1908" s="7"/>
      <c r="K1908" s="30"/>
    </row>
    <row r="1909" spans="1:11" s="2" customFormat="1" x14ac:dyDescent="0.25">
      <c r="A1909" s="28" t="s">
        <v>4151</v>
      </c>
      <c r="B1909" s="29">
        <v>45</v>
      </c>
      <c r="C1909" s="28"/>
      <c r="D1909" s="28" t="s">
        <v>76</v>
      </c>
      <c r="E1909" s="3"/>
      <c r="H1909" s="7"/>
      <c r="K1909" s="30"/>
    </row>
    <row r="1910" spans="1:11" s="2" customFormat="1" x14ac:dyDescent="0.25">
      <c r="A1910" s="28" t="s">
        <v>4152</v>
      </c>
      <c r="B1910" s="29">
        <v>4</v>
      </c>
      <c r="C1910" s="28"/>
      <c r="D1910" s="28" t="s">
        <v>76</v>
      </c>
      <c r="E1910" s="3"/>
      <c r="H1910" s="7"/>
      <c r="K1910" s="30"/>
    </row>
    <row r="1911" spans="1:11" s="2" customFormat="1" x14ac:dyDescent="0.25">
      <c r="A1911" s="28" t="s">
        <v>4153</v>
      </c>
      <c r="B1911" s="29">
        <v>39</v>
      </c>
      <c r="C1911" s="28"/>
      <c r="D1911" s="28" t="s">
        <v>76</v>
      </c>
      <c r="E1911" s="3"/>
      <c r="H1911" s="7"/>
      <c r="K1911" s="30"/>
    </row>
    <row r="1912" spans="1:11" s="2" customFormat="1" x14ac:dyDescent="0.25">
      <c r="A1912" s="28" t="s">
        <v>4154</v>
      </c>
      <c r="B1912" s="29">
        <v>70</v>
      </c>
      <c r="C1912" s="28"/>
      <c r="D1912" s="28" t="s">
        <v>76</v>
      </c>
      <c r="E1912" s="3"/>
      <c r="H1912" s="7"/>
      <c r="K1912" s="30"/>
    </row>
    <row r="1913" spans="1:11" s="2" customFormat="1" x14ac:dyDescent="0.25">
      <c r="A1913" s="28" t="s">
        <v>4155</v>
      </c>
      <c r="B1913" s="29">
        <v>27</v>
      </c>
      <c r="C1913" s="28"/>
      <c r="D1913" s="28" t="s">
        <v>76</v>
      </c>
      <c r="E1913" s="3"/>
      <c r="H1913" s="7"/>
      <c r="K1913" s="30"/>
    </row>
    <row r="1914" spans="1:11" s="2" customFormat="1" x14ac:dyDescent="0.25">
      <c r="A1914" s="28" t="s">
        <v>4156</v>
      </c>
      <c r="B1914" s="29">
        <v>507</v>
      </c>
      <c r="C1914" s="28"/>
      <c r="D1914" s="28" t="s">
        <v>76</v>
      </c>
      <c r="E1914" s="3"/>
      <c r="H1914" s="7"/>
      <c r="K1914" s="30"/>
    </row>
    <row r="1915" spans="1:11" s="2" customFormat="1" x14ac:dyDescent="0.25">
      <c r="A1915" s="28" t="s">
        <v>4157</v>
      </c>
      <c r="B1915" s="29">
        <v>54</v>
      </c>
      <c r="C1915" s="28"/>
      <c r="D1915" s="28" t="s">
        <v>76</v>
      </c>
      <c r="E1915" s="3"/>
      <c r="H1915" s="7"/>
      <c r="K1915" s="30"/>
    </row>
    <row r="1916" spans="1:11" s="2" customFormat="1" x14ac:dyDescent="0.25">
      <c r="A1916" s="28" t="s">
        <v>4158</v>
      </c>
      <c r="B1916" s="29">
        <v>35</v>
      </c>
      <c r="C1916" s="28"/>
      <c r="D1916" s="28" t="s">
        <v>76</v>
      </c>
      <c r="E1916" s="3"/>
      <c r="H1916" s="7"/>
      <c r="K1916" s="30"/>
    </row>
    <row r="1917" spans="1:11" s="2" customFormat="1" x14ac:dyDescent="0.25">
      <c r="A1917" s="28" t="s">
        <v>4159</v>
      </c>
      <c r="B1917" s="29">
        <v>46</v>
      </c>
      <c r="C1917" s="28"/>
      <c r="D1917" s="28" t="s">
        <v>76</v>
      </c>
      <c r="E1917" s="3"/>
      <c r="H1917" s="7"/>
      <c r="K1917" s="30"/>
    </row>
    <row r="1918" spans="1:11" s="2" customFormat="1" x14ac:dyDescent="0.25">
      <c r="A1918" s="28" t="s">
        <v>4160</v>
      </c>
      <c r="B1918" s="29">
        <v>31</v>
      </c>
      <c r="C1918" s="28"/>
      <c r="D1918" s="28" t="s">
        <v>76</v>
      </c>
      <c r="E1918" s="3"/>
      <c r="H1918" s="7"/>
      <c r="K1918" s="30"/>
    </row>
    <row r="1919" spans="1:11" s="2" customFormat="1" x14ac:dyDescent="0.25">
      <c r="A1919" s="28" t="s">
        <v>4161</v>
      </c>
      <c r="B1919" s="29">
        <v>14</v>
      </c>
      <c r="C1919" s="28"/>
      <c r="D1919" s="28" t="s">
        <v>76</v>
      </c>
      <c r="E1919" s="3"/>
      <c r="H1919" s="7"/>
      <c r="K1919" s="30"/>
    </row>
    <row r="1920" spans="1:11" s="2" customFormat="1" x14ac:dyDescent="0.25">
      <c r="A1920" s="28" t="s">
        <v>4162</v>
      </c>
      <c r="B1920" s="29">
        <v>34</v>
      </c>
      <c r="C1920" s="28"/>
      <c r="D1920" s="28" t="s">
        <v>76</v>
      </c>
      <c r="E1920" s="3"/>
      <c r="H1920" s="7"/>
      <c r="K1920" s="30"/>
    </row>
    <row r="1921" spans="1:11" s="2" customFormat="1" x14ac:dyDescent="0.25">
      <c r="A1921" s="28" t="s">
        <v>4163</v>
      </c>
      <c r="B1921" s="29">
        <v>60</v>
      </c>
      <c r="C1921" s="28"/>
      <c r="D1921" s="28" t="s">
        <v>76</v>
      </c>
      <c r="E1921" s="3"/>
      <c r="H1921" s="7"/>
      <c r="K1921" s="30"/>
    </row>
    <row r="1922" spans="1:11" s="2" customFormat="1" x14ac:dyDescent="0.25">
      <c r="A1922" s="28" t="s">
        <v>4164</v>
      </c>
      <c r="B1922" s="29">
        <v>99</v>
      </c>
      <c r="C1922" s="28"/>
      <c r="D1922" s="28" t="s">
        <v>76</v>
      </c>
      <c r="E1922" s="3"/>
      <c r="H1922" s="7"/>
      <c r="K1922" s="30"/>
    </row>
    <row r="1923" spans="1:11" s="2" customFormat="1" x14ac:dyDescent="0.25">
      <c r="A1923" s="28" t="s">
        <v>4165</v>
      </c>
      <c r="B1923" s="29">
        <v>380</v>
      </c>
      <c r="C1923" s="28"/>
      <c r="D1923" s="28" t="s">
        <v>76</v>
      </c>
      <c r="E1923" s="3"/>
      <c r="H1923" s="7"/>
      <c r="K1923" s="30"/>
    </row>
    <row r="1924" spans="1:11" s="2" customFormat="1" x14ac:dyDescent="0.25">
      <c r="A1924" s="28" t="s">
        <v>4166</v>
      </c>
      <c r="B1924" s="29">
        <v>49</v>
      </c>
      <c r="C1924" s="28"/>
      <c r="D1924" s="28" t="s">
        <v>76</v>
      </c>
      <c r="E1924" s="3"/>
      <c r="H1924" s="7"/>
      <c r="K1924" s="30"/>
    </row>
    <row r="1925" spans="1:11" s="2" customFormat="1" x14ac:dyDescent="0.25">
      <c r="A1925" s="28" t="s">
        <v>4167</v>
      </c>
      <c r="B1925" s="29">
        <v>36</v>
      </c>
      <c r="C1925" s="28"/>
      <c r="D1925" s="28" t="s">
        <v>76</v>
      </c>
      <c r="E1925" s="3"/>
      <c r="H1925" s="7"/>
      <c r="K1925" s="30"/>
    </row>
    <row r="1926" spans="1:11" s="2" customFormat="1" x14ac:dyDescent="0.25">
      <c r="A1926" s="28" t="s">
        <v>4168</v>
      </c>
      <c r="B1926" s="29">
        <v>11</v>
      </c>
      <c r="C1926" s="28"/>
      <c r="D1926" s="28" t="s">
        <v>76</v>
      </c>
      <c r="E1926" s="3"/>
      <c r="H1926" s="7"/>
      <c r="K1926" s="30"/>
    </row>
    <row r="1927" spans="1:11" s="2" customFormat="1" x14ac:dyDescent="0.25">
      <c r="A1927" s="28" t="s">
        <v>4169</v>
      </c>
      <c r="B1927" s="29">
        <v>57</v>
      </c>
      <c r="C1927" s="28"/>
      <c r="D1927" s="28" t="s">
        <v>76</v>
      </c>
      <c r="E1927" s="3"/>
      <c r="H1927" s="7"/>
      <c r="K1927" s="30"/>
    </row>
    <row r="1928" spans="1:11" s="2" customFormat="1" x14ac:dyDescent="0.25">
      <c r="A1928" s="28" t="s">
        <v>4170</v>
      </c>
      <c r="B1928" s="29">
        <v>39</v>
      </c>
      <c r="C1928" s="28"/>
      <c r="D1928" s="28" t="s">
        <v>76</v>
      </c>
      <c r="E1928" s="3"/>
      <c r="H1928" s="7"/>
      <c r="K1928" s="30"/>
    </row>
    <row r="1929" spans="1:11" s="2" customFormat="1" x14ac:dyDescent="0.25">
      <c r="A1929" s="28" t="s">
        <v>4171</v>
      </c>
      <c r="B1929" s="29">
        <v>36</v>
      </c>
      <c r="C1929" s="28"/>
      <c r="D1929" s="28" t="s">
        <v>76</v>
      </c>
      <c r="E1929" s="3"/>
      <c r="H1929" s="7"/>
      <c r="K1929" s="30"/>
    </row>
    <row r="1930" spans="1:11" s="2" customFormat="1" x14ac:dyDescent="0.25">
      <c r="A1930" s="28" t="s">
        <v>4172</v>
      </c>
      <c r="B1930" s="29">
        <v>55</v>
      </c>
      <c r="C1930" s="28"/>
      <c r="D1930" s="28" t="s">
        <v>76</v>
      </c>
      <c r="E1930" s="3"/>
      <c r="H1930" s="7"/>
      <c r="K1930" s="30"/>
    </row>
    <row r="1931" spans="1:11" s="2" customFormat="1" x14ac:dyDescent="0.25">
      <c r="A1931" s="28" t="s">
        <v>4173</v>
      </c>
      <c r="B1931" s="29">
        <v>6</v>
      </c>
      <c r="C1931" s="28"/>
      <c r="D1931" s="28" t="s">
        <v>76</v>
      </c>
      <c r="E1931" s="3"/>
      <c r="H1931" s="7"/>
      <c r="K1931" s="30"/>
    </row>
    <row r="1932" spans="1:11" s="2" customFormat="1" x14ac:dyDescent="0.25">
      <c r="A1932" s="28" t="s">
        <v>4174</v>
      </c>
      <c r="B1932" s="29">
        <v>46</v>
      </c>
      <c r="C1932" s="28"/>
      <c r="D1932" s="28" t="s">
        <v>76</v>
      </c>
      <c r="E1932" s="3"/>
      <c r="H1932" s="7"/>
      <c r="K1932" s="30"/>
    </row>
    <row r="1933" spans="1:11" s="2" customFormat="1" x14ac:dyDescent="0.25">
      <c r="A1933" s="28" t="s">
        <v>4175</v>
      </c>
      <c r="B1933" s="29">
        <v>99</v>
      </c>
      <c r="C1933" s="28"/>
      <c r="D1933" s="28" t="s">
        <v>76</v>
      </c>
      <c r="E1933" s="3"/>
      <c r="H1933" s="7"/>
      <c r="K1933" s="30"/>
    </row>
    <row r="1934" spans="1:11" s="2" customFormat="1" x14ac:dyDescent="0.25">
      <c r="A1934" s="28" t="s">
        <v>4176</v>
      </c>
      <c r="B1934" s="29">
        <v>42</v>
      </c>
      <c r="C1934" s="28"/>
      <c r="D1934" s="28" t="s">
        <v>76</v>
      </c>
      <c r="E1934" s="3"/>
      <c r="H1934" s="7"/>
      <c r="K1934" s="30"/>
    </row>
    <row r="1935" spans="1:11" s="2" customFormat="1" x14ac:dyDescent="0.25">
      <c r="A1935" s="28" t="s">
        <v>4177</v>
      </c>
      <c r="B1935" s="29">
        <v>18</v>
      </c>
      <c r="C1935" s="28"/>
      <c r="D1935" s="28" t="s">
        <v>76</v>
      </c>
      <c r="E1935" s="3"/>
      <c r="H1935" s="7"/>
      <c r="K1935" s="30"/>
    </row>
    <row r="1936" spans="1:11" s="2" customFormat="1" x14ac:dyDescent="0.25">
      <c r="A1936" s="28" t="s">
        <v>4178</v>
      </c>
      <c r="B1936" s="29">
        <v>70</v>
      </c>
      <c r="C1936" s="28"/>
      <c r="D1936" s="28" t="s">
        <v>76</v>
      </c>
      <c r="E1936" s="3"/>
      <c r="H1936" s="7"/>
      <c r="K1936" s="30"/>
    </row>
    <row r="1937" spans="1:11" s="2" customFormat="1" x14ac:dyDescent="0.25">
      <c r="A1937" s="28" t="s">
        <v>4179</v>
      </c>
      <c r="B1937" s="29">
        <v>70</v>
      </c>
      <c r="C1937" s="28"/>
      <c r="D1937" s="28" t="s">
        <v>76</v>
      </c>
      <c r="E1937" s="3"/>
      <c r="H1937" s="7"/>
      <c r="K1937" s="30"/>
    </row>
    <row r="1938" spans="1:11" s="2" customFormat="1" x14ac:dyDescent="0.25">
      <c r="A1938" s="28" t="s">
        <v>4180</v>
      </c>
      <c r="B1938" s="29">
        <v>15</v>
      </c>
      <c r="C1938" s="28"/>
      <c r="D1938" s="28" t="s">
        <v>76</v>
      </c>
      <c r="E1938" s="3"/>
      <c r="H1938" s="7"/>
      <c r="K1938" s="30"/>
    </row>
    <row r="1939" spans="1:11" s="2" customFormat="1" x14ac:dyDescent="0.25">
      <c r="A1939" s="28" t="s">
        <v>4181</v>
      </c>
      <c r="B1939" s="29">
        <v>111</v>
      </c>
      <c r="C1939" s="28"/>
      <c r="D1939" s="28" t="s">
        <v>76</v>
      </c>
      <c r="E1939" s="3"/>
      <c r="H1939" s="7"/>
      <c r="K1939" s="30"/>
    </row>
    <row r="1940" spans="1:11" s="2" customFormat="1" x14ac:dyDescent="0.25">
      <c r="A1940" s="28" t="s">
        <v>4182</v>
      </c>
      <c r="B1940" s="29">
        <v>47</v>
      </c>
      <c r="C1940" s="28"/>
      <c r="D1940" s="28" t="s">
        <v>76</v>
      </c>
      <c r="E1940" s="3"/>
      <c r="H1940" s="7"/>
      <c r="K1940" s="30"/>
    </row>
    <row r="1941" spans="1:11" s="2" customFormat="1" x14ac:dyDescent="0.25">
      <c r="A1941" s="28" t="s">
        <v>4183</v>
      </c>
      <c r="B1941" s="29">
        <v>47</v>
      </c>
      <c r="C1941" s="28"/>
      <c r="D1941" s="28" t="s">
        <v>76</v>
      </c>
      <c r="E1941" s="3"/>
      <c r="H1941" s="7"/>
      <c r="K1941" s="30"/>
    </row>
    <row r="1942" spans="1:11" s="2" customFormat="1" x14ac:dyDescent="0.25">
      <c r="A1942" s="28" t="s">
        <v>4184</v>
      </c>
      <c r="B1942" s="29">
        <v>47</v>
      </c>
      <c r="C1942" s="28"/>
      <c r="D1942" s="28" t="s">
        <v>76</v>
      </c>
      <c r="E1942" s="3"/>
      <c r="H1942" s="7"/>
      <c r="K1942" s="30"/>
    </row>
    <row r="1943" spans="1:11" s="2" customFormat="1" x14ac:dyDescent="0.25">
      <c r="A1943" s="28" t="s">
        <v>4185</v>
      </c>
      <c r="B1943" s="29">
        <v>91</v>
      </c>
      <c r="C1943" s="28"/>
      <c r="D1943" s="28" t="s">
        <v>76</v>
      </c>
      <c r="E1943" s="3"/>
      <c r="H1943" s="7"/>
      <c r="K1943" s="30"/>
    </row>
    <row r="1944" spans="1:11" s="2" customFormat="1" x14ac:dyDescent="0.25">
      <c r="A1944" s="28" t="s">
        <v>4186</v>
      </c>
      <c r="B1944" s="29">
        <v>2</v>
      </c>
      <c r="C1944" s="28"/>
      <c r="D1944" s="28" t="s">
        <v>76</v>
      </c>
      <c r="E1944" s="3"/>
      <c r="H1944" s="7"/>
      <c r="K1944" s="30"/>
    </row>
    <row r="1945" spans="1:11" s="2" customFormat="1" x14ac:dyDescent="0.25">
      <c r="A1945" s="28" t="s">
        <v>4187</v>
      </c>
      <c r="B1945" s="29">
        <v>36</v>
      </c>
      <c r="C1945" s="28"/>
      <c r="D1945" s="28" t="s">
        <v>76</v>
      </c>
      <c r="E1945" s="3"/>
      <c r="H1945" s="7"/>
      <c r="K1945" s="30"/>
    </row>
    <row r="1946" spans="1:11" s="2" customFormat="1" x14ac:dyDescent="0.25">
      <c r="A1946" s="28" t="s">
        <v>4188</v>
      </c>
      <c r="B1946" s="29">
        <v>8</v>
      </c>
      <c r="C1946" s="28"/>
      <c r="D1946" s="28" t="s">
        <v>76</v>
      </c>
      <c r="E1946" s="3"/>
      <c r="H1946" s="7"/>
      <c r="K1946" s="30"/>
    </row>
    <row r="1947" spans="1:11" s="2" customFormat="1" x14ac:dyDescent="0.25">
      <c r="A1947" s="28" t="s">
        <v>4189</v>
      </c>
      <c r="B1947" s="29">
        <v>15</v>
      </c>
      <c r="C1947" s="28"/>
      <c r="D1947" s="28" t="s">
        <v>76</v>
      </c>
      <c r="E1947" s="3"/>
      <c r="H1947" s="7"/>
      <c r="K1947" s="30"/>
    </row>
    <row r="1948" spans="1:11" s="2" customFormat="1" x14ac:dyDescent="0.25">
      <c r="A1948" s="28" t="s">
        <v>4190</v>
      </c>
      <c r="B1948" s="29">
        <v>40</v>
      </c>
      <c r="C1948" s="28"/>
      <c r="D1948" s="28" t="s">
        <v>76</v>
      </c>
      <c r="E1948" s="3"/>
      <c r="H1948" s="7"/>
      <c r="K1948" s="30"/>
    </row>
    <row r="1949" spans="1:11" s="2" customFormat="1" x14ac:dyDescent="0.25">
      <c r="A1949" s="28" t="s">
        <v>4191</v>
      </c>
      <c r="B1949" s="29">
        <v>45</v>
      </c>
      <c r="C1949" s="28"/>
      <c r="D1949" s="28" t="s">
        <v>76</v>
      </c>
      <c r="E1949" s="3"/>
      <c r="H1949" s="7"/>
      <c r="K1949" s="30"/>
    </row>
    <row r="1950" spans="1:11" s="2" customFormat="1" x14ac:dyDescent="0.25">
      <c r="A1950" s="28" t="s">
        <v>4192</v>
      </c>
      <c r="B1950" s="29">
        <v>141</v>
      </c>
      <c r="C1950" s="28"/>
      <c r="D1950" s="28" t="s">
        <v>76</v>
      </c>
      <c r="E1950" s="3"/>
      <c r="H1950" s="7"/>
      <c r="K1950" s="30"/>
    </row>
    <row r="1951" spans="1:11" s="2" customFormat="1" x14ac:dyDescent="0.25">
      <c r="A1951" s="28" t="s">
        <v>4193</v>
      </c>
      <c r="B1951" s="29">
        <v>38</v>
      </c>
      <c r="C1951" s="28"/>
      <c r="D1951" s="28" t="s">
        <v>76</v>
      </c>
      <c r="E1951" s="3"/>
      <c r="H1951" s="7"/>
      <c r="K1951" s="30"/>
    </row>
    <row r="1952" spans="1:11" s="2" customFormat="1" x14ac:dyDescent="0.25">
      <c r="A1952" s="28" t="s">
        <v>4194</v>
      </c>
      <c r="B1952" s="29">
        <v>11</v>
      </c>
      <c r="C1952" s="28"/>
      <c r="D1952" s="28" t="s">
        <v>76</v>
      </c>
      <c r="E1952" s="3"/>
      <c r="H1952" s="7"/>
      <c r="K1952" s="30"/>
    </row>
    <row r="1953" spans="1:11" s="2" customFormat="1" x14ac:dyDescent="0.25">
      <c r="A1953" s="28" t="s">
        <v>4195</v>
      </c>
      <c r="B1953" s="29">
        <v>29</v>
      </c>
      <c r="C1953" s="28"/>
      <c r="D1953" s="28" t="s">
        <v>76</v>
      </c>
      <c r="E1953" s="3"/>
      <c r="H1953" s="7"/>
      <c r="K1953" s="30"/>
    </row>
    <row r="1954" spans="1:11" s="2" customFormat="1" x14ac:dyDescent="0.25">
      <c r="A1954" s="28" t="s">
        <v>4196</v>
      </c>
      <c r="B1954" s="29">
        <v>49</v>
      </c>
      <c r="C1954" s="28"/>
      <c r="D1954" s="28" t="s">
        <v>76</v>
      </c>
      <c r="E1954" s="3"/>
      <c r="H1954" s="7"/>
      <c r="K1954" s="30"/>
    </row>
    <row r="1955" spans="1:11" s="2" customFormat="1" x14ac:dyDescent="0.25">
      <c r="A1955" s="28" t="s">
        <v>4197</v>
      </c>
      <c r="B1955" s="29">
        <v>38</v>
      </c>
      <c r="C1955" s="28"/>
      <c r="D1955" s="28" t="s">
        <v>76</v>
      </c>
      <c r="E1955" s="3"/>
      <c r="H1955" s="7"/>
      <c r="K1955" s="30"/>
    </row>
    <row r="1956" spans="1:11" s="2" customFormat="1" x14ac:dyDescent="0.25">
      <c r="A1956" s="28" t="s">
        <v>4198</v>
      </c>
      <c r="B1956" s="29">
        <v>3</v>
      </c>
      <c r="C1956" s="28"/>
      <c r="D1956" s="28" t="s">
        <v>76</v>
      </c>
      <c r="E1956" s="3"/>
      <c r="H1956" s="7"/>
      <c r="K1956" s="30"/>
    </row>
    <row r="1957" spans="1:11" s="2" customFormat="1" x14ac:dyDescent="0.25">
      <c r="A1957" s="28" t="s">
        <v>4199</v>
      </c>
      <c r="B1957" s="29">
        <v>3</v>
      </c>
      <c r="C1957" s="28"/>
      <c r="D1957" s="28" t="s">
        <v>76</v>
      </c>
      <c r="E1957" s="3"/>
      <c r="H1957" s="7"/>
      <c r="K1957" s="30"/>
    </row>
    <row r="1958" spans="1:11" s="2" customFormat="1" x14ac:dyDescent="0.25">
      <c r="A1958" s="28" t="s">
        <v>4200</v>
      </c>
      <c r="B1958" s="29">
        <v>44</v>
      </c>
      <c r="C1958" s="28"/>
      <c r="D1958" s="28" t="s">
        <v>76</v>
      </c>
      <c r="E1958" s="3"/>
      <c r="H1958" s="7"/>
      <c r="K1958" s="30"/>
    </row>
    <row r="1959" spans="1:11" s="2" customFormat="1" x14ac:dyDescent="0.25">
      <c r="A1959" s="28" t="s">
        <v>4201</v>
      </c>
      <c r="B1959" s="29">
        <v>44</v>
      </c>
      <c r="C1959" s="28"/>
      <c r="D1959" s="28" t="s">
        <v>76</v>
      </c>
      <c r="E1959" s="3"/>
      <c r="H1959" s="7"/>
      <c r="K1959" s="30"/>
    </row>
    <row r="1960" spans="1:11" s="2" customFormat="1" x14ac:dyDescent="0.25">
      <c r="A1960" s="28" t="s">
        <v>4202</v>
      </c>
      <c r="B1960" s="29">
        <v>7</v>
      </c>
      <c r="C1960" s="28"/>
      <c r="D1960" s="28" t="s">
        <v>76</v>
      </c>
      <c r="E1960" s="3"/>
      <c r="H1960" s="7"/>
      <c r="K1960" s="30"/>
    </row>
    <row r="1961" spans="1:11" s="2" customFormat="1" x14ac:dyDescent="0.25">
      <c r="A1961" s="28" t="s">
        <v>4203</v>
      </c>
      <c r="B1961" s="29">
        <v>5</v>
      </c>
      <c r="C1961" s="28"/>
      <c r="D1961" s="28" t="s">
        <v>76</v>
      </c>
      <c r="E1961" s="3"/>
      <c r="H1961" s="7"/>
      <c r="K1961" s="30"/>
    </row>
    <row r="1962" spans="1:11" s="2" customFormat="1" x14ac:dyDescent="0.25">
      <c r="A1962" s="28" t="s">
        <v>4204</v>
      </c>
      <c r="B1962" s="29">
        <v>60</v>
      </c>
      <c r="C1962" s="28"/>
      <c r="D1962" s="28" t="s">
        <v>76</v>
      </c>
      <c r="E1962" s="3"/>
      <c r="H1962" s="7"/>
      <c r="K1962" s="30"/>
    </row>
    <row r="1963" spans="1:11" s="2" customFormat="1" x14ac:dyDescent="0.25">
      <c r="A1963" s="28" t="s">
        <v>4205</v>
      </c>
      <c r="B1963" s="29">
        <v>11</v>
      </c>
      <c r="C1963" s="28"/>
      <c r="D1963" s="28" t="s">
        <v>76</v>
      </c>
      <c r="E1963" s="3"/>
      <c r="H1963" s="7"/>
      <c r="K1963" s="30"/>
    </row>
    <row r="1964" spans="1:11" s="2" customFormat="1" x14ac:dyDescent="0.25">
      <c r="A1964" s="28" t="s">
        <v>4206</v>
      </c>
      <c r="B1964" s="29">
        <v>25</v>
      </c>
      <c r="C1964" s="28"/>
      <c r="D1964" s="28" t="s">
        <v>76</v>
      </c>
      <c r="E1964" s="3"/>
      <c r="H1964" s="7"/>
      <c r="K1964" s="30"/>
    </row>
    <row r="1965" spans="1:11" s="2" customFormat="1" x14ac:dyDescent="0.25">
      <c r="A1965" s="28" t="s">
        <v>4207</v>
      </c>
      <c r="B1965" s="29">
        <v>39</v>
      </c>
      <c r="C1965" s="28"/>
      <c r="D1965" s="28" t="s">
        <v>76</v>
      </c>
      <c r="E1965" s="3"/>
      <c r="H1965" s="7"/>
      <c r="K1965" s="30"/>
    </row>
    <row r="1966" spans="1:11" s="2" customFormat="1" x14ac:dyDescent="0.25">
      <c r="A1966" s="28" t="s">
        <v>4208</v>
      </c>
      <c r="B1966" s="29">
        <v>32</v>
      </c>
      <c r="C1966" s="28"/>
      <c r="D1966" s="28" t="s">
        <v>76</v>
      </c>
      <c r="E1966" s="3"/>
      <c r="H1966" s="7"/>
      <c r="K1966" s="30"/>
    </row>
    <row r="1967" spans="1:11" s="2" customFormat="1" x14ac:dyDescent="0.25">
      <c r="A1967" s="28" t="s">
        <v>4209</v>
      </c>
      <c r="B1967" s="29">
        <v>64</v>
      </c>
      <c r="C1967" s="28"/>
      <c r="D1967" s="28" t="s">
        <v>76</v>
      </c>
      <c r="E1967" s="3"/>
      <c r="H1967" s="7"/>
      <c r="K1967" s="30"/>
    </row>
    <row r="1968" spans="1:11" s="2" customFormat="1" x14ac:dyDescent="0.25">
      <c r="A1968" s="28" t="s">
        <v>4210</v>
      </c>
      <c r="B1968" s="29">
        <v>120</v>
      </c>
      <c r="C1968" s="28"/>
      <c r="D1968" s="28" t="s">
        <v>76</v>
      </c>
      <c r="E1968" s="3"/>
      <c r="H1968" s="7"/>
      <c r="K1968" s="30"/>
    </row>
    <row r="1969" spans="1:11" s="2" customFormat="1" x14ac:dyDescent="0.25">
      <c r="A1969" s="28" t="s">
        <v>4211</v>
      </c>
      <c r="B1969" s="29">
        <v>10</v>
      </c>
      <c r="C1969" s="28"/>
      <c r="D1969" s="28" t="s">
        <v>76</v>
      </c>
      <c r="E1969" s="3"/>
      <c r="H1969" s="7"/>
      <c r="K1969" s="30"/>
    </row>
    <row r="1970" spans="1:11" s="2" customFormat="1" x14ac:dyDescent="0.25">
      <c r="A1970" s="28" t="s">
        <v>4212</v>
      </c>
      <c r="B1970" s="29">
        <v>84</v>
      </c>
      <c r="C1970" s="28"/>
      <c r="D1970" s="28" t="s">
        <v>76</v>
      </c>
      <c r="E1970" s="3"/>
      <c r="H1970" s="7"/>
      <c r="K1970" s="30"/>
    </row>
    <row r="1971" spans="1:11" s="2" customFormat="1" x14ac:dyDescent="0.25">
      <c r="A1971" s="28" t="s">
        <v>4213</v>
      </c>
      <c r="B1971" s="29">
        <v>32</v>
      </c>
      <c r="C1971" s="28"/>
      <c r="D1971" s="28" t="s">
        <v>76</v>
      </c>
      <c r="E1971" s="3"/>
      <c r="H1971" s="7"/>
      <c r="K1971" s="30"/>
    </row>
    <row r="1972" spans="1:11" s="2" customFormat="1" x14ac:dyDescent="0.25">
      <c r="A1972" s="28" t="s">
        <v>4214</v>
      </c>
      <c r="B1972" s="29">
        <v>91</v>
      </c>
      <c r="C1972" s="28"/>
      <c r="D1972" s="28" t="s">
        <v>76</v>
      </c>
      <c r="E1972" s="3"/>
      <c r="H1972" s="7"/>
      <c r="K1972" s="30"/>
    </row>
    <row r="1973" spans="1:11" s="2" customFormat="1" x14ac:dyDescent="0.25">
      <c r="A1973" s="28" t="s">
        <v>4215</v>
      </c>
      <c r="B1973" s="29">
        <v>40</v>
      </c>
      <c r="C1973" s="28"/>
      <c r="D1973" s="28" t="s">
        <v>76</v>
      </c>
      <c r="E1973" s="3"/>
      <c r="H1973" s="7"/>
      <c r="K1973" s="30"/>
    </row>
    <row r="1974" spans="1:11" s="2" customFormat="1" x14ac:dyDescent="0.25">
      <c r="A1974" s="28" t="s">
        <v>4216</v>
      </c>
      <c r="B1974" s="29">
        <v>40</v>
      </c>
      <c r="C1974" s="28"/>
      <c r="D1974" s="28" t="s">
        <v>76</v>
      </c>
      <c r="E1974" s="3"/>
      <c r="H1974" s="7"/>
      <c r="K1974" s="30"/>
    </row>
    <row r="1975" spans="1:11" s="2" customFormat="1" x14ac:dyDescent="0.25">
      <c r="A1975" s="28" t="s">
        <v>4217</v>
      </c>
      <c r="B1975" s="29">
        <v>32</v>
      </c>
      <c r="C1975" s="28"/>
      <c r="D1975" s="28" t="s">
        <v>76</v>
      </c>
      <c r="E1975" s="3"/>
      <c r="H1975" s="7"/>
      <c r="K1975" s="30"/>
    </row>
    <row r="1976" spans="1:11" s="2" customFormat="1" x14ac:dyDescent="0.25">
      <c r="A1976" s="28" t="s">
        <v>4218</v>
      </c>
      <c r="B1976" s="29">
        <v>18</v>
      </c>
      <c r="C1976" s="28"/>
      <c r="D1976" s="28" t="s">
        <v>76</v>
      </c>
      <c r="E1976" s="3"/>
      <c r="H1976" s="7"/>
      <c r="K1976" s="30"/>
    </row>
    <row r="1977" spans="1:11" s="2" customFormat="1" x14ac:dyDescent="0.25">
      <c r="A1977" s="28" t="s">
        <v>4219</v>
      </c>
      <c r="B1977" s="29">
        <v>38</v>
      </c>
      <c r="C1977" s="28"/>
      <c r="D1977" s="28" t="s">
        <v>76</v>
      </c>
      <c r="E1977" s="3"/>
      <c r="H1977" s="7"/>
      <c r="K1977" s="30"/>
    </row>
    <row r="1978" spans="1:11" s="2" customFormat="1" x14ac:dyDescent="0.25">
      <c r="A1978" s="28" t="s">
        <v>4220</v>
      </c>
      <c r="B1978" s="29">
        <v>81</v>
      </c>
      <c r="C1978" s="28"/>
      <c r="D1978" s="28" t="s">
        <v>76</v>
      </c>
      <c r="E1978" s="3"/>
      <c r="H1978" s="7"/>
      <c r="K1978" s="30"/>
    </row>
    <row r="1979" spans="1:11" s="2" customFormat="1" x14ac:dyDescent="0.25">
      <c r="A1979" s="28" t="s">
        <v>4221</v>
      </c>
      <c r="B1979" s="29">
        <v>18</v>
      </c>
      <c r="C1979" s="28"/>
      <c r="D1979" s="28" t="s">
        <v>76</v>
      </c>
      <c r="E1979" s="3"/>
      <c r="H1979" s="7"/>
      <c r="K1979" s="30"/>
    </row>
    <row r="1980" spans="1:11" s="2" customFormat="1" x14ac:dyDescent="0.25">
      <c r="A1980" s="28" t="s">
        <v>4222</v>
      </c>
      <c r="B1980" s="29">
        <v>71</v>
      </c>
      <c r="C1980" s="28"/>
      <c r="D1980" s="28" t="s">
        <v>76</v>
      </c>
      <c r="E1980" s="3"/>
      <c r="H1980" s="7"/>
      <c r="K1980" s="30"/>
    </row>
    <row r="1981" spans="1:11" s="2" customFormat="1" x14ac:dyDescent="0.25">
      <c r="A1981" s="28" t="s">
        <v>4223</v>
      </c>
      <c r="B1981" s="29">
        <v>5</v>
      </c>
      <c r="C1981" s="28"/>
      <c r="D1981" s="28" t="s">
        <v>76</v>
      </c>
      <c r="E1981" s="3"/>
      <c r="H1981" s="7"/>
      <c r="K1981" s="30"/>
    </row>
    <row r="1982" spans="1:11" s="2" customFormat="1" x14ac:dyDescent="0.25">
      <c r="A1982" s="28" t="s">
        <v>4224</v>
      </c>
      <c r="B1982" s="29">
        <v>18</v>
      </c>
      <c r="C1982" s="28"/>
      <c r="D1982" s="28" t="s">
        <v>76</v>
      </c>
      <c r="E1982" s="3"/>
      <c r="H1982" s="7"/>
      <c r="K1982" s="30"/>
    </row>
    <row r="1983" spans="1:11" s="2" customFormat="1" x14ac:dyDescent="0.25">
      <c r="A1983" s="28" t="s">
        <v>4225</v>
      </c>
      <c r="B1983" s="29">
        <v>40</v>
      </c>
      <c r="C1983" s="28"/>
      <c r="D1983" s="28" t="s">
        <v>76</v>
      </c>
      <c r="E1983" s="3"/>
      <c r="H1983" s="7"/>
      <c r="K1983" s="30"/>
    </row>
    <row r="1984" spans="1:11" s="2" customFormat="1" x14ac:dyDescent="0.25">
      <c r="A1984" s="28" t="s">
        <v>4226</v>
      </c>
      <c r="B1984" s="29">
        <v>7</v>
      </c>
      <c r="C1984" s="28"/>
      <c r="D1984" s="28" t="s">
        <v>76</v>
      </c>
      <c r="E1984" s="3"/>
      <c r="H1984" s="7"/>
      <c r="K1984" s="30"/>
    </row>
    <row r="1985" spans="1:11" s="2" customFormat="1" x14ac:dyDescent="0.25">
      <c r="A1985" s="28" t="s">
        <v>4227</v>
      </c>
      <c r="B1985" s="29">
        <v>21</v>
      </c>
      <c r="C1985" s="28"/>
      <c r="D1985" s="28" t="s">
        <v>76</v>
      </c>
      <c r="E1985" s="3"/>
      <c r="H1985" s="7"/>
      <c r="K1985" s="30"/>
    </row>
    <row r="1986" spans="1:11" s="2" customFormat="1" x14ac:dyDescent="0.25">
      <c r="A1986" s="28" t="s">
        <v>4228</v>
      </c>
      <c r="B1986" s="29">
        <v>9</v>
      </c>
      <c r="C1986" s="28"/>
      <c r="D1986" s="28" t="s">
        <v>76</v>
      </c>
      <c r="E1986" s="3"/>
      <c r="H1986" s="7"/>
      <c r="K1986" s="30"/>
    </row>
    <row r="1987" spans="1:11" s="2" customFormat="1" x14ac:dyDescent="0.25">
      <c r="A1987" s="28" t="s">
        <v>4229</v>
      </c>
      <c r="B1987" s="29">
        <v>7</v>
      </c>
      <c r="C1987" s="28"/>
      <c r="D1987" s="28" t="s">
        <v>76</v>
      </c>
      <c r="E1987" s="3"/>
      <c r="H1987" s="7"/>
      <c r="K1987" s="30"/>
    </row>
    <row r="1988" spans="1:11" s="2" customFormat="1" x14ac:dyDescent="0.25">
      <c r="A1988" s="28" t="s">
        <v>4230</v>
      </c>
      <c r="B1988" s="29">
        <v>15</v>
      </c>
      <c r="C1988" s="28"/>
      <c r="D1988" s="28" t="s">
        <v>76</v>
      </c>
      <c r="E1988" s="3"/>
      <c r="H1988" s="7"/>
      <c r="K1988" s="30"/>
    </row>
    <row r="1989" spans="1:11" s="2" customFormat="1" x14ac:dyDescent="0.25">
      <c r="A1989" s="28" t="s">
        <v>4231</v>
      </c>
      <c r="B1989" s="29">
        <v>18</v>
      </c>
      <c r="C1989" s="28"/>
      <c r="D1989" s="28" t="s">
        <v>76</v>
      </c>
      <c r="E1989" s="3"/>
      <c r="H1989" s="7"/>
      <c r="K1989" s="30"/>
    </row>
    <row r="1990" spans="1:11" s="2" customFormat="1" x14ac:dyDescent="0.25">
      <c r="A1990" s="28" t="s">
        <v>4232</v>
      </c>
      <c r="B1990" s="29">
        <v>44</v>
      </c>
      <c r="C1990" s="28"/>
      <c r="D1990" s="28" t="s">
        <v>76</v>
      </c>
      <c r="E1990" s="3"/>
      <c r="H1990" s="7"/>
      <c r="K1990" s="30"/>
    </row>
    <row r="1991" spans="1:11" s="2" customFormat="1" x14ac:dyDescent="0.25">
      <c r="A1991" s="28" t="s">
        <v>4233</v>
      </c>
      <c r="B1991" s="29">
        <v>92</v>
      </c>
      <c r="C1991" s="28"/>
      <c r="D1991" s="28" t="s">
        <v>76</v>
      </c>
      <c r="E1991" s="3"/>
      <c r="H1991" s="7"/>
      <c r="K1991" s="30"/>
    </row>
    <row r="1992" spans="1:11" s="2" customFormat="1" x14ac:dyDescent="0.25">
      <c r="A1992" s="28" t="s">
        <v>4234</v>
      </c>
      <c r="B1992" s="29">
        <v>7</v>
      </c>
      <c r="C1992" s="28"/>
      <c r="D1992" s="28" t="s">
        <v>76</v>
      </c>
      <c r="E1992" s="3"/>
      <c r="H1992" s="7"/>
      <c r="K1992" s="30"/>
    </row>
    <row r="1993" spans="1:11" s="2" customFormat="1" x14ac:dyDescent="0.25">
      <c r="A1993" s="28" t="s">
        <v>4235</v>
      </c>
      <c r="B1993" s="29">
        <v>42</v>
      </c>
      <c r="C1993" s="28"/>
      <c r="D1993" s="28" t="s">
        <v>76</v>
      </c>
      <c r="E1993" s="3"/>
      <c r="H1993" s="7"/>
      <c r="K1993" s="30"/>
    </row>
    <row r="1994" spans="1:11" s="2" customFormat="1" x14ac:dyDescent="0.25">
      <c r="A1994" s="28" t="s">
        <v>4236</v>
      </c>
      <c r="B1994" s="29">
        <v>40</v>
      </c>
      <c r="C1994" s="28"/>
      <c r="D1994" s="28" t="s">
        <v>76</v>
      </c>
      <c r="E1994" s="3"/>
      <c r="H1994" s="7"/>
      <c r="K1994" s="30"/>
    </row>
    <row r="1995" spans="1:11" s="2" customFormat="1" x14ac:dyDescent="0.25">
      <c r="A1995" s="28" t="s">
        <v>4237</v>
      </c>
      <c r="B1995" s="29">
        <v>17</v>
      </c>
      <c r="C1995" s="28"/>
      <c r="D1995" s="28" t="s">
        <v>76</v>
      </c>
      <c r="E1995" s="3"/>
      <c r="H1995" s="7"/>
      <c r="K1995" s="30"/>
    </row>
    <row r="1996" spans="1:11" s="2" customFormat="1" x14ac:dyDescent="0.25">
      <c r="A1996" s="28" t="s">
        <v>4238</v>
      </c>
      <c r="B1996" s="29">
        <v>15</v>
      </c>
      <c r="C1996" s="28"/>
      <c r="D1996" s="28" t="s">
        <v>76</v>
      </c>
      <c r="E1996" s="3"/>
      <c r="H1996" s="7"/>
      <c r="K1996" s="30"/>
    </row>
    <row r="1997" spans="1:11" s="2" customFormat="1" x14ac:dyDescent="0.25">
      <c r="A1997" s="28" t="s">
        <v>4239</v>
      </c>
      <c r="B1997" s="29">
        <v>15</v>
      </c>
      <c r="C1997" s="28"/>
      <c r="D1997" s="28" t="s">
        <v>76</v>
      </c>
      <c r="E1997" s="3"/>
      <c r="H1997" s="7"/>
      <c r="K1997" s="30"/>
    </row>
    <row r="1998" spans="1:11" s="2" customFormat="1" x14ac:dyDescent="0.25">
      <c r="A1998" s="28" t="s">
        <v>4240</v>
      </c>
      <c r="B1998" s="29">
        <v>15</v>
      </c>
      <c r="C1998" s="28"/>
      <c r="D1998" s="28" t="s">
        <v>76</v>
      </c>
      <c r="E1998" s="3"/>
      <c r="H1998" s="7"/>
      <c r="K1998" s="30"/>
    </row>
    <row r="1999" spans="1:11" s="2" customFormat="1" x14ac:dyDescent="0.25">
      <c r="A1999" s="28" t="s">
        <v>4241</v>
      </c>
      <c r="B1999" s="29">
        <v>15</v>
      </c>
      <c r="C1999" s="28"/>
      <c r="D1999" s="28" t="s">
        <v>76</v>
      </c>
      <c r="E1999" s="3"/>
      <c r="H1999" s="7"/>
      <c r="K1999" s="30"/>
    </row>
    <row r="2000" spans="1:11" s="2" customFormat="1" x14ac:dyDescent="0.25">
      <c r="A2000" s="28" t="s">
        <v>4242</v>
      </c>
      <c r="B2000" s="29">
        <v>15</v>
      </c>
      <c r="C2000" s="28"/>
      <c r="D2000" s="28" t="s">
        <v>76</v>
      </c>
      <c r="E2000" s="3"/>
      <c r="H2000" s="7"/>
      <c r="K2000" s="30"/>
    </row>
    <row r="2001" spans="1:11" s="2" customFormat="1" x14ac:dyDescent="0.25">
      <c r="A2001" s="28" t="s">
        <v>4243</v>
      </c>
      <c r="B2001" s="29">
        <v>83</v>
      </c>
      <c r="C2001" s="28"/>
      <c r="D2001" s="28" t="s">
        <v>76</v>
      </c>
      <c r="E2001" s="3"/>
      <c r="H2001" s="7"/>
      <c r="K2001" s="30"/>
    </row>
    <row r="2002" spans="1:11" s="2" customFormat="1" x14ac:dyDescent="0.25">
      <c r="A2002" s="28" t="s">
        <v>4244</v>
      </c>
      <c r="B2002" s="29">
        <v>51</v>
      </c>
      <c r="C2002" s="28"/>
      <c r="D2002" s="28" t="s">
        <v>76</v>
      </c>
      <c r="E2002" s="3"/>
      <c r="H2002" s="7"/>
      <c r="K2002" s="30"/>
    </row>
    <row r="2003" spans="1:11" s="2" customFormat="1" x14ac:dyDescent="0.25">
      <c r="A2003" s="28" t="s">
        <v>4245</v>
      </c>
      <c r="B2003" s="29">
        <v>45</v>
      </c>
      <c r="C2003" s="28"/>
      <c r="D2003" s="28" t="s">
        <v>76</v>
      </c>
      <c r="E2003" s="3"/>
      <c r="H2003" s="7"/>
      <c r="K2003" s="30"/>
    </row>
    <row r="2004" spans="1:11" s="2" customFormat="1" x14ac:dyDescent="0.25">
      <c r="A2004" s="28" t="s">
        <v>4246</v>
      </c>
      <c r="B2004" s="29">
        <v>25</v>
      </c>
      <c r="C2004" s="28"/>
      <c r="D2004" s="28" t="s">
        <v>76</v>
      </c>
      <c r="E2004" s="3"/>
      <c r="H2004" s="7"/>
      <c r="K2004" s="30"/>
    </row>
    <row r="2005" spans="1:11" s="2" customFormat="1" x14ac:dyDescent="0.25">
      <c r="A2005" s="28" t="s">
        <v>4247</v>
      </c>
      <c r="B2005" s="29">
        <v>45</v>
      </c>
      <c r="C2005" s="28"/>
      <c r="D2005" s="28" t="s">
        <v>76</v>
      </c>
      <c r="E2005" s="3"/>
      <c r="H2005" s="7"/>
      <c r="K2005" s="30"/>
    </row>
    <row r="2006" spans="1:11" s="2" customFormat="1" x14ac:dyDescent="0.25">
      <c r="A2006" s="28" t="s">
        <v>4248</v>
      </c>
      <c r="B2006" s="29">
        <v>40</v>
      </c>
      <c r="C2006" s="28"/>
      <c r="D2006" s="28" t="s">
        <v>76</v>
      </c>
      <c r="E2006" s="3"/>
      <c r="H2006" s="7"/>
      <c r="K2006" s="30"/>
    </row>
    <row r="2007" spans="1:11" s="2" customFormat="1" x14ac:dyDescent="0.25">
      <c r="A2007" s="28" t="s">
        <v>4249</v>
      </c>
      <c r="B2007" s="29">
        <v>34</v>
      </c>
      <c r="C2007" s="28"/>
      <c r="D2007" s="28" t="s">
        <v>76</v>
      </c>
      <c r="E2007" s="3"/>
      <c r="H2007" s="7"/>
      <c r="K2007" s="30"/>
    </row>
    <row r="2008" spans="1:11" s="2" customFormat="1" x14ac:dyDescent="0.25">
      <c r="A2008" s="28" t="s">
        <v>4250</v>
      </c>
      <c r="B2008" s="29">
        <v>12</v>
      </c>
      <c r="C2008" s="28"/>
      <c r="D2008" s="28" t="s">
        <v>76</v>
      </c>
      <c r="E2008" s="3"/>
      <c r="H2008" s="7"/>
      <c r="K2008" s="30"/>
    </row>
    <row r="2009" spans="1:11" s="2" customFormat="1" x14ac:dyDescent="0.25">
      <c r="A2009" s="28" t="s">
        <v>4251</v>
      </c>
      <c r="B2009" s="29">
        <v>2</v>
      </c>
      <c r="C2009" s="28"/>
      <c r="D2009" s="28" t="s">
        <v>76</v>
      </c>
      <c r="E2009" s="3"/>
      <c r="H2009" s="7"/>
      <c r="K2009" s="30"/>
    </row>
    <row r="2010" spans="1:11" s="2" customFormat="1" x14ac:dyDescent="0.25">
      <c r="A2010" s="28" t="s">
        <v>4252</v>
      </c>
      <c r="B2010" s="29">
        <v>7</v>
      </c>
      <c r="C2010" s="28"/>
      <c r="D2010" s="28" t="s">
        <v>76</v>
      </c>
      <c r="E2010" s="3"/>
      <c r="H2010" s="7"/>
      <c r="K2010" s="30"/>
    </row>
    <row r="2011" spans="1:11" s="2" customFormat="1" x14ac:dyDescent="0.25">
      <c r="A2011" s="28" t="s">
        <v>4253</v>
      </c>
      <c r="B2011" s="29">
        <v>23</v>
      </c>
      <c r="C2011" s="28"/>
      <c r="D2011" s="28" t="s">
        <v>76</v>
      </c>
      <c r="E2011" s="3"/>
      <c r="H2011" s="7"/>
      <c r="K2011" s="30"/>
    </row>
    <row r="2012" spans="1:11" s="2" customFormat="1" x14ac:dyDescent="0.25">
      <c r="A2012" s="28" t="s">
        <v>4254</v>
      </c>
      <c r="B2012" s="29">
        <v>45</v>
      </c>
      <c r="C2012" s="28"/>
      <c r="D2012" s="28" t="s">
        <v>76</v>
      </c>
      <c r="E2012" s="3"/>
      <c r="H2012" s="7"/>
      <c r="K2012" s="30"/>
    </row>
    <row r="2013" spans="1:11" s="2" customFormat="1" x14ac:dyDescent="0.25">
      <c r="A2013" s="28" t="s">
        <v>4255</v>
      </c>
      <c r="B2013" s="29">
        <v>4</v>
      </c>
      <c r="C2013" s="28"/>
      <c r="D2013" s="28" t="s">
        <v>76</v>
      </c>
      <c r="E2013" s="3"/>
      <c r="H2013" s="7"/>
      <c r="K2013" s="30"/>
    </row>
    <row r="2014" spans="1:11" s="2" customFormat="1" x14ac:dyDescent="0.25">
      <c r="A2014" s="28" t="s">
        <v>4256</v>
      </c>
      <c r="B2014" s="29">
        <v>42</v>
      </c>
      <c r="C2014" s="28"/>
      <c r="D2014" s="28" t="s">
        <v>76</v>
      </c>
      <c r="E2014" s="3"/>
      <c r="H2014" s="7"/>
      <c r="K2014" s="30"/>
    </row>
    <row r="2015" spans="1:11" s="2" customFormat="1" x14ac:dyDescent="0.25">
      <c r="A2015" s="28" t="s">
        <v>4257</v>
      </c>
      <c r="B2015" s="29">
        <v>40</v>
      </c>
      <c r="C2015" s="28"/>
      <c r="D2015" s="28" t="s">
        <v>76</v>
      </c>
      <c r="E2015" s="3"/>
      <c r="H2015" s="7"/>
      <c r="K2015" s="30"/>
    </row>
    <row r="2016" spans="1:11" s="2" customFormat="1" x14ac:dyDescent="0.25">
      <c r="A2016" s="28" t="s">
        <v>4258</v>
      </c>
      <c r="B2016" s="29">
        <v>10</v>
      </c>
      <c r="C2016" s="28"/>
      <c r="D2016" s="28" t="s">
        <v>76</v>
      </c>
      <c r="E2016" s="3"/>
      <c r="H2016" s="7"/>
      <c r="K2016" s="30"/>
    </row>
    <row r="2017" spans="1:11" s="2" customFormat="1" x14ac:dyDescent="0.25">
      <c r="A2017" s="28" t="s">
        <v>4259</v>
      </c>
      <c r="B2017" s="29">
        <v>40</v>
      </c>
      <c r="C2017" s="28"/>
      <c r="D2017" s="28" t="s">
        <v>76</v>
      </c>
      <c r="E2017" s="3"/>
      <c r="H2017" s="7"/>
      <c r="K2017" s="30"/>
    </row>
    <row r="2018" spans="1:11" s="2" customFormat="1" x14ac:dyDescent="0.25">
      <c r="A2018" s="28" t="s">
        <v>4260</v>
      </c>
      <c r="B2018" s="29">
        <v>40</v>
      </c>
      <c r="C2018" s="28"/>
      <c r="D2018" s="28" t="s">
        <v>76</v>
      </c>
      <c r="E2018" s="3"/>
      <c r="H2018" s="7"/>
      <c r="K2018" s="30"/>
    </row>
    <row r="2019" spans="1:11" s="2" customFormat="1" x14ac:dyDescent="0.25">
      <c r="A2019" s="28" t="s">
        <v>4261</v>
      </c>
      <c r="B2019" s="29">
        <v>5</v>
      </c>
      <c r="C2019" s="28"/>
      <c r="D2019" s="28" t="s">
        <v>76</v>
      </c>
      <c r="E2019" s="3"/>
      <c r="H2019" s="7"/>
      <c r="K2019" s="30"/>
    </row>
    <row r="2020" spans="1:11" s="2" customFormat="1" x14ac:dyDescent="0.25">
      <c r="A2020" s="28" t="s">
        <v>4262</v>
      </c>
      <c r="B2020" s="29">
        <v>116</v>
      </c>
      <c r="C2020" s="28"/>
      <c r="D2020" s="28" t="s">
        <v>76</v>
      </c>
      <c r="E2020" s="3"/>
      <c r="H2020" s="7"/>
      <c r="K2020" s="30"/>
    </row>
    <row r="2021" spans="1:11" s="2" customFormat="1" x14ac:dyDescent="0.25">
      <c r="A2021" s="28" t="s">
        <v>4263</v>
      </c>
      <c r="B2021" s="29">
        <v>3</v>
      </c>
      <c r="C2021" s="28"/>
      <c r="D2021" s="28" t="s">
        <v>76</v>
      </c>
      <c r="E2021" s="3"/>
      <c r="H2021" s="7"/>
      <c r="K2021" s="30"/>
    </row>
    <row r="2022" spans="1:11" s="2" customFormat="1" x14ac:dyDescent="0.25">
      <c r="A2022" s="28" t="s">
        <v>4264</v>
      </c>
      <c r="B2022" s="29">
        <v>47</v>
      </c>
      <c r="C2022" s="28"/>
      <c r="D2022" s="28" t="s">
        <v>76</v>
      </c>
      <c r="E2022" s="3"/>
      <c r="H2022" s="7"/>
      <c r="K2022" s="30"/>
    </row>
    <row r="2023" spans="1:11" s="2" customFormat="1" x14ac:dyDescent="0.25">
      <c r="A2023" s="28" t="s">
        <v>4265</v>
      </c>
      <c r="B2023" s="29">
        <v>7</v>
      </c>
      <c r="C2023" s="28"/>
      <c r="D2023" s="28" t="s">
        <v>76</v>
      </c>
      <c r="E2023" s="3"/>
      <c r="H2023" s="7"/>
      <c r="K2023" s="30"/>
    </row>
    <row r="2024" spans="1:11" s="2" customFormat="1" x14ac:dyDescent="0.25">
      <c r="A2024" s="28" t="s">
        <v>4266</v>
      </c>
      <c r="B2024" s="29">
        <v>32</v>
      </c>
      <c r="C2024" s="28"/>
      <c r="D2024" s="28" t="s">
        <v>76</v>
      </c>
      <c r="E2024" s="3"/>
      <c r="H2024" s="7"/>
      <c r="K2024" s="30"/>
    </row>
    <row r="2025" spans="1:11" s="2" customFormat="1" x14ac:dyDescent="0.25">
      <c r="A2025" s="28" t="s">
        <v>4267</v>
      </c>
      <c r="B2025" s="29">
        <v>37</v>
      </c>
      <c r="C2025" s="28"/>
      <c r="D2025" s="28" t="s">
        <v>76</v>
      </c>
      <c r="E2025" s="3"/>
      <c r="H2025" s="7"/>
      <c r="K2025" s="30"/>
    </row>
    <row r="2026" spans="1:11" s="2" customFormat="1" x14ac:dyDescent="0.25">
      <c r="A2026" s="28" t="s">
        <v>4268</v>
      </c>
      <c r="B2026" s="29">
        <v>36</v>
      </c>
      <c r="C2026" s="28"/>
      <c r="D2026" s="28" t="s">
        <v>76</v>
      </c>
      <c r="E2026" s="3"/>
      <c r="H2026" s="7"/>
      <c r="K2026" s="30"/>
    </row>
    <row r="2027" spans="1:11" s="2" customFormat="1" x14ac:dyDescent="0.25">
      <c r="A2027" s="28" t="s">
        <v>4269</v>
      </c>
      <c r="B2027" s="29">
        <v>11</v>
      </c>
      <c r="C2027" s="28"/>
      <c r="D2027" s="28" t="s">
        <v>76</v>
      </c>
      <c r="E2027" s="3"/>
      <c r="H2027" s="7"/>
      <c r="K2027" s="30"/>
    </row>
    <row r="2028" spans="1:11" s="2" customFormat="1" x14ac:dyDescent="0.25">
      <c r="A2028" s="28" t="s">
        <v>4270</v>
      </c>
      <c r="B2028" s="29">
        <v>40</v>
      </c>
      <c r="C2028" s="28"/>
      <c r="D2028" s="28" t="s">
        <v>76</v>
      </c>
      <c r="E2028" s="3"/>
      <c r="H2028" s="7"/>
      <c r="K2028" s="30"/>
    </row>
    <row r="2029" spans="1:11" s="2" customFormat="1" x14ac:dyDescent="0.25">
      <c r="A2029" s="28" t="s">
        <v>4271</v>
      </c>
      <c r="B2029" s="29">
        <v>49</v>
      </c>
      <c r="C2029" s="28"/>
      <c r="D2029" s="28" t="s">
        <v>76</v>
      </c>
      <c r="E2029" s="3"/>
      <c r="H2029" s="7"/>
      <c r="K2029" s="30"/>
    </row>
    <row r="2030" spans="1:11" s="2" customFormat="1" x14ac:dyDescent="0.25">
      <c r="A2030" s="28" t="s">
        <v>4272</v>
      </c>
      <c r="B2030" s="29">
        <v>39</v>
      </c>
      <c r="C2030" s="28"/>
      <c r="D2030" s="28" t="s">
        <v>76</v>
      </c>
      <c r="E2030" s="3"/>
      <c r="H2030" s="7"/>
      <c r="K2030" s="30"/>
    </row>
    <row r="2031" spans="1:11" s="2" customFormat="1" x14ac:dyDescent="0.25">
      <c r="A2031" s="28" t="s">
        <v>4273</v>
      </c>
      <c r="B2031" s="29">
        <v>37</v>
      </c>
      <c r="C2031" s="28"/>
      <c r="D2031" s="28" t="s">
        <v>76</v>
      </c>
      <c r="E2031" s="3"/>
      <c r="H2031" s="7"/>
      <c r="K2031" s="30"/>
    </row>
    <row r="2032" spans="1:11" s="2" customFormat="1" x14ac:dyDescent="0.25">
      <c r="A2032" s="28" t="s">
        <v>4274</v>
      </c>
      <c r="B2032" s="29">
        <v>37</v>
      </c>
      <c r="C2032" s="28"/>
      <c r="D2032" s="28" t="s">
        <v>76</v>
      </c>
      <c r="E2032" s="3"/>
      <c r="H2032" s="7"/>
      <c r="K2032" s="30"/>
    </row>
    <row r="2033" spans="1:11" s="2" customFormat="1" x14ac:dyDescent="0.25">
      <c r="A2033" s="28" t="s">
        <v>4275</v>
      </c>
      <c r="B2033" s="29">
        <v>38</v>
      </c>
      <c r="C2033" s="28"/>
      <c r="D2033" s="28" t="s">
        <v>76</v>
      </c>
      <c r="E2033" s="3"/>
      <c r="H2033" s="7"/>
      <c r="K2033" s="30"/>
    </row>
    <row r="2034" spans="1:11" s="2" customFormat="1" x14ac:dyDescent="0.25">
      <c r="A2034" s="28" t="s">
        <v>4276</v>
      </c>
      <c r="B2034" s="29">
        <v>48</v>
      </c>
      <c r="C2034" s="28"/>
      <c r="D2034" s="28" t="s">
        <v>76</v>
      </c>
      <c r="E2034" s="3"/>
      <c r="H2034" s="7"/>
      <c r="K2034" s="30"/>
    </row>
    <row r="2035" spans="1:11" s="2" customFormat="1" x14ac:dyDescent="0.25">
      <c r="A2035" s="28" t="s">
        <v>4277</v>
      </c>
      <c r="B2035" s="29">
        <v>4</v>
      </c>
      <c r="C2035" s="28"/>
      <c r="D2035" s="28" t="s">
        <v>76</v>
      </c>
      <c r="E2035" s="3"/>
      <c r="H2035" s="7"/>
      <c r="K2035" s="30"/>
    </row>
    <row r="2036" spans="1:11" s="2" customFormat="1" x14ac:dyDescent="0.25">
      <c r="A2036" s="28" t="s">
        <v>4278</v>
      </c>
      <c r="B2036" s="29">
        <v>45</v>
      </c>
      <c r="C2036" s="28"/>
      <c r="D2036" s="28" t="s">
        <v>76</v>
      </c>
      <c r="E2036" s="3"/>
      <c r="H2036" s="7"/>
      <c r="K2036" s="30"/>
    </row>
    <row r="2037" spans="1:11" s="2" customFormat="1" x14ac:dyDescent="0.25">
      <c r="A2037" s="28" t="s">
        <v>4279</v>
      </c>
      <c r="B2037" s="29">
        <v>45</v>
      </c>
      <c r="C2037" s="28"/>
      <c r="D2037" s="28" t="s">
        <v>76</v>
      </c>
      <c r="E2037" s="3"/>
      <c r="H2037" s="7"/>
      <c r="K2037" s="30"/>
    </row>
    <row r="2038" spans="1:11" s="2" customFormat="1" x14ac:dyDescent="0.25">
      <c r="A2038" s="28" t="s">
        <v>4280</v>
      </c>
      <c r="B2038" s="29">
        <v>18</v>
      </c>
      <c r="C2038" s="28"/>
      <c r="D2038" s="28" t="s">
        <v>76</v>
      </c>
      <c r="E2038" s="3"/>
      <c r="H2038" s="7"/>
      <c r="K2038" s="30"/>
    </row>
    <row r="2039" spans="1:11" s="2" customFormat="1" x14ac:dyDescent="0.25">
      <c r="A2039" s="28" t="s">
        <v>4281</v>
      </c>
      <c r="B2039" s="29">
        <v>18</v>
      </c>
      <c r="C2039" s="28"/>
      <c r="D2039" s="28" t="s">
        <v>76</v>
      </c>
      <c r="E2039" s="3"/>
      <c r="H2039" s="7"/>
      <c r="K2039" s="30"/>
    </row>
    <row r="2040" spans="1:11" s="2" customFormat="1" x14ac:dyDescent="0.25">
      <c r="A2040" s="28" t="s">
        <v>4282</v>
      </c>
      <c r="B2040" s="29">
        <v>18</v>
      </c>
      <c r="C2040" s="28"/>
      <c r="D2040" s="28" t="s">
        <v>76</v>
      </c>
      <c r="E2040" s="3"/>
      <c r="H2040" s="7"/>
      <c r="K2040" s="30"/>
    </row>
    <row r="2041" spans="1:11" s="2" customFormat="1" x14ac:dyDescent="0.25">
      <c r="A2041" s="28" t="s">
        <v>4283</v>
      </c>
      <c r="B2041" s="29">
        <v>20</v>
      </c>
      <c r="C2041" s="28"/>
      <c r="D2041" s="28" t="s">
        <v>76</v>
      </c>
      <c r="E2041" s="3"/>
      <c r="H2041" s="7"/>
      <c r="K2041" s="30"/>
    </row>
    <row r="2042" spans="1:11" s="2" customFormat="1" x14ac:dyDescent="0.25">
      <c r="A2042" s="28" t="s">
        <v>4284</v>
      </c>
      <c r="B2042" s="29">
        <v>15</v>
      </c>
      <c r="C2042" s="28"/>
      <c r="D2042" s="28" t="s">
        <v>76</v>
      </c>
      <c r="E2042" s="3"/>
      <c r="H2042" s="7"/>
      <c r="K2042" s="30"/>
    </row>
    <row r="2043" spans="1:11" s="2" customFormat="1" x14ac:dyDescent="0.25">
      <c r="A2043" s="28" t="s">
        <v>4285</v>
      </c>
      <c r="B2043" s="29">
        <v>15</v>
      </c>
      <c r="C2043" s="28"/>
      <c r="D2043" s="28" t="s">
        <v>76</v>
      </c>
      <c r="E2043" s="3"/>
      <c r="H2043" s="7"/>
      <c r="K2043" s="30"/>
    </row>
    <row r="2044" spans="1:11" s="2" customFormat="1" x14ac:dyDescent="0.25">
      <c r="A2044" s="28" t="s">
        <v>4286</v>
      </c>
      <c r="B2044" s="29">
        <v>15</v>
      </c>
      <c r="C2044" s="28"/>
      <c r="D2044" s="28" t="s">
        <v>76</v>
      </c>
      <c r="E2044" s="3"/>
      <c r="H2044" s="7"/>
      <c r="K2044" s="30"/>
    </row>
    <row r="2045" spans="1:11" s="2" customFormat="1" x14ac:dyDescent="0.25">
      <c r="A2045" s="28" t="s">
        <v>4287</v>
      </c>
      <c r="B2045" s="29">
        <v>15</v>
      </c>
      <c r="C2045" s="28"/>
      <c r="D2045" s="28" t="s">
        <v>76</v>
      </c>
      <c r="E2045" s="3"/>
      <c r="H2045" s="7"/>
      <c r="K2045" s="30"/>
    </row>
    <row r="2046" spans="1:11" s="2" customFormat="1" x14ac:dyDescent="0.25">
      <c r="A2046" s="28" t="s">
        <v>4288</v>
      </c>
      <c r="B2046" s="29">
        <v>29</v>
      </c>
      <c r="C2046" s="28"/>
      <c r="D2046" s="28" t="s">
        <v>76</v>
      </c>
      <c r="E2046" s="3"/>
      <c r="H2046" s="7"/>
      <c r="K2046" s="30"/>
    </row>
    <row r="2047" spans="1:11" s="2" customFormat="1" x14ac:dyDescent="0.25">
      <c r="A2047" s="28" t="s">
        <v>4289</v>
      </c>
      <c r="B2047" s="29">
        <v>40</v>
      </c>
      <c r="C2047" s="28"/>
      <c r="D2047" s="28" t="s">
        <v>76</v>
      </c>
      <c r="E2047" s="3"/>
      <c r="H2047" s="7"/>
      <c r="K2047" s="30"/>
    </row>
    <row r="2048" spans="1:11" s="2" customFormat="1" x14ac:dyDescent="0.25">
      <c r="A2048" s="28" t="s">
        <v>4290</v>
      </c>
      <c r="B2048" s="29">
        <v>44</v>
      </c>
      <c r="C2048" s="28"/>
      <c r="D2048" s="28" t="s">
        <v>76</v>
      </c>
      <c r="E2048" s="3"/>
      <c r="H2048" s="7"/>
      <c r="K2048" s="30"/>
    </row>
    <row r="2049" spans="1:11" s="2" customFormat="1" x14ac:dyDescent="0.25">
      <c r="A2049" s="28" t="s">
        <v>4291</v>
      </c>
      <c r="B2049" s="29">
        <v>17</v>
      </c>
      <c r="C2049" s="28"/>
      <c r="D2049" s="28" t="s">
        <v>76</v>
      </c>
      <c r="E2049" s="3"/>
      <c r="H2049" s="7"/>
      <c r="K2049" s="30"/>
    </row>
    <row r="2050" spans="1:11" s="2" customFormat="1" x14ac:dyDescent="0.25">
      <c r="A2050" s="28" t="s">
        <v>4292</v>
      </c>
      <c r="B2050" s="29">
        <v>25</v>
      </c>
      <c r="C2050" s="28"/>
      <c r="D2050" s="28" t="s">
        <v>76</v>
      </c>
      <c r="E2050" s="3"/>
      <c r="H2050" s="7"/>
      <c r="K2050" s="30"/>
    </row>
    <row r="2051" spans="1:11" s="2" customFormat="1" x14ac:dyDescent="0.25">
      <c r="A2051" s="28" t="s">
        <v>4293</v>
      </c>
      <c r="B2051" s="29">
        <v>57</v>
      </c>
      <c r="C2051" s="28"/>
      <c r="D2051" s="28" t="s">
        <v>76</v>
      </c>
      <c r="E2051" s="3"/>
      <c r="H2051" s="7"/>
      <c r="K2051" s="30"/>
    </row>
    <row r="2052" spans="1:11" s="2" customFormat="1" x14ac:dyDescent="0.25">
      <c r="A2052" s="28" t="s">
        <v>4294</v>
      </c>
      <c r="B2052" s="29">
        <v>12</v>
      </c>
      <c r="C2052" s="28"/>
      <c r="D2052" s="28" t="s">
        <v>76</v>
      </c>
      <c r="E2052" s="3"/>
      <c r="H2052" s="7"/>
      <c r="K2052" s="30"/>
    </row>
    <row r="2053" spans="1:11" s="2" customFormat="1" x14ac:dyDescent="0.25">
      <c r="A2053" s="28" t="s">
        <v>4295</v>
      </c>
      <c r="B2053" s="29">
        <v>4</v>
      </c>
      <c r="C2053" s="28"/>
      <c r="D2053" s="28" t="s">
        <v>76</v>
      </c>
      <c r="E2053" s="3"/>
      <c r="H2053" s="7"/>
      <c r="K2053" s="30"/>
    </row>
    <row r="2054" spans="1:11" s="2" customFormat="1" x14ac:dyDescent="0.25">
      <c r="A2054" s="28" t="s">
        <v>4296</v>
      </c>
      <c r="B2054" s="29">
        <v>31</v>
      </c>
      <c r="C2054" s="28"/>
      <c r="D2054" s="28" t="s">
        <v>76</v>
      </c>
      <c r="E2054" s="3"/>
      <c r="H2054" s="7"/>
      <c r="K2054" s="30"/>
    </row>
    <row r="2055" spans="1:11" s="2" customFormat="1" x14ac:dyDescent="0.25">
      <c r="A2055" s="28" t="s">
        <v>4297</v>
      </c>
      <c r="B2055" s="29">
        <v>40</v>
      </c>
      <c r="C2055" s="28"/>
      <c r="D2055" s="28" t="s">
        <v>76</v>
      </c>
      <c r="E2055" s="3"/>
      <c r="H2055" s="7"/>
      <c r="K2055" s="30"/>
    </row>
    <row r="2056" spans="1:11" s="2" customFormat="1" x14ac:dyDescent="0.25">
      <c r="A2056" s="28" t="s">
        <v>4298</v>
      </c>
      <c r="B2056" s="29">
        <v>52</v>
      </c>
      <c r="C2056" s="28"/>
      <c r="D2056" s="28" t="s">
        <v>76</v>
      </c>
      <c r="E2056" s="3"/>
      <c r="H2056" s="7"/>
      <c r="K2056" s="30"/>
    </row>
    <row r="2057" spans="1:11" s="2" customFormat="1" x14ac:dyDescent="0.25">
      <c r="A2057" s="28" t="s">
        <v>4299</v>
      </c>
      <c r="B2057" s="29">
        <v>30</v>
      </c>
      <c r="C2057" s="28"/>
      <c r="D2057" s="28" t="s">
        <v>76</v>
      </c>
      <c r="E2057" s="3"/>
      <c r="H2057" s="7"/>
      <c r="K2057" s="30"/>
    </row>
    <row r="2058" spans="1:11" s="2" customFormat="1" x14ac:dyDescent="0.25">
      <c r="A2058" s="28" t="s">
        <v>4300</v>
      </c>
      <c r="B2058" s="29">
        <v>28</v>
      </c>
      <c r="C2058" s="28"/>
      <c r="D2058" s="28" t="s">
        <v>76</v>
      </c>
      <c r="E2058" s="3"/>
      <c r="H2058" s="7"/>
      <c r="K2058" s="30"/>
    </row>
    <row r="2059" spans="1:11" s="2" customFormat="1" x14ac:dyDescent="0.25">
      <c r="A2059" s="28" t="s">
        <v>4301</v>
      </c>
      <c r="B2059" s="29">
        <v>40</v>
      </c>
      <c r="C2059" s="28"/>
      <c r="D2059" s="28" t="s">
        <v>76</v>
      </c>
      <c r="E2059" s="3"/>
      <c r="H2059" s="7"/>
      <c r="K2059" s="30"/>
    </row>
    <row r="2060" spans="1:11" s="2" customFormat="1" x14ac:dyDescent="0.25">
      <c r="A2060" s="28" t="s">
        <v>4302</v>
      </c>
      <c r="B2060" s="29">
        <v>48</v>
      </c>
      <c r="C2060" s="28"/>
      <c r="D2060" s="28" t="s">
        <v>76</v>
      </c>
      <c r="E2060" s="3"/>
      <c r="H2060" s="7"/>
      <c r="K2060" s="30"/>
    </row>
    <row r="2061" spans="1:11" s="2" customFormat="1" x14ac:dyDescent="0.25">
      <c r="A2061" s="28" t="s">
        <v>4303</v>
      </c>
      <c r="B2061" s="29">
        <v>48</v>
      </c>
      <c r="C2061" s="28"/>
      <c r="D2061" s="28" t="s">
        <v>76</v>
      </c>
      <c r="E2061" s="3"/>
      <c r="H2061" s="7"/>
      <c r="K2061" s="30"/>
    </row>
    <row r="2062" spans="1:11" s="2" customFormat="1" x14ac:dyDescent="0.25">
      <c r="A2062" s="28" t="s">
        <v>4304</v>
      </c>
      <c r="B2062" s="29">
        <v>11</v>
      </c>
      <c r="C2062" s="28"/>
      <c r="D2062" s="28" t="s">
        <v>76</v>
      </c>
      <c r="E2062" s="3"/>
      <c r="H2062" s="7"/>
      <c r="K2062" s="30"/>
    </row>
    <row r="2063" spans="1:11" s="2" customFormat="1" x14ac:dyDescent="0.25">
      <c r="A2063" s="28" t="s">
        <v>4305</v>
      </c>
      <c r="B2063" s="29">
        <v>25</v>
      </c>
      <c r="C2063" s="28"/>
      <c r="D2063" s="28" t="s">
        <v>76</v>
      </c>
      <c r="E2063" s="3"/>
      <c r="H2063" s="7"/>
      <c r="K2063" s="30"/>
    </row>
    <row r="2064" spans="1:11" s="2" customFormat="1" x14ac:dyDescent="0.25">
      <c r="A2064" s="28" t="s">
        <v>4306</v>
      </c>
      <c r="B2064" s="29">
        <v>29</v>
      </c>
      <c r="C2064" s="28"/>
      <c r="D2064" s="28" t="s">
        <v>76</v>
      </c>
      <c r="E2064" s="3"/>
      <c r="H2064" s="7"/>
      <c r="K2064" s="30"/>
    </row>
    <row r="2065" spans="1:11" s="2" customFormat="1" x14ac:dyDescent="0.25">
      <c r="A2065" s="28" t="s">
        <v>4307</v>
      </c>
      <c r="B2065" s="29">
        <v>44</v>
      </c>
      <c r="C2065" s="28"/>
      <c r="D2065" s="28" t="s">
        <v>76</v>
      </c>
      <c r="E2065" s="3"/>
      <c r="H2065" s="7"/>
      <c r="K2065" s="30"/>
    </row>
    <row r="2066" spans="1:11" s="2" customFormat="1" x14ac:dyDescent="0.25">
      <c r="A2066" s="28" t="s">
        <v>4308</v>
      </c>
      <c r="B2066" s="29">
        <v>31</v>
      </c>
      <c r="C2066" s="28"/>
      <c r="D2066" s="28" t="s">
        <v>76</v>
      </c>
      <c r="E2066" s="3"/>
      <c r="H2066" s="7"/>
      <c r="K2066" s="30"/>
    </row>
    <row r="2067" spans="1:11" s="2" customFormat="1" x14ac:dyDescent="0.25">
      <c r="A2067" s="28" t="s">
        <v>4309</v>
      </c>
      <c r="B2067" s="29">
        <v>5</v>
      </c>
      <c r="C2067" s="28"/>
      <c r="D2067" s="28" t="s">
        <v>76</v>
      </c>
      <c r="E2067" s="3"/>
      <c r="H2067" s="7"/>
      <c r="K2067" s="30"/>
    </row>
    <row r="2068" spans="1:11" s="2" customFormat="1" x14ac:dyDescent="0.25">
      <c r="A2068" s="28" t="s">
        <v>4310</v>
      </c>
      <c r="B2068" s="29">
        <v>5</v>
      </c>
      <c r="C2068" s="28"/>
      <c r="D2068" s="28" t="s">
        <v>76</v>
      </c>
      <c r="E2068" s="3"/>
      <c r="H2068" s="7"/>
      <c r="K2068" s="30"/>
    </row>
    <row r="2069" spans="1:11" s="2" customFormat="1" x14ac:dyDescent="0.25">
      <c r="A2069" s="28" t="s">
        <v>4311</v>
      </c>
      <c r="B2069" s="29">
        <v>24</v>
      </c>
      <c r="C2069" s="28"/>
      <c r="D2069" s="28" t="s">
        <v>76</v>
      </c>
      <c r="E2069" s="3"/>
      <c r="H2069" s="7"/>
      <c r="K2069" s="30"/>
    </row>
    <row r="2070" spans="1:11" s="2" customFormat="1" x14ac:dyDescent="0.25">
      <c r="A2070" s="28" t="s">
        <v>4312</v>
      </c>
      <c r="B2070" s="29">
        <v>37</v>
      </c>
      <c r="C2070" s="28"/>
      <c r="D2070" s="28" t="s">
        <v>76</v>
      </c>
      <c r="E2070" s="3"/>
      <c r="H2070" s="7"/>
      <c r="K2070" s="30"/>
    </row>
    <row r="2071" spans="1:11" s="2" customFormat="1" x14ac:dyDescent="0.25">
      <c r="A2071" s="28" t="s">
        <v>4313</v>
      </c>
      <c r="B2071" s="29">
        <v>44</v>
      </c>
      <c r="C2071" s="28"/>
      <c r="D2071" s="28" t="s">
        <v>76</v>
      </c>
      <c r="E2071" s="3"/>
      <c r="H2071" s="7"/>
      <c r="K2071" s="30"/>
    </row>
    <row r="2072" spans="1:11" s="2" customFormat="1" x14ac:dyDescent="0.25">
      <c r="A2072" s="28" t="s">
        <v>4314</v>
      </c>
      <c r="B2072" s="29">
        <v>40</v>
      </c>
      <c r="C2072" s="28"/>
      <c r="D2072" s="28" t="s">
        <v>76</v>
      </c>
      <c r="E2072" s="3"/>
      <c r="H2072" s="7"/>
      <c r="K2072" s="30"/>
    </row>
    <row r="2073" spans="1:11" s="2" customFormat="1" x14ac:dyDescent="0.25">
      <c r="A2073" s="28" t="s">
        <v>4315</v>
      </c>
      <c r="B2073" s="29">
        <v>48</v>
      </c>
      <c r="C2073" s="28"/>
      <c r="D2073" s="28" t="s">
        <v>76</v>
      </c>
      <c r="E2073" s="3"/>
      <c r="H2073" s="7"/>
      <c r="K2073" s="30"/>
    </row>
    <row r="2074" spans="1:11" s="2" customFormat="1" x14ac:dyDescent="0.25">
      <c r="A2074" s="28" t="s">
        <v>4316</v>
      </c>
      <c r="B2074" s="29">
        <v>15</v>
      </c>
      <c r="C2074" s="28"/>
      <c r="D2074" s="28" t="s">
        <v>76</v>
      </c>
      <c r="E2074" s="3"/>
      <c r="H2074" s="7"/>
      <c r="K2074" s="30"/>
    </row>
    <row r="2075" spans="1:11" s="2" customFormat="1" x14ac:dyDescent="0.25">
      <c r="A2075" s="28" t="s">
        <v>4317</v>
      </c>
      <c r="B2075" s="29">
        <v>20</v>
      </c>
      <c r="C2075" s="28"/>
      <c r="D2075" s="28" t="s">
        <v>76</v>
      </c>
      <c r="E2075" s="3"/>
      <c r="H2075" s="7"/>
      <c r="K2075" s="30"/>
    </row>
    <row r="2076" spans="1:11" s="2" customFormat="1" x14ac:dyDescent="0.25">
      <c r="A2076" s="28" t="s">
        <v>4318</v>
      </c>
      <c r="B2076" s="29">
        <v>32</v>
      </c>
      <c r="C2076" s="28"/>
      <c r="D2076" s="28" t="s">
        <v>76</v>
      </c>
      <c r="E2076" s="3"/>
      <c r="H2076" s="7"/>
      <c r="K2076" s="30"/>
    </row>
    <row r="2077" spans="1:11" s="2" customFormat="1" x14ac:dyDescent="0.25">
      <c r="A2077" s="28" t="s">
        <v>4319</v>
      </c>
      <c r="B2077" s="29">
        <v>25</v>
      </c>
      <c r="C2077" s="28"/>
      <c r="D2077" s="28" t="s">
        <v>76</v>
      </c>
      <c r="E2077" s="3"/>
      <c r="H2077" s="7"/>
      <c r="K2077" s="30"/>
    </row>
    <row r="2078" spans="1:11" s="2" customFormat="1" x14ac:dyDescent="0.25">
      <c r="A2078" s="28" t="s">
        <v>4320</v>
      </c>
      <c r="B2078" s="29">
        <v>25</v>
      </c>
      <c r="C2078" s="28"/>
      <c r="D2078" s="28" t="s">
        <v>76</v>
      </c>
      <c r="E2078" s="3"/>
      <c r="H2078" s="7"/>
      <c r="K2078" s="30"/>
    </row>
    <row r="2079" spans="1:11" s="2" customFormat="1" x14ac:dyDescent="0.25">
      <c r="A2079" s="28" t="s">
        <v>4321</v>
      </c>
      <c r="B2079" s="29">
        <v>46</v>
      </c>
      <c r="C2079" s="28"/>
      <c r="D2079" s="28" t="s">
        <v>76</v>
      </c>
      <c r="E2079" s="3"/>
      <c r="H2079" s="7"/>
      <c r="K2079" s="30"/>
    </row>
    <row r="2080" spans="1:11" s="2" customFormat="1" x14ac:dyDescent="0.25">
      <c r="A2080" s="28" t="s">
        <v>4322</v>
      </c>
      <c r="B2080" s="29">
        <v>34</v>
      </c>
      <c r="C2080" s="28"/>
      <c r="D2080" s="28" t="s">
        <v>76</v>
      </c>
      <c r="E2080" s="3"/>
      <c r="H2080" s="7"/>
      <c r="K2080" s="30"/>
    </row>
    <row r="2081" spans="1:11" s="2" customFormat="1" x14ac:dyDescent="0.25">
      <c r="A2081" s="28" t="s">
        <v>4323</v>
      </c>
      <c r="B2081" s="29">
        <v>45</v>
      </c>
      <c r="C2081" s="28"/>
      <c r="D2081" s="28" t="s">
        <v>76</v>
      </c>
      <c r="E2081" s="3"/>
      <c r="H2081" s="7"/>
      <c r="K2081" s="30"/>
    </row>
    <row r="2082" spans="1:11" s="2" customFormat="1" x14ac:dyDescent="0.25">
      <c r="A2082" s="28" t="s">
        <v>2126</v>
      </c>
      <c r="B2082" s="29">
        <v>10</v>
      </c>
      <c r="C2082" s="28"/>
      <c r="D2082" s="28" t="s">
        <v>76</v>
      </c>
      <c r="E2082" s="3"/>
      <c r="H2082" s="7"/>
      <c r="K2082" s="30"/>
    </row>
    <row r="2083" spans="1:11" s="2" customFormat="1" x14ac:dyDescent="0.25">
      <c r="A2083" s="28" t="s">
        <v>4324</v>
      </c>
      <c r="B2083" s="29">
        <v>33</v>
      </c>
      <c r="C2083" s="28"/>
      <c r="D2083" s="28" t="s">
        <v>76</v>
      </c>
      <c r="E2083" s="3"/>
      <c r="H2083" s="7"/>
      <c r="K2083" s="30"/>
    </row>
    <row r="2084" spans="1:11" s="2" customFormat="1" x14ac:dyDescent="0.25">
      <c r="A2084" s="28" t="s">
        <v>4325</v>
      </c>
      <c r="B2084" s="29">
        <v>42</v>
      </c>
      <c r="C2084" s="28"/>
      <c r="D2084" s="28" t="s">
        <v>76</v>
      </c>
      <c r="E2084" s="3"/>
      <c r="H2084" s="7"/>
      <c r="K2084" s="30"/>
    </row>
    <row r="2085" spans="1:11" s="2" customFormat="1" x14ac:dyDescent="0.25">
      <c r="A2085" s="28" t="s">
        <v>4326</v>
      </c>
      <c r="B2085" s="29">
        <v>46</v>
      </c>
      <c r="C2085" s="28"/>
      <c r="D2085" s="28" t="s">
        <v>76</v>
      </c>
      <c r="E2085" s="3"/>
      <c r="H2085" s="7"/>
      <c r="K2085" s="30"/>
    </row>
    <row r="2086" spans="1:11" s="2" customFormat="1" x14ac:dyDescent="0.25">
      <c r="A2086" s="28" t="s">
        <v>4327</v>
      </c>
      <c r="B2086" s="29">
        <v>4</v>
      </c>
      <c r="C2086" s="28"/>
      <c r="D2086" s="28" t="s">
        <v>76</v>
      </c>
      <c r="E2086" s="3"/>
      <c r="H2086" s="7"/>
      <c r="K2086" s="30"/>
    </row>
    <row r="2087" spans="1:11" s="2" customFormat="1" x14ac:dyDescent="0.25">
      <c r="A2087" s="28" t="s">
        <v>4328</v>
      </c>
      <c r="B2087" s="29">
        <v>21</v>
      </c>
      <c r="C2087" s="28"/>
      <c r="D2087" s="28" t="s">
        <v>76</v>
      </c>
      <c r="E2087" s="3"/>
      <c r="H2087" s="7"/>
      <c r="K2087" s="30"/>
    </row>
    <row r="2088" spans="1:11" s="2" customFormat="1" x14ac:dyDescent="0.25">
      <c r="A2088" s="28" t="s">
        <v>4329</v>
      </c>
      <c r="B2088" s="29">
        <v>5</v>
      </c>
      <c r="C2088" s="28"/>
      <c r="D2088" s="28" t="s">
        <v>76</v>
      </c>
      <c r="E2088" s="3"/>
      <c r="H2088" s="7"/>
      <c r="K2088" s="30"/>
    </row>
    <row r="2089" spans="1:11" s="2" customFormat="1" x14ac:dyDescent="0.25">
      <c r="A2089" s="28" t="s">
        <v>4330</v>
      </c>
      <c r="B2089" s="29">
        <v>6</v>
      </c>
      <c r="C2089" s="28"/>
      <c r="D2089" s="28" t="s">
        <v>76</v>
      </c>
      <c r="E2089" s="3"/>
      <c r="H2089" s="7"/>
      <c r="K2089" s="30"/>
    </row>
    <row r="2090" spans="1:11" s="2" customFormat="1" x14ac:dyDescent="0.25">
      <c r="A2090" s="28" t="s">
        <v>4331</v>
      </c>
      <c r="B2090" s="29">
        <v>67</v>
      </c>
      <c r="C2090" s="28"/>
      <c r="D2090" s="28" t="s">
        <v>76</v>
      </c>
      <c r="E2090" s="3"/>
      <c r="H2090" s="7"/>
      <c r="K2090" s="30"/>
    </row>
    <row r="2091" spans="1:11" s="2" customFormat="1" x14ac:dyDescent="0.25">
      <c r="A2091" s="28" t="s">
        <v>4332</v>
      </c>
      <c r="B2091" s="29">
        <v>4</v>
      </c>
      <c r="C2091" s="28"/>
      <c r="D2091" s="28" t="s">
        <v>76</v>
      </c>
      <c r="E2091" s="3"/>
      <c r="H2091" s="7"/>
      <c r="K2091" s="30"/>
    </row>
    <row r="2092" spans="1:11" s="2" customFormat="1" x14ac:dyDescent="0.25">
      <c r="A2092" s="28" t="s">
        <v>4333</v>
      </c>
      <c r="B2092" s="29">
        <v>22</v>
      </c>
      <c r="C2092" s="28"/>
      <c r="D2092" s="28" t="s">
        <v>76</v>
      </c>
      <c r="E2092" s="3"/>
      <c r="H2092" s="7"/>
      <c r="K2092" s="30"/>
    </row>
    <row r="2093" spans="1:11" s="2" customFormat="1" x14ac:dyDescent="0.25">
      <c r="A2093" s="28" t="s">
        <v>4334</v>
      </c>
      <c r="B2093" s="29">
        <v>42</v>
      </c>
      <c r="C2093" s="28"/>
      <c r="D2093" s="28" t="s">
        <v>76</v>
      </c>
      <c r="E2093" s="3"/>
      <c r="H2093" s="7"/>
      <c r="K2093" s="30"/>
    </row>
    <row r="2094" spans="1:11" s="2" customFormat="1" x14ac:dyDescent="0.25">
      <c r="A2094" s="28" t="s">
        <v>4335</v>
      </c>
      <c r="B2094" s="29">
        <v>10</v>
      </c>
      <c r="C2094" s="28"/>
      <c r="D2094" s="28" t="s">
        <v>76</v>
      </c>
      <c r="E2094" s="3"/>
      <c r="H2094" s="7"/>
      <c r="K2094" s="30"/>
    </row>
    <row r="2095" spans="1:11" s="2" customFormat="1" x14ac:dyDescent="0.25">
      <c r="A2095" s="28" t="s">
        <v>4336</v>
      </c>
      <c r="B2095" s="29">
        <v>26</v>
      </c>
      <c r="C2095" s="28"/>
      <c r="D2095" s="28" t="s">
        <v>76</v>
      </c>
      <c r="E2095" s="3"/>
      <c r="H2095" s="7"/>
      <c r="K2095" s="30"/>
    </row>
    <row r="2096" spans="1:11" s="2" customFormat="1" x14ac:dyDescent="0.25">
      <c r="A2096" s="28" t="s">
        <v>4337</v>
      </c>
      <c r="B2096" s="29">
        <v>25</v>
      </c>
      <c r="C2096" s="28"/>
      <c r="D2096" s="28" t="s">
        <v>76</v>
      </c>
      <c r="E2096" s="3"/>
      <c r="H2096" s="7"/>
      <c r="K2096" s="30"/>
    </row>
    <row r="2097" spans="1:11" s="2" customFormat="1" x14ac:dyDescent="0.25">
      <c r="A2097" s="28" t="s">
        <v>4338</v>
      </c>
      <c r="B2097" s="29">
        <v>5</v>
      </c>
      <c r="C2097" s="28"/>
      <c r="D2097" s="28" t="s">
        <v>76</v>
      </c>
      <c r="E2097" s="3"/>
      <c r="H2097" s="7"/>
      <c r="K2097" s="30"/>
    </row>
    <row r="2098" spans="1:11" s="2" customFormat="1" x14ac:dyDescent="0.25">
      <c r="A2098" s="28" t="s">
        <v>4339</v>
      </c>
      <c r="B2098" s="29">
        <v>38</v>
      </c>
      <c r="C2098" s="28"/>
      <c r="D2098" s="28" t="s">
        <v>76</v>
      </c>
      <c r="E2098" s="3"/>
      <c r="H2098" s="7"/>
      <c r="K2098" s="30"/>
    </row>
    <row r="2099" spans="1:11" s="2" customFormat="1" x14ac:dyDescent="0.25">
      <c r="A2099" s="28" t="s">
        <v>4340</v>
      </c>
      <c r="B2099" s="29">
        <v>15</v>
      </c>
      <c r="C2099" s="28"/>
      <c r="D2099" s="28" t="s">
        <v>76</v>
      </c>
      <c r="E2099" s="3"/>
      <c r="H2099" s="7"/>
      <c r="K2099" s="30"/>
    </row>
    <row r="2100" spans="1:11" s="2" customFormat="1" x14ac:dyDescent="0.25">
      <c r="A2100" s="28" t="s">
        <v>4341</v>
      </c>
      <c r="B2100" s="29">
        <v>17</v>
      </c>
      <c r="C2100" s="28"/>
      <c r="D2100" s="28" t="s">
        <v>76</v>
      </c>
      <c r="E2100" s="3"/>
      <c r="H2100" s="7"/>
      <c r="K2100" s="30"/>
    </row>
    <row r="2101" spans="1:11" s="2" customFormat="1" x14ac:dyDescent="0.25">
      <c r="A2101" s="28" t="s">
        <v>4342</v>
      </c>
      <c r="B2101" s="29">
        <v>15</v>
      </c>
      <c r="C2101" s="28"/>
      <c r="D2101" s="28" t="s">
        <v>76</v>
      </c>
      <c r="E2101" s="3"/>
      <c r="H2101" s="7"/>
      <c r="K2101" s="30"/>
    </row>
    <row r="2102" spans="1:11" s="2" customFormat="1" x14ac:dyDescent="0.25">
      <c r="A2102" s="28" t="s">
        <v>4343</v>
      </c>
      <c r="B2102" s="29">
        <v>32</v>
      </c>
      <c r="C2102" s="28"/>
      <c r="D2102" s="28" t="s">
        <v>76</v>
      </c>
      <c r="E2102" s="3"/>
      <c r="H2102" s="7"/>
      <c r="K2102" s="30"/>
    </row>
    <row r="2103" spans="1:11" s="2" customFormat="1" x14ac:dyDescent="0.25">
      <c r="A2103" s="28" t="s">
        <v>4344</v>
      </c>
      <c r="B2103" s="29">
        <v>21</v>
      </c>
      <c r="C2103" s="28"/>
      <c r="D2103" s="28" t="s">
        <v>76</v>
      </c>
      <c r="E2103" s="3"/>
      <c r="H2103" s="7"/>
      <c r="K2103" s="30"/>
    </row>
    <row r="2104" spans="1:11" s="2" customFormat="1" x14ac:dyDescent="0.25">
      <c r="A2104" s="28" t="s">
        <v>4345</v>
      </c>
      <c r="B2104" s="29">
        <v>9</v>
      </c>
      <c r="C2104" s="28"/>
      <c r="D2104" s="28" t="s">
        <v>76</v>
      </c>
      <c r="E2104" s="3"/>
      <c r="H2104" s="7"/>
      <c r="K2104" s="30"/>
    </row>
    <row r="2105" spans="1:11" s="2" customFormat="1" x14ac:dyDescent="0.25">
      <c r="A2105" s="28" t="s">
        <v>4346</v>
      </c>
      <c r="B2105" s="29">
        <v>9</v>
      </c>
      <c r="C2105" s="28"/>
      <c r="D2105" s="28" t="s">
        <v>76</v>
      </c>
      <c r="E2105" s="3"/>
      <c r="H2105" s="7"/>
      <c r="K2105" s="30"/>
    </row>
    <row r="2106" spans="1:11" s="2" customFormat="1" x14ac:dyDescent="0.25">
      <c r="A2106" s="28" t="s">
        <v>4347</v>
      </c>
      <c r="B2106" s="29">
        <v>17</v>
      </c>
      <c r="C2106" s="28"/>
      <c r="D2106" s="28" t="s">
        <v>76</v>
      </c>
      <c r="E2106" s="3"/>
      <c r="H2106" s="7"/>
      <c r="K2106" s="30"/>
    </row>
    <row r="2107" spans="1:11" s="2" customFormat="1" x14ac:dyDescent="0.25">
      <c r="A2107" s="28" t="s">
        <v>4348</v>
      </c>
      <c r="B2107" s="29">
        <v>4</v>
      </c>
      <c r="C2107" s="28"/>
      <c r="D2107" s="28" t="s">
        <v>76</v>
      </c>
      <c r="E2107" s="3"/>
      <c r="H2107" s="7"/>
      <c r="K2107" s="30"/>
    </row>
    <row r="2108" spans="1:11" s="2" customFormat="1" x14ac:dyDescent="0.25">
      <c r="A2108" s="28" t="s">
        <v>4349</v>
      </c>
      <c r="B2108" s="29">
        <v>5</v>
      </c>
      <c r="C2108" s="28"/>
      <c r="D2108" s="28" t="s">
        <v>76</v>
      </c>
      <c r="E2108" s="3"/>
      <c r="H2108" s="7"/>
      <c r="K2108" s="30"/>
    </row>
    <row r="2109" spans="1:11" s="2" customFormat="1" x14ac:dyDescent="0.25">
      <c r="A2109" s="28" t="s">
        <v>4350</v>
      </c>
      <c r="B2109" s="29">
        <v>7</v>
      </c>
      <c r="C2109" s="28"/>
      <c r="D2109" s="28" t="s">
        <v>76</v>
      </c>
      <c r="E2109" s="3"/>
      <c r="H2109" s="7"/>
      <c r="K2109" s="30"/>
    </row>
    <row r="2110" spans="1:11" s="2" customFormat="1" x14ac:dyDescent="0.25">
      <c r="A2110" s="28" t="s">
        <v>4351</v>
      </c>
      <c r="B2110" s="29">
        <v>7</v>
      </c>
      <c r="C2110" s="28"/>
      <c r="D2110" s="28" t="s">
        <v>76</v>
      </c>
      <c r="E2110" s="3"/>
      <c r="H2110" s="7"/>
      <c r="K2110" s="30"/>
    </row>
    <row r="2111" spans="1:11" s="2" customFormat="1" x14ac:dyDescent="0.25">
      <c r="A2111" s="28" t="s">
        <v>4352</v>
      </c>
      <c r="B2111" s="29">
        <v>24</v>
      </c>
      <c r="C2111" s="28"/>
      <c r="D2111" s="28" t="s">
        <v>76</v>
      </c>
      <c r="E2111" s="3"/>
      <c r="H2111" s="7"/>
      <c r="K2111" s="30"/>
    </row>
    <row r="2112" spans="1:11" s="2" customFormat="1" x14ac:dyDescent="0.25">
      <c r="A2112" s="28" t="s">
        <v>4353</v>
      </c>
      <c r="B2112" s="29">
        <v>17</v>
      </c>
      <c r="C2112" s="28"/>
      <c r="D2112" s="28" t="s">
        <v>76</v>
      </c>
      <c r="E2112" s="3"/>
      <c r="H2112" s="7"/>
      <c r="K2112" s="30"/>
    </row>
    <row r="2113" spans="1:11" s="2" customFormat="1" x14ac:dyDescent="0.25">
      <c r="A2113" s="28" t="s">
        <v>4354</v>
      </c>
      <c r="B2113" s="29">
        <v>17</v>
      </c>
      <c r="C2113" s="28"/>
      <c r="D2113" s="28" t="s">
        <v>76</v>
      </c>
      <c r="E2113" s="3"/>
      <c r="H2113" s="7"/>
      <c r="K2113" s="30"/>
    </row>
    <row r="2114" spans="1:11" s="2" customFormat="1" x14ac:dyDescent="0.25">
      <c r="A2114" s="28" t="s">
        <v>4355</v>
      </c>
      <c r="B2114" s="29">
        <v>6</v>
      </c>
      <c r="C2114" s="28"/>
      <c r="D2114" s="28" t="s">
        <v>76</v>
      </c>
      <c r="E2114" s="3"/>
      <c r="H2114" s="7"/>
      <c r="K2114" s="30"/>
    </row>
    <row r="2115" spans="1:11" s="2" customFormat="1" x14ac:dyDescent="0.25">
      <c r="A2115" s="28" t="s">
        <v>4356</v>
      </c>
      <c r="B2115" s="29">
        <v>6</v>
      </c>
      <c r="C2115" s="28"/>
      <c r="D2115" s="28" t="s">
        <v>76</v>
      </c>
      <c r="E2115" s="3"/>
      <c r="H2115" s="7"/>
      <c r="K2115" s="30"/>
    </row>
    <row r="2116" spans="1:11" s="2" customFormat="1" x14ac:dyDescent="0.25">
      <c r="A2116" s="28" t="s">
        <v>4357</v>
      </c>
      <c r="B2116" s="29">
        <v>8</v>
      </c>
      <c r="C2116" s="28"/>
      <c r="D2116" s="28" t="s">
        <v>76</v>
      </c>
      <c r="E2116" s="3"/>
      <c r="H2116" s="7"/>
      <c r="K2116" s="30"/>
    </row>
    <row r="2117" spans="1:11" s="2" customFormat="1" x14ac:dyDescent="0.25">
      <c r="A2117" s="28" t="s">
        <v>4358</v>
      </c>
      <c r="B2117" s="29">
        <v>8</v>
      </c>
      <c r="C2117" s="28"/>
      <c r="D2117" s="28" t="s">
        <v>76</v>
      </c>
      <c r="E2117" s="3"/>
      <c r="H2117" s="7"/>
      <c r="K2117" s="30"/>
    </row>
    <row r="2118" spans="1:11" s="2" customFormat="1" x14ac:dyDescent="0.25">
      <c r="A2118" s="28" t="s">
        <v>4359</v>
      </c>
      <c r="B2118" s="29">
        <v>4</v>
      </c>
      <c r="C2118" s="28"/>
      <c r="D2118" s="28" t="s">
        <v>76</v>
      </c>
      <c r="E2118" s="3"/>
      <c r="H2118" s="7"/>
      <c r="K2118" s="30"/>
    </row>
    <row r="2119" spans="1:11" s="2" customFormat="1" x14ac:dyDescent="0.25">
      <c r="A2119" s="28" t="s">
        <v>4360</v>
      </c>
      <c r="B2119" s="29">
        <v>4</v>
      </c>
      <c r="C2119" s="28"/>
      <c r="D2119" s="28" t="s">
        <v>76</v>
      </c>
      <c r="E2119" s="3"/>
      <c r="H2119" s="7"/>
      <c r="K2119" s="30"/>
    </row>
    <row r="2120" spans="1:11" s="2" customFormat="1" x14ac:dyDescent="0.25">
      <c r="A2120" s="28" t="s">
        <v>4361</v>
      </c>
      <c r="B2120" s="29">
        <v>5</v>
      </c>
      <c r="C2120" s="28"/>
      <c r="D2120" s="28" t="s">
        <v>76</v>
      </c>
      <c r="E2120" s="3"/>
      <c r="H2120" s="7"/>
      <c r="K2120" s="30"/>
    </row>
    <row r="2121" spans="1:11" s="2" customFormat="1" x14ac:dyDescent="0.25">
      <c r="A2121" s="28" t="s">
        <v>4362</v>
      </c>
      <c r="B2121" s="29">
        <v>4</v>
      </c>
      <c r="C2121" s="28"/>
      <c r="D2121" s="28" t="s">
        <v>76</v>
      </c>
      <c r="E2121" s="3"/>
      <c r="H2121" s="7"/>
      <c r="K2121" s="30"/>
    </row>
    <row r="2122" spans="1:11" s="2" customFormat="1" x14ac:dyDescent="0.25">
      <c r="A2122" s="28" t="s">
        <v>4363</v>
      </c>
      <c r="B2122" s="29">
        <v>2</v>
      </c>
      <c r="C2122" s="28"/>
      <c r="D2122" s="28" t="s">
        <v>76</v>
      </c>
      <c r="E2122" s="3"/>
      <c r="H2122" s="7"/>
      <c r="K2122" s="30"/>
    </row>
    <row r="2123" spans="1:11" s="2" customFormat="1" x14ac:dyDescent="0.25">
      <c r="A2123" s="28" t="s">
        <v>4364</v>
      </c>
      <c r="B2123" s="29">
        <v>8</v>
      </c>
      <c r="C2123" s="28"/>
      <c r="D2123" s="28" t="s">
        <v>76</v>
      </c>
      <c r="E2123" s="3"/>
      <c r="H2123" s="7"/>
      <c r="K2123" s="30"/>
    </row>
    <row r="2124" spans="1:11" s="2" customFormat="1" x14ac:dyDescent="0.25">
      <c r="A2124" s="28" t="s">
        <v>4365</v>
      </c>
      <c r="B2124" s="29">
        <v>8</v>
      </c>
      <c r="C2124" s="28"/>
      <c r="D2124" s="28" t="s">
        <v>76</v>
      </c>
      <c r="E2124" s="3"/>
      <c r="H2124" s="7"/>
      <c r="K2124" s="30"/>
    </row>
    <row r="2125" spans="1:11" s="2" customFormat="1" x14ac:dyDescent="0.25">
      <c r="A2125" s="28" t="s">
        <v>4366</v>
      </c>
      <c r="B2125" s="29">
        <v>4</v>
      </c>
      <c r="C2125" s="28"/>
      <c r="D2125" s="28" t="s">
        <v>76</v>
      </c>
      <c r="E2125" s="3"/>
      <c r="H2125" s="7"/>
      <c r="K2125" s="30"/>
    </row>
    <row r="2126" spans="1:11" s="2" customFormat="1" x14ac:dyDescent="0.25">
      <c r="A2126" s="28" t="s">
        <v>4367</v>
      </c>
      <c r="B2126" s="29">
        <v>4</v>
      </c>
      <c r="C2126" s="28"/>
      <c r="D2126" s="28" t="s">
        <v>76</v>
      </c>
      <c r="E2126" s="3"/>
      <c r="H2126" s="7"/>
      <c r="K2126" s="30"/>
    </row>
    <row r="2127" spans="1:11" s="2" customFormat="1" x14ac:dyDescent="0.25">
      <c r="A2127" s="28" t="s">
        <v>4368</v>
      </c>
      <c r="B2127" s="29">
        <v>4</v>
      </c>
      <c r="C2127" s="28"/>
      <c r="D2127" s="28" t="s">
        <v>76</v>
      </c>
      <c r="E2127" s="3"/>
      <c r="H2127" s="7"/>
      <c r="K2127" s="30"/>
    </row>
    <row r="2128" spans="1:11" s="2" customFormat="1" x14ac:dyDescent="0.25">
      <c r="A2128" s="28" t="s">
        <v>4369</v>
      </c>
      <c r="B2128" s="29">
        <v>4</v>
      </c>
      <c r="C2128" s="28"/>
      <c r="D2128" s="28" t="s">
        <v>76</v>
      </c>
      <c r="E2128" s="3"/>
      <c r="H2128" s="7"/>
      <c r="K2128" s="30"/>
    </row>
    <row r="2129" spans="1:11" s="2" customFormat="1" x14ac:dyDescent="0.25">
      <c r="A2129" s="28" t="s">
        <v>4370</v>
      </c>
      <c r="B2129" s="29">
        <v>10</v>
      </c>
      <c r="C2129" s="28"/>
      <c r="D2129" s="28" t="s">
        <v>76</v>
      </c>
      <c r="E2129" s="3"/>
      <c r="H2129" s="7"/>
      <c r="K2129" s="30"/>
    </row>
    <row r="2130" spans="1:11" s="2" customFormat="1" x14ac:dyDescent="0.25">
      <c r="A2130" s="28" t="s">
        <v>4371</v>
      </c>
      <c r="B2130" s="29">
        <v>6</v>
      </c>
      <c r="C2130" s="28"/>
      <c r="D2130" s="28" t="s">
        <v>76</v>
      </c>
      <c r="E2130" s="3"/>
      <c r="H2130" s="7"/>
      <c r="K2130" s="30"/>
    </row>
    <row r="2131" spans="1:11" s="2" customFormat="1" x14ac:dyDescent="0.25">
      <c r="A2131" s="28" t="s">
        <v>4372</v>
      </c>
      <c r="B2131" s="29">
        <v>3</v>
      </c>
      <c r="C2131" s="28"/>
      <c r="D2131" s="28" t="s">
        <v>76</v>
      </c>
      <c r="E2131" s="3"/>
      <c r="H2131" s="7"/>
      <c r="K2131" s="30"/>
    </row>
    <row r="2132" spans="1:11" s="2" customFormat="1" x14ac:dyDescent="0.25">
      <c r="A2132" s="28" t="s">
        <v>4373</v>
      </c>
      <c r="B2132" s="29">
        <v>4</v>
      </c>
      <c r="C2132" s="28"/>
      <c r="D2132" s="28" t="s">
        <v>76</v>
      </c>
      <c r="E2132" s="3"/>
      <c r="H2132" s="7"/>
      <c r="K2132" s="30"/>
    </row>
    <row r="2133" spans="1:11" s="2" customFormat="1" x14ac:dyDescent="0.25">
      <c r="A2133" s="28" t="s">
        <v>4374</v>
      </c>
      <c r="B2133" s="29">
        <v>4</v>
      </c>
      <c r="C2133" s="28"/>
      <c r="D2133" s="28" t="s">
        <v>76</v>
      </c>
      <c r="E2133" s="3"/>
      <c r="H2133" s="7"/>
      <c r="K2133" s="30"/>
    </row>
    <row r="2134" spans="1:11" s="2" customFormat="1" x14ac:dyDescent="0.25">
      <c r="A2134" s="28" t="s">
        <v>4375</v>
      </c>
      <c r="B2134" s="29">
        <v>8</v>
      </c>
      <c r="C2134" s="28"/>
      <c r="D2134" s="28" t="s">
        <v>76</v>
      </c>
      <c r="E2134" s="3"/>
      <c r="H2134" s="7"/>
      <c r="K2134" s="30"/>
    </row>
    <row r="2135" spans="1:11" s="2" customFormat="1" x14ac:dyDescent="0.25">
      <c r="A2135" s="28" t="s">
        <v>4376</v>
      </c>
      <c r="B2135" s="29">
        <v>2</v>
      </c>
      <c r="C2135" s="28"/>
      <c r="D2135" s="28" t="s">
        <v>76</v>
      </c>
      <c r="E2135" s="3"/>
      <c r="H2135" s="7"/>
      <c r="K2135" s="30"/>
    </row>
    <row r="2136" spans="1:11" s="2" customFormat="1" x14ac:dyDescent="0.25">
      <c r="A2136" s="28" t="s">
        <v>4377</v>
      </c>
      <c r="B2136" s="29">
        <v>2</v>
      </c>
      <c r="C2136" s="28"/>
      <c r="D2136" s="28" t="s">
        <v>76</v>
      </c>
      <c r="E2136" s="3"/>
      <c r="H2136" s="7"/>
      <c r="K2136" s="30"/>
    </row>
    <row r="2137" spans="1:11" s="2" customFormat="1" x14ac:dyDescent="0.25">
      <c r="A2137" s="28" t="s">
        <v>4378</v>
      </c>
      <c r="B2137" s="29">
        <v>1</v>
      </c>
      <c r="C2137" s="28"/>
      <c r="D2137" s="28" t="s">
        <v>76</v>
      </c>
      <c r="E2137" s="3"/>
      <c r="H2137" s="7"/>
      <c r="K2137" s="30"/>
    </row>
    <row r="2138" spans="1:11" s="2" customFormat="1" x14ac:dyDescent="0.25">
      <c r="A2138" s="28" t="s">
        <v>4379</v>
      </c>
      <c r="B2138" s="29">
        <v>1</v>
      </c>
      <c r="C2138" s="28"/>
      <c r="D2138" s="28" t="s">
        <v>76</v>
      </c>
      <c r="E2138" s="3"/>
      <c r="H2138" s="7"/>
      <c r="K2138" s="30"/>
    </row>
    <row r="2139" spans="1:11" s="2" customFormat="1" x14ac:dyDescent="0.25">
      <c r="A2139" s="28" t="s">
        <v>4380</v>
      </c>
      <c r="B2139" s="29">
        <v>1</v>
      </c>
      <c r="C2139" s="28"/>
      <c r="D2139" s="28" t="s">
        <v>76</v>
      </c>
      <c r="E2139" s="3"/>
      <c r="H2139" s="7"/>
      <c r="K2139" s="30"/>
    </row>
    <row r="2140" spans="1:11" s="2" customFormat="1" x14ac:dyDescent="0.25">
      <c r="A2140" s="28" t="s">
        <v>4381</v>
      </c>
      <c r="B2140" s="29">
        <v>2</v>
      </c>
      <c r="C2140" s="28"/>
      <c r="D2140" s="28" t="s">
        <v>4382</v>
      </c>
      <c r="E2140" s="3"/>
      <c r="H2140" s="7"/>
      <c r="K2140" s="30"/>
    </row>
    <row r="2141" spans="1:11" s="2" customFormat="1" x14ac:dyDescent="0.25">
      <c r="A2141" s="28" t="s">
        <v>4383</v>
      </c>
      <c r="B2141" s="29">
        <v>10</v>
      </c>
      <c r="C2141" s="28"/>
      <c r="D2141" s="28" t="s">
        <v>4384</v>
      </c>
      <c r="E2141" s="3"/>
      <c r="H2141" s="7"/>
      <c r="K2141" s="30"/>
    </row>
    <row r="2142" spans="1:11" s="2" customFormat="1" x14ac:dyDescent="0.25">
      <c r="A2142" s="28" t="s">
        <v>4385</v>
      </c>
      <c r="B2142" s="29">
        <v>121</v>
      </c>
      <c r="C2142" s="28"/>
      <c r="D2142" s="28" t="s">
        <v>4386</v>
      </c>
      <c r="E2142" s="3"/>
      <c r="H2142" s="7"/>
      <c r="K2142" s="30"/>
    </row>
    <row r="2143" spans="1:11" s="2" customFormat="1" x14ac:dyDescent="0.25">
      <c r="A2143" s="28" t="s">
        <v>4387</v>
      </c>
      <c r="B2143" s="29">
        <v>50</v>
      </c>
      <c r="C2143" s="28"/>
      <c r="D2143" s="28" t="s">
        <v>4386</v>
      </c>
      <c r="E2143" s="3"/>
      <c r="H2143" s="7"/>
      <c r="K2143" s="30"/>
    </row>
    <row r="2144" spans="1:11" s="2" customFormat="1" x14ac:dyDescent="0.25">
      <c r="A2144" s="28" t="s">
        <v>4388</v>
      </c>
      <c r="B2144" s="29">
        <v>21</v>
      </c>
      <c r="C2144" s="28"/>
      <c r="D2144" s="28" t="s">
        <v>4389</v>
      </c>
      <c r="E2144" s="3"/>
      <c r="H2144" s="7"/>
      <c r="K2144" s="30"/>
    </row>
    <row r="2145" spans="1:11" s="2" customFormat="1" x14ac:dyDescent="0.25">
      <c r="A2145" s="28" t="s">
        <v>4390</v>
      </c>
      <c r="B2145" s="29">
        <v>10</v>
      </c>
      <c r="C2145" s="28"/>
      <c r="D2145" s="28" t="s">
        <v>4391</v>
      </c>
      <c r="E2145" s="3"/>
      <c r="H2145" s="7"/>
      <c r="K2145" s="30"/>
    </row>
    <row r="2146" spans="1:11" s="2" customFormat="1" x14ac:dyDescent="0.25">
      <c r="A2146" s="28" t="s">
        <v>4392</v>
      </c>
      <c r="B2146" s="29">
        <v>45</v>
      </c>
      <c r="C2146" s="28"/>
      <c r="D2146" s="28" t="s">
        <v>4393</v>
      </c>
      <c r="E2146" s="3"/>
      <c r="H2146" s="7"/>
      <c r="K2146" s="30"/>
    </row>
    <row r="2147" spans="1:11" s="2" customFormat="1" x14ac:dyDescent="0.25">
      <c r="A2147" s="28" t="s">
        <v>4394</v>
      </c>
      <c r="B2147" s="29">
        <v>10</v>
      </c>
      <c r="C2147" s="28"/>
      <c r="D2147" s="28" t="s">
        <v>4395</v>
      </c>
      <c r="E2147" s="3"/>
      <c r="H2147" s="7"/>
      <c r="K2147" s="30"/>
    </row>
    <row r="2148" spans="1:11" s="2" customFormat="1" x14ac:dyDescent="0.25">
      <c r="A2148" s="28" t="s">
        <v>4396</v>
      </c>
      <c r="B2148" s="29">
        <v>33</v>
      </c>
      <c r="C2148" s="28"/>
      <c r="D2148" s="28" t="s">
        <v>4397</v>
      </c>
      <c r="E2148" s="3"/>
      <c r="H2148" s="7"/>
      <c r="K2148" s="30"/>
    </row>
    <row r="2149" spans="1:11" s="2" customFormat="1" x14ac:dyDescent="0.25">
      <c r="A2149" s="28" t="s">
        <v>4398</v>
      </c>
      <c r="B2149" s="29">
        <v>16</v>
      </c>
      <c r="C2149" s="28"/>
      <c r="D2149" s="28" t="s">
        <v>4399</v>
      </c>
      <c r="E2149" s="3"/>
      <c r="H2149" s="7"/>
      <c r="K2149" s="30"/>
    </row>
    <row r="2150" spans="1:11" s="2" customFormat="1" x14ac:dyDescent="0.25">
      <c r="A2150" s="28" t="s">
        <v>4400</v>
      </c>
      <c r="B2150" s="29">
        <v>10</v>
      </c>
      <c r="C2150" s="28"/>
      <c r="D2150" s="28" t="s">
        <v>4401</v>
      </c>
      <c r="E2150" s="3"/>
      <c r="H2150" s="7"/>
      <c r="K2150" s="30"/>
    </row>
    <row r="2151" spans="1:11" s="2" customFormat="1" x14ac:dyDescent="0.25">
      <c r="A2151" s="28" t="s">
        <v>4402</v>
      </c>
      <c r="B2151" s="29">
        <v>10</v>
      </c>
      <c r="C2151" s="28"/>
      <c r="D2151" s="28" t="s">
        <v>4401</v>
      </c>
      <c r="E2151" s="3"/>
      <c r="H2151" s="7"/>
      <c r="K2151" s="30"/>
    </row>
    <row r="2152" spans="1:11" s="2" customFormat="1" x14ac:dyDescent="0.25">
      <c r="A2152" s="28" t="s">
        <v>4403</v>
      </c>
      <c r="B2152" s="29">
        <v>3</v>
      </c>
      <c r="C2152" s="28"/>
      <c r="D2152" s="28" t="s">
        <v>4401</v>
      </c>
      <c r="E2152" s="3"/>
      <c r="H2152" s="7"/>
      <c r="K2152" s="30"/>
    </row>
    <row r="2153" spans="1:11" s="2" customFormat="1" x14ac:dyDescent="0.25">
      <c r="A2153" s="28" t="s">
        <v>4404</v>
      </c>
      <c r="B2153" s="29">
        <v>5</v>
      </c>
      <c r="C2153" s="28"/>
      <c r="D2153" s="28" t="s">
        <v>4405</v>
      </c>
      <c r="E2153" s="3"/>
      <c r="H2153" s="7"/>
      <c r="K2153" s="30"/>
    </row>
    <row r="2154" spans="1:11" s="2" customFormat="1" x14ac:dyDescent="0.25">
      <c r="A2154" s="28" t="s">
        <v>4406</v>
      </c>
      <c r="B2154" s="29">
        <v>4</v>
      </c>
      <c r="C2154" s="28"/>
      <c r="D2154" s="28" t="s">
        <v>4407</v>
      </c>
      <c r="E2154" s="3"/>
      <c r="H2154" s="7"/>
      <c r="K2154" s="30"/>
    </row>
    <row r="2155" spans="1:11" s="2" customFormat="1" x14ac:dyDescent="0.25">
      <c r="A2155" s="28" t="s">
        <v>1526</v>
      </c>
      <c r="B2155" s="29">
        <v>10</v>
      </c>
      <c r="C2155" s="28"/>
      <c r="D2155" s="28" t="s">
        <v>4408</v>
      </c>
      <c r="E2155" s="3"/>
      <c r="H2155" s="7"/>
      <c r="K2155" s="30"/>
    </row>
    <row r="2156" spans="1:11" s="2" customFormat="1" x14ac:dyDescent="0.25">
      <c r="A2156" s="28" t="s">
        <v>4409</v>
      </c>
      <c r="B2156" s="29">
        <v>2</v>
      </c>
      <c r="C2156" s="28"/>
      <c r="D2156" s="28" t="s">
        <v>4410</v>
      </c>
      <c r="E2156" s="3"/>
      <c r="H2156" s="7"/>
      <c r="K2156" s="30"/>
    </row>
    <row r="2157" spans="1:11" s="2" customFormat="1" x14ac:dyDescent="0.25">
      <c r="A2157" s="28" t="s">
        <v>4411</v>
      </c>
      <c r="B2157" s="29">
        <v>10</v>
      </c>
      <c r="C2157" s="28"/>
      <c r="D2157" s="28" t="s">
        <v>4410</v>
      </c>
      <c r="E2157" s="3"/>
      <c r="H2157" s="7"/>
      <c r="K2157" s="30"/>
    </row>
    <row r="2158" spans="1:11" s="2" customFormat="1" x14ac:dyDescent="0.25">
      <c r="A2158" s="28" t="s">
        <v>4412</v>
      </c>
      <c r="B2158" s="29">
        <v>3</v>
      </c>
      <c r="C2158" s="28"/>
      <c r="D2158" s="28" t="s">
        <v>4413</v>
      </c>
      <c r="E2158" s="3"/>
      <c r="H2158" s="7"/>
      <c r="K2158" s="30"/>
    </row>
    <row r="2159" spans="1:11" s="2" customFormat="1" x14ac:dyDescent="0.25">
      <c r="A2159" s="28" t="s">
        <v>4414</v>
      </c>
      <c r="B2159" s="29">
        <v>3</v>
      </c>
      <c r="C2159" s="28"/>
      <c r="D2159" s="28" t="s">
        <v>4413</v>
      </c>
      <c r="E2159" s="3"/>
      <c r="H2159" s="7"/>
      <c r="K2159" s="30"/>
    </row>
    <row r="2160" spans="1:11" s="2" customFormat="1" x14ac:dyDescent="0.25">
      <c r="A2160" s="28" t="s">
        <v>4415</v>
      </c>
      <c r="B2160" s="29">
        <v>3</v>
      </c>
      <c r="C2160" s="28"/>
      <c r="D2160" s="28" t="s">
        <v>4413</v>
      </c>
      <c r="E2160" s="3"/>
      <c r="H2160" s="7"/>
      <c r="K2160" s="30"/>
    </row>
    <row r="2161" spans="1:11" s="2" customFormat="1" x14ac:dyDescent="0.25">
      <c r="A2161" s="28" t="s">
        <v>4416</v>
      </c>
      <c r="B2161" s="29">
        <v>4</v>
      </c>
      <c r="C2161" s="28"/>
      <c r="D2161" s="28" t="s">
        <v>4413</v>
      </c>
      <c r="E2161" s="3"/>
      <c r="H2161" s="7"/>
      <c r="K2161" s="30"/>
    </row>
    <row r="2162" spans="1:11" s="2" customFormat="1" x14ac:dyDescent="0.25">
      <c r="A2162" s="28" t="s">
        <v>4417</v>
      </c>
      <c r="B2162" s="29">
        <v>26</v>
      </c>
      <c r="C2162" s="28"/>
      <c r="D2162" s="28" t="s">
        <v>4413</v>
      </c>
      <c r="E2162" s="3"/>
      <c r="H2162" s="7"/>
      <c r="K2162" s="30"/>
    </row>
    <row r="2163" spans="1:11" s="2" customFormat="1" x14ac:dyDescent="0.25">
      <c r="A2163" s="28" t="s">
        <v>4418</v>
      </c>
      <c r="B2163" s="29">
        <v>20</v>
      </c>
      <c r="C2163" s="28"/>
      <c r="D2163" s="28" t="s">
        <v>3071</v>
      </c>
      <c r="E2163" s="3"/>
      <c r="H2163" s="7"/>
      <c r="K2163" s="30"/>
    </row>
    <row r="2164" spans="1:11" s="2" customFormat="1" x14ac:dyDescent="0.25">
      <c r="A2164" s="28" t="s">
        <v>4419</v>
      </c>
      <c r="B2164" s="29">
        <v>15</v>
      </c>
      <c r="C2164" s="28"/>
      <c r="D2164" s="28" t="s">
        <v>3071</v>
      </c>
      <c r="E2164" s="3"/>
      <c r="H2164" s="7"/>
      <c r="K2164" s="30"/>
    </row>
    <row r="2165" spans="1:11" s="2" customFormat="1" x14ac:dyDescent="0.25">
      <c r="A2165" s="28" t="s">
        <v>4420</v>
      </c>
      <c r="B2165" s="29">
        <v>4</v>
      </c>
      <c r="C2165" s="28"/>
      <c r="D2165" s="28" t="s">
        <v>3071</v>
      </c>
      <c r="E2165" s="3"/>
      <c r="H2165" s="7"/>
      <c r="K2165" s="30"/>
    </row>
    <row r="2166" spans="1:11" s="2" customFormat="1" x14ac:dyDescent="0.25">
      <c r="A2166" s="28" t="s">
        <v>4421</v>
      </c>
      <c r="B2166" s="29">
        <v>4</v>
      </c>
      <c r="C2166" s="28"/>
      <c r="D2166" s="28" t="s">
        <v>3071</v>
      </c>
      <c r="E2166" s="3"/>
      <c r="H2166" s="7"/>
      <c r="K2166" s="30"/>
    </row>
    <row r="2167" spans="1:11" s="2" customFormat="1" x14ac:dyDescent="0.25">
      <c r="A2167" s="28" t="s">
        <v>4422</v>
      </c>
      <c r="B2167" s="29">
        <v>4</v>
      </c>
      <c r="C2167" s="28"/>
      <c r="D2167" s="28" t="s">
        <v>3071</v>
      </c>
      <c r="E2167" s="3"/>
      <c r="H2167" s="7"/>
      <c r="K2167" s="30"/>
    </row>
    <row r="2168" spans="1:11" s="2" customFormat="1" x14ac:dyDescent="0.25">
      <c r="A2168" s="28" t="s">
        <v>4423</v>
      </c>
      <c r="B2168" s="29">
        <v>5</v>
      </c>
      <c r="C2168" s="28"/>
      <c r="D2168" s="28" t="s">
        <v>3071</v>
      </c>
      <c r="E2168" s="3"/>
      <c r="H2168" s="7"/>
      <c r="K2168" s="30"/>
    </row>
    <row r="2169" spans="1:11" s="2" customFormat="1" x14ac:dyDescent="0.25">
      <c r="A2169" s="28" t="s">
        <v>4424</v>
      </c>
      <c r="B2169" s="29">
        <v>2</v>
      </c>
      <c r="C2169" s="28"/>
      <c r="D2169" s="28" t="s">
        <v>3071</v>
      </c>
      <c r="E2169" s="3"/>
      <c r="H2169" s="7"/>
      <c r="K2169" s="30"/>
    </row>
    <row r="2170" spans="1:11" s="2" customFormat="1" x14ac:dyDescent="0.25">
      <c r="A2170" s="28" t="s">
        <v>4425</v>
      </c>
      <c r="B2170" s="29">
        <v>1</v>
      </c>
      <c r="C2170" s="28"/>
      <c r="D2170" s="28" t="s">
        <v>4426</v>
      </c>
      <c r="E2170" s="3"/>
      <c r="H2170" s="7"/>
      <c r="K2170" s="30"/>
    </row>
    <row r="2171" spans="1:11" s="2" customFormat="1" x14ac:dyDescent="0.25">
      <c r="A2171" s="28" t="s">
        <v>4427</v>
      </c>
      <c r="B2171" s="29">
        <v>2820</v>
      </c>
      <c r="C2171" s="28"/>
      <c r="D2171" s="28" t="s">
        <v>4428</v>
      </c>
      <c r="E2171" s="3"/>
      <c r="H2171" s="7"/>
      <c r="K2171" s="30"/>
    </row>
    <row r="2172" spans="1:11" s="2" customFormat="1" x14ac:dyDescent="0.25">
      <c r="A2172" s="28" t="s">
        <v>4429</v>
      </c>
      <c r="B2172" s="29">
        <v>999</v>
      </c>
      <c r="C2172" s="28"/>
      <c r="D2172" s="28" t="s">
        <v>4428</v>
      </c>
      <c r="E2172" s="3"/>
      <c r="H2172" s="7"/>
      <c r="K2172" s="30"/>
    </row>
    <row r="2173" spans="1:11" s="2" customFormat="1" x14ac:dyDescent="0.25">
      <c r="A2173" s="28" t="s">
        <v>4430</v>
      </c>
      <c r="B2173" s="29">
        <v>3710</v>
      </c>
      <c r="C2173" s="28"/>
      <c r="D2173" s="28" t="s">
        <v>4428</v>
      </c>
      <c r="E2173" s="3"/>
      <c r="H2173" s="7"/>
      <c r="K2173" s="30"/>
    </row>
    <row r="2174" spans="1:11" s="2" customFormat="1" x14ac:dyDescent="0.25">
      <c r="A2174" s="28" t="s">
        <v>4431</v>
      </c>
      <c r="B2174" s="29">
        <v>3710</v>
      </c>
      <c r="C2174" s="28"/>
      <c r="D2174" s="28" t="s">
        <v>4428</v>
      </c>
      <c r="E2174" s="3"/>
      <c r="H2174" s="7"/>
      <c r="K2174" s="30"/>
    </row>
    <row r="2175" spans="1:11" s="2" customFormat="1" x14ac:dyDescent="0.25">
      <c r="A2175" s="28" t="s">
        <v>4432</v>
      </c>
      <c r="B2175" s="29">
        <v>2846</v>
      </c>
      <c r="C2175" s="28"/>
      <c r="D2175" s="28" t="s">
        <v>4428</v>
      </c>
      <c r="E2175" s="3"/>
      <c r="H2175" s="7"/>
      <c r="K2175" s="30"/>
    </row>
    <row r="2176" spans="1:11" s="2" customFormat="1" x14ac:dyDescent="0.25">
      <c r="A2176" s="28" t="s">
        <v>4433</v>
      </c>
      <c r="B2176" s="29">
        <v>16</v>
      </c>
      <c r="C2176" s="28"/>
      <c r="D2176" s="28" t="s">
        <v>4428</v>
      </c>
      <c r="E2176" s="3"/>
      <c r="H2176" s="7"/>
      <c r="K2176" s="30"/>
    </row>
    <row r="2177" spans="1:11" s="2" customFormat="1" x14ac:dyDescent="0.25">
      <c r="A2177" s="28" t="s">
        <v>4434</v>
      </c>
      <c r="B2177" s="29">
        <v>159</v>
      </c>
      <c r="C2177" s="28"/>
      <c r="D2177" s="28" t="s">
        <v>4428</v>
      </c>
      <c r="E2177" s="3"/>
      <c r="H2177" s="7"/>
      <c r="K2177" s="30"/>
    </row>
    <row r="2178" spans="1:11" s="2" customFormat="1" x14ac:dyDescent="0.25">
      <c r="A2178" s="28" t="s">
        <v>2732</v>
      </c>
      <c r="B2178" s="29">
        <v>110</v>
      </c>
      <c r="C2178" s="28"/>
      <c r="D2178" s="28" t="s">
        <v>4428</v>
      </c>
      <c r="E2178" s="3"/>
      <c r="H2178" s="7"/>
      <c r="K2178" s="30"/>
    </row>
    <row r="2179" spans="1:11" s="2" customFormat="1" x14ac:dyDescent="0.25">
      <c r="A2179" s="28" t="s">
        <v>4435</v>
      </c>
      <c r="B2179" s="29">
        <v>203</v>
      </c>
      <c r="C2179" s="28"/>
      <c r="D2179" s="28" t="s">
        <v>4428</v>
      </c>
      <c r="E2179" s="3"/>
      <c r="H2179" s="7"/>
      <c r="K2179" s="30"/>
    </row>
    <row r="2180" spans="1:11" s="2" customFormat="1" x14ac:dyDescent="0.25">
      <c r="A2180" s="28" t="s">
        <v>4436</v>
      </c>
      <c r="B2180" s="29">
        <v>124</v>
      </c>
      <c r="C2180" s="28"/>
      <c r="D2180" s="28" t="s">
        <v>4428</v>
      </c>
      <c r="E2180" s="3"/>
      <c r="H2180" s="7"/>
      <c r="K2180" s="30"/>
    </row>
    <row r="2181" spans="1:11" s="2" customFormat="1" x14ac:dyDescent="0.25">
      <c r="A2181" s="28" t="s">
        <v>4437</v>
      </c>
      <c r="B2181" s="29">
        <v>37</v>
      </c>
      <c r="C2181" s="28"/>
      <c r="D2181" s="28" t="s">
        <v>4428</v>
      </c>
      <c r="E2181" s="3"/>
      <c r="H2181" s="7"/>
      <c r="K2181" s="30"/>
    </row>
    <row r="2182" spans="1:11" s="2" customFormat="1" x14ac:dyDescent="0.25">
      <c r="A2182" s="28" t="s">
        <v>4438</v>
      </c>
      <c r="B2182" s="29">
        <v>92</v>
      </c>
      <c r="C2182" s="28"/>
      <c r="D2182" s="28" t="s">
        <v>4428</v>
      </c>
      <c r="E2182" s="3"/>
      <c r="H2182" s="7"/>
      <c r="K2182" s="30"/>
    </row>
    <row r="2183" spans="1:11" s="2" customFormat="1" x14ac:dyDescent="0.25">
      <c r="A2183" s="28" t="s">
        <v>4439</v>
      </c>
      <c r="B2183" s="29">
        <v>312</v>
      </c>
      <c r="C2183" s="28"/>
      <c r="D2183" s="28" t="s">
        <v>4428</v>
      </c>
      <c r="E2183" s="3"/>
      <c r="H2183" s="7"/>
      <c r="K2183" s="30"/>
    </row>
    <row r="2184" spans="1:11" s="2" customFormat="1" x14ac:dyDescent="0.25">
      <c r="A2184" s="28" t="s">
        <v>4440</v>
      </c>
      <c r="B2184" s="29">
        <v>80</v>
      </c>
      <c r="C2184" s="28"/>
      <c r="D2184" s="28" t="s">
        <v>4428</v>
      </c>
      <c r="E2184" s="3"/>
      <c r="H2184" s="7"/>
      <c r="K2184" s="30"/>
    </row>
    <row r="2185" spans="1:11" s="2" customFormat="1" x14ac:dyDescent="0.25">
      <c r="A2185" s="28" t="s">
        <v>4441</v>
      </c>
      <c r="B2185" s="29">
        <v>309</v>
      </c>
      <c r="C2185" s="28"/>
      <c r="D2185" s="28" t="s">
        <v>4428</v>
      </c>
      <c r="E2185" s="3"/>
      <c r="H2185" s="7"/>
      <c r="K2185" s="30"/>
    </row>
    <row r="2186" spans="1:11" s="2" customFormat="1" x14ac:dyDescent="0.25">
      <c r="A2186" s="28" t="s">
        <v>4442</v>
      </c>
      <c r="B2186" s="29">
        <v>32</v>
      </c>
      <c r="C2186" s="28"/>
      <c r="D2186" s="28" t="s">
        <v>4428</v>
      </c>
      <c r="E2186" s="3"/>
      <c r="H2186" s="7"/>
      <c r="K2186" s="30"/>
    </row>
    <row r="2187" spans="1:11" s="2" customFormat="1" x14ac:dyDescent="0.25">
      <c r="A2187" s="28" t="s">
        <v>4443</v>
      </c>
      <c r="B2187" s="29">
        <v>17</v>
      </c>
      <c r="C2187" s="28"/>
      <c r="D2187" s="28" t="s">
        <v>4428</v>
      </c>
      <c r="E2187" s="3"/>
      <c r="H2187" s="7"/>
      <c r="K2187" s="30"/>
    </row>
    <row r="2188" spans="1:11" s="2" customFormat="1" x14ac:dyDescent="0.25">
      <c r="A2188" s="28" t="s">
        <v>4444</v>
      </c>
      <c r="B2188" s="29">
        <v>30</v>
      </c>
      <c r="C2188" s="28"/>
      <c r="D2188" s="28" t="s">
        <v>4428</v>
      </c>
      <c r="E2188" s="3"/>
      <c r="H2188" s="7"/>
      <c r="K2188" s="30"/>
    </row>
    <row r="2189" spans="1:11" s="2" customFormat="1" x14ac:dyDescent="0.25">
      <c r="A2189" s="28" t="s">
        <v>4445</v>
      </c>
      <c r="B2189" s="29">
        <v>6</v>
      </c>
      <c r="C2189" s="28"/>
      <c r="D2189" s="28" t="s">
        <v>4428</v>
      </c>
      <c r="E2189" s="3"/>
      <c r="H2189" s="7"/>
      <c r="K2189" s="30"/>
    </row>
    <row r="2190" spans="1:11" s="2" customFormat="1" x14ac:dyDescent="0.25">
      <c r="A2190" s="28" t="s">
        <v>4446</v>
      </c>
      <c r="B2190" s="29">
        <v>194</v>
      </c>
      <c r="C2190" s="28"/>
      <c r="D2190" s="28" t="s">
        <v>4428</v>
      </c>
      <c r="E2190" s="3"/>
      <c r="H2190" s="7"/>
      <c r="K2190" s="30"/>
    </row>
    <row r="2191" spans="1:11" s="2" customFormat="1" x14ac:dyDescent="0.25">
      <c r="A2191" s="28" t="s">
        <v>4447</v>
      </c>
      <c r="B2191" s="29">
        <v>4</v>
      </c>
      <c r="C2191" s="28"/>
      <c r="D2191" s="28" t="s">
        <v>4428</v>
      </c>
      <c r="E2191" s="3"/>
      <c r="H2191" s="7"/>
      <c r="K2191" s="30"/>
    </row>
    <row r="2192" spans="1:11" s="2" customFormat="1" x14ac:dyDescent="0.25">
      <c r="A2192" s="28" t="s">
        <v>4448</v>
      </c>
      <c r="B2192" s="29">
        <v>34</v>
      </c>
      <c r="C2192" s="28"/>
      <c r="D2192" s="28" t="s">
        <v>4428</v>
      </c>
      <c r="E2192" s="3"/>
      <c r="H2192" s="7"/>
      <c r="K2192" s="30"/>
    </row>
    <row r="2193" spans="1:11" s="2" customFormat="1" x14ac:dyDescent="0.25">
      <c r="A2193" s="28" t="s">
        <v>4449</v>
      </c>
      <c r="B2193" s="29">
        <v>23</v>
      </c>
      <c r="C2193" s="28"/>
      <c r="D2193" s="28" t="s">
        <v>4428</v>
      </c>
      <c r="E2193" s="3"/>
      <c r="H2193" s="7"/>
      <c r="K2193" s="30"/>
    </row>
    <row r="2194" spans="1:11" s="2" customFormat="1" x14ac:dyDescent="0.25">
      <c r="A2194" s="28" t="s">
        <v>4450</v>
      </c>
      <c r="B2194" s="29">
        <v>95</v>
      </c>
      <c r="C2194" s="28"/>
      <c r="D2194" s="28" t="s">
        <v>4428</v>
      </c>
      <c r="E2194" s="3"/>
      <c r="H2194" s="7"/>
      <c r="K2194" s="30"/>
    </row>
    <row r="2195" spans="1:11" s="2" customFormat="1" x14ac:dyDescent="0.25">
      <c r="A2195" s="28" t="s">
        <v>4451</v>
      </c>
      <c r="B2195" s="29">
        <v>4</v>
      </c>
      <c r="C2195" s="28"/>
      <c r="D2195" s="28" t="s">
        <v>4428</v>
      </c>
      <c r="E2195" s="3"/>
      <c r="H2195" s="7"/>
      <c r="K2195" s="30"/>
    </row>
    <row r="2196" spans="1:11" s="2" customFormat="1" x14ac:dyDescent="0.25">
      <c r="A2196" s="28" t="s">
        <v>4452</v>
      </c>
      <c r="B2196" s="29">
        <v>34</v>
      </c>
      <c r="C2196" s="28"/>
      <c r="D2196" s="28" t="s">
        <v>4428</v>
      </c>
      <c r="E2196" s="3"/>
      <c r="H2196" s="7"/>
      <c r="K2196" s="30"/>
    </row>
    <row r="2197" spans="1:11" s="2" customFormat="1" x14ac:dyDescent="0.25">
      <c r="A2197" s="28" t="s">
        <v>4453</v>
      </c>
      <c r="B2197" s="29">
        <v>49</v>
      </c>
      <c r="C2197" s="28"/>
      <c r="D2197" s="28" t="s">
        <v>4428</v>
      </c>
      <c r="E2197" s="3"/>
      <c r="H2197" s="7"/>
      <c r="K2197" s="30"/>
    </row>
    <row r="2198" spans="1:11" s="2" customFormat="1" x14ac:dyDescent="0.25">
      <c r="A2198" s="28" t="s">
        <v>4454</v>
      </c>
      <c r="B2198" s="29">
        <v>4</v>
      </c>
      <c r="C2198" s="28"/>
      <c r="D2198" s="28" t="s">
        <v>4428</v>
      </c>
      <c r="E2198" s="3"/>
      <c r="H2198" s="7"/>
      <c r="K2198" s="30"/>
    </row>
    <row r="2199" spans="1:11" s="2" customFormat="1" x14ac:dyDescent="0.25">
      <c r="A2199" s="28" t="s">
        <v>4455</v>
      </c>
      <c r="B2199" s="29">
        <v>41</v>
      </c>
      <c r="C2199" s="28"/>
      <c r="D2199" s="28" t="s">
        <v>4428</v>
      </c>
      <c r="E2199" s="3"/>
      <c r="H2199" s="7"/>
      <c r="K2199" s="30"/>
    </row>
    <row r="2200" spans="1:11" s="2" customFormat="1" x14ac:dyDescent="0.25">
      <c r="A2200" s="28" t="s">
        <v>4456</v>
      </c>
      <c r="B2200" s="29">
        <v>28</v>
      </c>
      <c r="C2200" s="28"/>
      <c r="D2200" s="28" t="s">
        <v>4428</v>
      </c>
      <c r="E2200" s="3"/>
      <c r="H2200" s="7"/>
      <c r="K2200" s="30"/>
    </row>
    <row r="2201" spans="1:11" s="2" customFormat="1" x14ac:dyDescent="0.25">
      <c r="A2201" s="28" t="s">
        <v>4457</v>
      </c>
      <c r="B2201" s="29">
        <v>43</v>
      </c>
      <c r="C2201" s="28"/>
      <c r="D2201" s="28" t="s">
        <v>4428</v>
      </c>
      <c r="E2201" s="3"/>
      <c r="H2201" s="7"/>
      <c r="K2201" s="30"/>
    </row>
    <row r="2202" spans="1:11" s="2" customFormat="1" x14ac:dyDescent="0.25">
      <c r="A2202" s="28" t="s">
        <v>4458</v>
      </c>
      <c r="B2202" s="29">
        <v>4</v>
      </c>
      <c r="C2202" s="28"/>
      <c r="D2202" s="28" t="s">
        <v>4428</v>
      </c>
      <c r="E2202" s="3"/>
      <c r="H2202" s="7"/>
      <c r="K2202" s="30"/>
    </row>
    <row r="2203" spans="1:11" s="2" customFormat="1" x14ac:dyDescent="0.25">
      <c r="A2203" s="28" t="s">
        <v>4459</v>
      </c>
      <c r="B2203" s="29">
        <v>4</v>
      </c>
      <c r="C2203" s="28"/>
      <c r="D2203" s="28" t="s">
        <v>4428</v>
      </c>
      <c r="E2203" s="3"/>
      <c r="H2203" s="7"/>
      <c r="K2203" s="30"/>
    </row>
    <row r="2204" spans="1:11" s="2" customFormat="1" x14ac:dyDescent="0.25">
      <c r="A2204" s="28" t="s">
        <v>4460</v>
      </c>
      <c r="B2204" s="29">
        <v>6</v>
      </c>
      <c r="C2204" s="28"/>
      <c r="D2204" s="28" t="s">
        <v>4428</v>
      </c>
      <c r="E2204" s="3"/>
      <c r="H2204" s="7"/>
      <c r="K2204" s="30"/>
    </row>
    <row r="2205" spans="1:11" s="2" customFormat="1" x14ac:dyDescent="0.25">
      <c r="A2205" s="28" t="s">
        <v>4461</v>
      </c>
      <c r="B2205" s="29">
        <v>22</v>
      </c>
      <c r="C2205" s="28"/>
      <c r="D2205" s="28" t="s">
        <v>4428</v>
      </c>
      <c r="E2205" s="3"/>
      <c r="H2205" s="7"/>
      <c r="K2205" s="30"/>
    </row>
    <row r="2206" spans="1:11" s="2" customFormat="1" x14ac:dyDescent="0.25">
      <c r="A2206" s="28" t="s">
        <v>4462</v>
      </c>
      <c r="B2206" s="29">
        <v>48</v>
      </c>
      <c r="C2206" s="28"/>
      <c r="D2206" s="28" t="s">
        <v>4428</v>
      </c>
      <c r="E2206" s="3"/>
      <c r="H2206" s="7"/>
      <c r="K2206" s="30"/>
    </row>
    <row r="2207" spans="1:11" s="2" customFormat="1" x14ac:dyDescent="0.25">
      <c r="A2207" s="28" t="s">
        <v>4463</v>
      </c>
      <c r="B2207" s="29">
        <v>5</v>
      </c>
      <c r="C2207" s="28"/>
      <c r="D2207" s="28" t="s">
        <v>4428</v>
      </c>
      <c r="E2207" s="3"/>
      <c r="H2207" s="7"/>
      <c r="K2207" s="30"/>
    </row>
    <row r="2208" spans="1:11" s="2" customFormat="1" x14ac:dyDescent="0.25">
      <c r="A2208" s="28" t="s">
        <v>4464</v>
      </c>
      <c r="B2208" s="29">
        <v>24</v>
      </c>
      <c r="C2208" s="28"/>
      <c r="D2208" s="28" t="s">
        <v>4428</v>
      </c>
      <c r="E2208" s="3"/>
      <c r="H2208" s="7"/>
      <c r="K2208" s="30"/>
    </row>
    <row r="2209" spans="1:11" s="2" customFormat="1" x14ac:dyDescent="0.25">
      <c r="A2209" s="28" t="s">
        <v>4465</v>
      </c>
      <c r="B2209" s="29">
        <v>24</v>
      </c>
      <c r="C2209" s="28"/>
      <c r="D2209" s="28" t="s">
        <v>4428</v>
      </c>
      <c r="E2209" s="3"/>
      <c r="H2209" s="7"/>
      <c r="K2209" s="30"/>
    </row>
    <row r="2210" spans="1:11" s="2" customFormat="1" x14ac:dyDescent="0.25">
      <c r="A2210" s="28" t="s">
        <v>4466</v>
      </c>
      <c r="B2210" s="29">
        <v>25</v>
      </c>
      <c r="C2210" s="28"/>
      <c r="D2210" s="28" t="s">
        <v>4428</v>
      </c>
      <c r="E2210" s="3"/>
      <c r="H2210" s="7"/>
      <c r="K2210" s="30"/>
    </row>
    <row r="2211" spans="1:11" s="2" customFormat="1" x14ac:dyDescent="0.25">
      <c r="A2211" s="28" t="s">
        <v>4467</v>
      </c>
      <c r="B2211" s="29">
        <v>5</v>
      </c>
      <c r="C2211" s="28"/>
      <c r="D2211" s="28" t="s">
        <v>4428</v>
      </c>
      <c r="E2211" s="3"/>
      <c r="H2211" s="7"/>
      <c r="K2211" s="30"/>
    </row>
    <row r="2212" spans="1:11" s="2" customFormat="1" x14ac:dyDescent="0.25">
      <c r="A2212" s="28" t="s">
        <v>4468</v>
      </c>
      <c r="B2212" s="29">
        <v>4</v>
      </c>
      <c r="C2212" s="28"/>
      <c r="D2212" s="28" t="s">
        <v>4428</v>
      </c>
      <c r="E2212" s="3"/>
      <c r="H2212" s="7"/>
      <c r="K2212" s="30"/>
    </row>
    <row r="2213" spans="1:11" s="2" customFormat="1" x14ac:dyDescent="0.25">
      <c r="A2213" s="28" t="s">
        <v>4469</v>
      </c>
      <c r="B2213" s="29">
        <v>146</v>
      </c>
      <c r="C2213" s="28"/>
      <c r="D2213" s="28" t="s">
        <v>4428</v>
      </c>
      <c r="E2213" s="3"/>
      <c r="H2213" s="7"/>
      <c r="K2213" s="30"/>
    </row>
    <row r="2214" spans="1:11" s="2" customFormat="1" x14ac:dyDescent="0.25">
      <c r="A2214" s="28" t="s">
        <v>4470</v>
      </c>
      <c r="B2214" s="29">
        <v>8</v>
      </c>
      <c r="C2214" s="28"/>
      <c r="D2214" s="28" t="s">
        <v>4428</v>
      </c>
      <c r="E2214" s="3"/>
      <c r="H2214" s="7"/>
      <c r="K2214" s="30"/>
    </row>
    <row r="2215" spans="1:11" s="2" customFormat="1" x14ac:dyDescent="0.25">
      <c r="A2215" s="28" t="s">
        <v>4471</v>
      </c>
      <c r="B2215" s="29">
        <v>37</v>
      </c>
      <c r="C2215" s="28"/>
      <c r="D2215" s="28" t="s">
        <v>4428</v>
      </c>
      <c r="E2215" s="3"/>
      <c r="H2215" s="7"/>
      <c r="K2215" s="30"/>
    </row>
    <row r="2216" spans="1:11" s="2" customFormat="1" x14ac:dyDescent="0.25">
      <c r="A2216" s="28" t="s">
        <v>4472</v>
      </c>
      <c r="B2216" s="29">
        <v>9</v>
      </c>
      <c r="C2216" s="28"/>
      <c r="D2216" s="28" t="s">
        <v>4428</v>
      </c>
      <c r="E2216" s="3"/>
      <c r="H2216" s="7"/>
      <c r="K2216" s="30"/>
    </row>
    <row r="2217" spans="1:11" s="2" customFormat="1" x14ac:dyDescent="0.25">
      <c r="A2217" s="28" t="s">
        <v>4473</v>
      </c>
      <c r="B2217" s="29">
        <v>62</v>
      </c>
      <c r="C2217" s="28"/>
      <c r="D2217" s="28" t="s">
        <v>4428</v>
      </c>
      <c r="E2217" s="3"/>
      <c r="H2217" s="7"/>
      <c r="K2217" s="30"/>
    </row>
    <row r="2218" spans="1:11" s="2" customFormat="1" x14ac:dyDescent="0.25">
      <c r="A2218" s="28" t="s">
        <v>4474</v>
      </c>
      <c r="B2218" s="29">
        <v>8</v>
      </c>
      <c r="C2218" s="28"/>
      <c r="D2218" s="28" t="s">
        <v>4428</v>
      </c>
      <c r="E2218" s="3"/>
      <c r="H2218" s="7"/>
      <c r="K2218" s="30"/>
    </row>
    <row r="2219" spans="1:11" s="2" customFormat="1" x14ac:dyDescent="0.25">
      <c r="A2219" s="28" t="s">
        <v>4475</v>
      </c>
      <c r="B2219" s="29">
        <v>1</v>
      </c>
      <c r="C2219" s="28"/>
      <c r="D2219" s="28" t="s">
        <v>4428</v>
      </c>
      <c r="E2219" s="3"/>
      <c r="H2219" s="7"/>
      <c r="K2219" s="30"/>
    </row>
    <row r="2220" spans="1:11" s="2" customFormat="1" x14ac:dyDescent="0.25">
      <c r="A2220" s="28" t="s">
        <v>1224</v>
      </c>
      <c r="B2220" s="29">
        <v>418</v>
      </c>
      <c r="C2220" s="28"/>
      <c r="D2220" s="28" t="s">
        <v>4428</v>
      </c>
      <c r="E2220" s="3"/>
      <c r="H2220" s="7"/>
      <c r="K2220" s="30"/>
    </row>
    <row r="2221" spans="1:11" s="2" customFormat="1" x14ac:dyDescent="0.25">
      <c r="A2221" s="28" t="s">
        <v>4476</v>
      </c>
      <c r="B2221" s="29">
        <v>4</v>
      </c>
      <c r="C2221" s="28"/>
      <c r="D2221" s="28" t="s">
        <v>4428</v>
      </c>
      <c r="E2221" s="3"/>
      <c r="H2221" s="7"/>
      <c r="K2221" s="30"/>
    </row>
    <row r="2222" spans="1:11" s="2" customFormat="1" x14ac:dyDescent="0.25">
      <c r="A2222" s="28" t="s">
        <v>3532</v>
      </c>
      <c r="B2222" s="29">
        <v>22</v>
      </c>
      <c r="C2222" s="28"/>
      <c r="D2222" s="28" t="s">
        <v>4428</v>
      </c>
      <c r="E2222" s="3"/>
      <c r="H2222" s="7"/>
      <c r="K2222" s="30"/>
    </row>
    <row r="2223" spans="1:11" s="2" customFormat="1" x14ac:dyDescent="0.25">
      <c r="A2223" s="28" t="s">
        <v>4477</v>
      </c>
      <c r="B2223" s="29">
        <v>2</v>
      </c>
      <c r="C2223" s="28"/>
      <c r="D2223" s="28" t="s">
        <v>4428</v>
      </c>
      <c r="E2223" s="3"/>
      <c r="H2223" s="7"/>
      <c r="K2223" s="30"/>
    </row>
    <row r="2224" spans="1:11" s="2" customFormat="1" x14ac:dyDescent="0.25">
      <c r="A2224" s="28" t="s">
        <v>4478</v>
      </c>
      <c r="B2224" s="29">
        <v>10</v>
      </c>
      <c r="C2224" s="28"/>
      <c r="D2224" s="28" t="s">
        <v>4428</v>
      </c>
      <c r="E2224" s="3"/>
      <c r="H2224" s="7"/>
      <c r="K2224" s="30"/>
    </row>
    <row r="2225" spans="1:11" s="2" customFormat="1" x14ac:dyDescent="0.25">
      <c r="A2225" s="28" t="s">
        <v>4479</v>
      </c>
      <c r="B2225" s="29">
        <v>5</v>
      </c>
      <c r="C2225" s="28"/>
      <c r="D2225" s="28" t="s">
        <v>4428</v>
      </c>
      <c r="E2225" s="3"/>
      <c r="H2225" s="7"/>
      <c r="K2225" s="30"/>
    </row>
    <row r="2226" spans="1:11" s="2" customFormat="1" x14ac:dyDescent="0.25">
      <c r="A2226" s="28" t="s">
        <v>4480</v>
      </c>
      <c r="B2226" s="29">
        <v>7</v>
      </c>
      <c r="C2226" s="28"/>
      <c r="D2226" s="28" t="s">
        <v>4428</v>
      </c>
      <c r="E2226" s="3"/>
      <c r="H2226" s="7"/>
      <c r="K2226" s="30"/>
    </row>
    <row r="2227" spans="1:11" s="2" customFormat="1" x14ac:dyDescent="0.25">
      <c r="A2227" s="28" t="s">
        <v>4481</v>
      </c>
      <c r="B2227" s="29">
        <v>7</v>
      </c>
      <c r="C2227" s="28"/>
      <c r="D2227" s="28" t="s">
        <v>4428</v>
      </c>
      <c r="E2227" s="3"/>
      <c r="H2227" s="7"/>
      <c r="K2227" s="30"/>
    </row>
    <row r="2228" spans="1:11" s="2" customFormat="1" x14ac:dyDescent="0.25">
      <c r="A2228" s="28" t="s">
        <v>4482</v>
      </c>
      <c r="B2228" s="29">
        <v>5</v>
      </c>
      <c r="C2228" s="28"/>
      <c r="D2228" s="28" t="s">
        <v>4428</v>
      </c>
      <c r="E2228" s="3"/>
      <c r="H2228" s="7"/>
      <c r="K2228" s="30"/>
    </row>
    <row r="2229" spans="1:11" s="2" customFormat="1" x14ac:dyDescent="0.25">
      <c r="A2229" s="28" t="s">
        <v>4483</v>
      </c>
      <c r="B2229" s="29">
        <v>66</v>
      </c>
      <c r="C2229" s="28"/>
      <c r="D2229" s="28" t="s">
        <v>4428</v>
      </c>
      <c r="E2229" s="3"/>
      <c r="H2229" s="7"/>
      <c r="K2229" s="30"/>
    </row>
    <row r="2230" spans="1:11" s="2" customFormat="1" x14ac:dyDescent="0.25">
      <c r="A2230" s="28" t="s">
        <v>4484</v>
      </c>
      <c r="B2230" s="29">
        <v>1</v>
      </c>
      <c r="C2230" s="28"/>
      <c r="D2230" s="28" t="s">
        <v>4428</v>
      </c>
      <c r="E2230" s="3"/>
      <c r="H2230" s="7"/>
      <c r="K2230" s="30"/>
    </row>
    <row r="2231" spans="1:11" s="2" customFormat="1" x14ac:dyDescent="0.25">
      <c r="A2231" s="28" t="s">
        <v>4485</v>
      </c>
      <c r="B2231" s="29">
        <v>4</v>
      </c>
      <c r="C2231" s="28"/>
      <c r="D2231" s="28" t="s">
        <v>4428</v>
      </c>
      <c r="E2231" s="3"/>
      <c r="H2231" s="7"/>
      <c r="K2231" s="30"/>
    </row>
    <row r="2232" spans="1:11" s="2" customFormat="1" x14ac:dyDescent="0.25">
      <c r="A2232" s="28" t="s">
        <v>4486</v>
      </c>
      <c r="B2232" s="29">
        <v>28</v>
      </c>
      <c r="C2232" s="28"/>
      <c r="D2232" s="28" t="s">
        <v>4428</v>
      </c>
      <c r="E2232" s="3"/>
      <c r="H2232" s="7"/>
      <c r="K2232" s="30"/>
    </row>
    <row r="2233" spans="1:11" s="2" customFormat="1" x14ac:dyDescent="0.25">
      <c r="A2233" s="28" t="s">
        <v>4487</v>
      </c>
      <c r="B2233" s="29">
        <v>4</v>
      </c>
      <c r="C2233" s="28"/>
      <c r="D2233" s="28" t="s">
        <v>4428</v>
      </c>
      <c r="E2233" s="3"/>
      <c r="H2233" s="7"/>
      <c r="K2233" s="30"/>
    </row>
    <row r="2234" spans="1:11" s="2" customFormat="1" x14ac:dyDescent="0.25">
      <c r="A2234" s="28" t="s">
        <v>4488</v>
      </c>
      <c r="B2234" s="29">
        <v>15</v>
      </c>
      <c r="C2234" s="28"/>
      <c r="D2234" s="28" t="s">
        <v>4428</v>
      </c>
      <c r="E2234" s="3"/>
      <c r="H2234" s="7"/>
      <c r="K2234" s="30"/>
    </row>
    <row r="2235" spans="1:11" s="2" customFormat="1" x14ac:dyDescent="0.25">
      <c r="A2235" s="28" t="s">
        <v>4489</v>
      </c>
      <c r="B2235" s="29">
        <v>4</v>
      </c>
      <c r="C2235" s="28"/>
      <c r="D2235" s="28" t="s">
        <v>4428</v>
      </c>
      <c r="E2235" s="3"/>
      <c r="H2235" s="7"/>
      <c r="K2235" s="30"/>
    </row>
    <row r="2236" spans="1:11" s="2" customFormat="1" x14ac:dyDescent="0.25">
      <c r="A2236" s="28" t="s">
        <v>4490</v>
      </c>
      <c r="B2236" s="29">
        <v>20</v>
      </c>
      <c r="C2236" s="28"/>
      <c r="D2236" s="28" t="s">
        <v>4428</v>
      </c>
      <c r="E2236" s="3"/>
      <c r="H2236" s="7"/>
      <c r="K2236" s="30"/>
    </row>
    <row r="2237" spans="1:11" s="2" customFormat="1" x14ac:dyDescent="0.25">
      <c r="A2237" s="28" t="s">
        <v>4491</v>
      </c>
      <c r="B2237" s="29">
        <v>1</v>
      </c>
      <c r="C2237" s="28"/>
      <c r="D2237" s="28" t="s">
        <v>4428</v>
      </c>
      <c r="E2237" s="3"/>
      <c r="H2237" s="7"/>
      <c r="K2237" s="30"/>
    </row>
    <row r="2238" spans="1:11" s="2" customFormat="1" x14ac:dyDescent="0.25">
      <c r="A2238" s="28" t="s">
        <v>4492</v>
      </c>
      <c r="B2238" s="29">
        <v>19</v>
      </c>
      <c r="C2238" s="28"/>
      <c r="D2238" s="28" t="s">
        <v>4428</v>
      </c>
      <c r="E2238" s="3"/>
      <c r="H2238" s="7"/>
      <c r="K2238" s="30"/>
    </row>
    <row r="2239" spans="1:11" s="2" customFormat="1" x14ac:dyDescent="0.25">
      <c r="A2239" s="28" t="s">
        <v>4493</v>
      </c>
      <c r="B2239" s="29">
        <v>6</v>
      </c>
      <c r="C2239" s="28"/>
      <c r="D2239" s="28" t="s">
        <v>4428</v>
      </c>
      <c r="E2239" s="3"/>
      <c r="H2239" s="7"/>
      <c r="K2239" s="30"/>
    </row>
    <row r="2240" spans="1:11" s="2" customFormat="1" x14ac:dyDescent="0.25">
      <c r="A2240" s="28" t="s">
        <v>4494</v>
      </c>
      <c r="B2240" s="29">
        <v>39</v>
      </c>
      <c r="C2240" s="28"/>
      <c r="D2240" s="28" t="s">
        <v>4428</v>
      </c>
      <c r="E2240" s="3"/>
      <c r="H2240" s="7"/>
      <c r="K2240" s="30"/>
    </row>
    <row r="2241" spans="1:11" s="2" customFormat="1" x14ac:dyDescent="0.25">
      <c r="A2241" s="28" t="s">
        <v>4495</v>
      </c>
      <c r="B2241" s="29">
        <v>6</v>
      </c>
      <c r="C2241" s="28"/>
      <c r="D2241" s="28" t="s">
        <v>4428</v>
      </c>
      <c r="E2241" s="3"/>
      <c r="H2241" s="7"/>
      <c r="K2241" s="30"/>
    </row>
    <row r="2242" spans="1:11" s="2" customFormat="1" x14ac:dyDescent="0.25">
      <c r="A2242" s="28" t="s">
        <v>4496</v>
      </c>
      <c r="B2242" s="29">
        <v>1</v>
      </c>
      <c r="C2242" s="28"/>
      <c r="D2242" s="28" t="s">
        <v>4428</v>
      </c>
      <c r="E2242" s="3"/>
      <c r="H2242" s="7"/>
      <c r="K2242" s="30"/>
    </row>
    <row r="2243" spans="1:11" s="2" customFormat="1" x14ac:dyDescent="0.25">
      <c r="A2243" s="28" t="s">
        <v>4497</v>
      </c>
      <c r="B2243" s="29">
        <v>14</v>
      </c>
      <c r="C2243" s="28"/>
      <c r="D2243" s="28" t="s">
        <v>4428</v>
      </c>
      <c r="E2243" s="3"/>
      <c r="H2243" s="7"/>
      <c r="K2243" s="30"/>
    </row>
    <row r="2244" spans="1:11" s="2" customFormat="1" x14ac:dyDescent="0.25">
      <c r="A2244" s="28" t="s">
        <v>4498</v>
      </c>
      <c r="B2244" s="29">
        <v>16</v>
      </c>
      <c r="C2244" s="28"/>
      <c r="D2244" s="28" t="s">
        <v>4428</v>
      </c>
      <c r="E2244" s="3"/>
      <c r="H2244" s="7"/>
      <c r="K2244" s="30"/>
    </row>
    <row r="2245" spans="1:11" s="2" customFormat="1" x14ac:dyDescent="0.25">
      <c r="A2245" s="28" t="s">
        <v>4499</v>
      </c>
      <c r="B2245" s="29">
        <v>26</v>
      </c>
      <c r="C2245" s="28"/>
      <c r="D2245" s="28" t="s">
        <v>4428</v>
      </c>
      <c r="E2245" s="3"/>
      <c r="H2245" s="7"/>
      <c r="K2245" s="30"/>
    </row>
    <row r="2246" spans="1:11" s="2" customFormat="1" x14ac:dyDescent="0.25">
      <c r="A2246" s="28" t="s">
        <v>4500</v>
      </c>
      <c r="B2246" s="29">
        <v>18</v>
      </c>
      <c r="C2246" s="28"/>
      <c r="D2246" s="28" t="s">
        <v>4428</v>
      </c>
      <c r="E2246" s="3"/>
      <c r="H2246" s="7"/>
      <c r="K2246" s="30"/>
    </row>
    <row r="2247" spans="1:11" s="2" customFormat="1" x14ac:dyDescent="0.25">
      <c r="A2247" s="28" t="s">
        <v>4501</v>
      </c>
      <c r="B2247" s="29">
        <v>4</v>
      </c>
      <c r="C2247" s="28"/>
      <c r="D2247" s="28" t="s">
        <v>4428</v>
      </c>
      <c r="E2247" s="3"/>
      <c r="H2247" s="7"/>
      <c r="K2247" s="30"/>
    </row>
    <row r="2248" spans="1:11" s="2" customFormat="1" x14ac:dyDescent="0.25">
      <c r="A2248" s="28" t="s">
        <v>4502</v>
      </c>
      <c r="B2248" s="29">
        <v>227</v>
      </c>
      <c r="C2248" s="28"/>
      <c r="D2248" s="28" t="s">
        <v>4428</v>
      </c>
      <c r="E2248" s="3"/>
      <c r="H2248" s="7"/>
      <c r="K2248" s="30"/>
    </row>
    <row r="2249" spans="1:11" s="2" customFormat="1" x14ac:dyDescent="0.25">
      <c r="A2249" s="28" t="s">
        <v>4503</v>
      </c>
      <c r="B2249" s="29">
        <v>2</v>
      </c>
      <c r="C2249" s="28"/>
      <c r="D2249" s="28" t="s">
        <v>4428</v>
      </c>
      <c r="E2249" s="3"/>
      <c r="H2249" s="7"/>
      <c r="K2249" s="30"/>
    </row>
    <row r="2250" spans="1:11" s="2" customFormat="1" x14ac:dyDescent="0.25">
      <c r="A2250" s="28" t="s">
        <v>4504</v>
      </c>
      <c r="B2250" s="29">
        <v>6</v>
      </c>
      <c r="C2250" s="28"/>
      <c r="D2250" s="28" t="s">
        <v>4428</v>
      </c>
      <c r="E2250" s="3"/>
      <c r="H2250" s="7"/>
      <c r="K2250" s="30"/>
    </row>
    <row r="2251" spans="1:11" s="2" customFormat="1" x14ac:dyDescent="0.25">
      <c r="A2251" s="28" t="s">
        <v>4505</v>
      </c>
      <c r="B2251" s="29">
        <v>1</v>
      </c>
      <c r="C2251" s="28"/>
      <c r="D2251" s="28" t="s">
        <v>4428</v>
      </c>
      <c r="E2251" s="3"/>
      <c r="H2251" s="7"/>
      <c r="K2251" s="30"/>
    </row>
    <row r="2252" spans="1:11" s="2" customFormat="1" x14ac:dyDescent="0.25">
      <c r="A2252" s="28" t="s">
        <v>4506</v>
      </c>
      <c r="B2252" s="29">
        <v>2</v>
      </c>
      <c r="C2252" s="28"/>
      <c r="D2252" s="28" t="s">
        <v>4428</v>
      </c>
      <c r="E2252" s="3"/>
      <c r="H2252" s="7"/>
      <c r="K2252" s="30"/>
    </row>
    <row r="2253" spans="1:11" s="2" customFormat="1" x14ac:dyDescent="0.25">
      <c r="A2253" s="28" t="s">
        <v>4507</v>
      </c>
      <c r="B2253" s="29">
        <v>6</v>
      </c>
      <c r="C2253" s="28"/>
      <c r="D2253" s="28" t="s">
        <v>4428</v>
      </c>
      <c r="E2253" s="3"/>
      <c r="H2253" s="7"/>
      <c r="K2253" s="30"/>
    </row>
    <row r="2254" spans="1:11" s="2" customFormat="1" x14ac:dyDescent="0.25">
      <c r="A2254" s="28" t="s">
        <v>4508</v>
      </c>
      <c r="B2254" s="29">
        <v>6</v>
      </c>
      <c r="C2254" s="28"/>
      <c r="D2254" s="28" t="s">
        <v>4428</v>
      </c>
      <c r="E2254" s="3"/>
      <c r="H2254" s="7"/>
      <c r="K2254" s="30"/>
    </row>
    <row r="2255" spans="1:11" s="2" customFormat="1" x14ac:dyDescent="0.25">
      <c r="A2255" s="28" t="s">
        <v>4509</v>
      </c>
      <c r="B2255" s="29">
        <v>2</v>
      </c>
      <c r="C2255" s="28"/>
      <c r="D2255" s="28" t="s">
        <v>4428</v>
      </c>
      <c r="E2255" s="3"/>
      <c r="H2255" s="7"/>
      <c r="K2255" s="30"/>
    </row>
    <row r="2256" spans="1:11" s="2" customFormat="1" x14ac:dyDescent="0.25">
      <c r="A2256" s="28" t="s">
        <v>4510</v>
      </c>
      <c r="B2256" s="29">
        <v>3</v>
      </c>
      <c r="C2256" s="28"/>
      <c r="D2256" s="28" t="s">
        <v>4428</v>
      </c>
      <c r="E2256" s="3"/>
      <c r="H2256" s="7"/>
      <c r="K2256" s="30"/>
    </row>
    <row r="2257" spans="1:11" s="2" customFormat="1" x14ac:dyDescent="0.25">
      <c r="A2257" s="28" t="s">
        <v>4511</v>
      </c>
      <c r="B2257" s="29">
        <v>7</v>
      </c>
      <c r="C2257" s="28"/>
      <c r="D2257" s="28" t="s">
        <v>4428</v>
      </c>
      <c r="E2257" s="3"/>
      <c r="H2257" s="7"/>
      <c r="K2257" s="30"/>
    </row>
    <row r="2258" spans="1:11" s="2" customFormat="1" x14ac:dyDescent="0.25">
      <c r="A2258" s="28" t="s">
        <v>4512</v>
      </c>
      <c r="B2258" s="29">
        <v>2</v>
      </c>
      <c r="C2258" s="28"/>
      <c r="D2258" s="28" t="s">
        <v>4428</v>
      </c>
      <c r="E2258" s="3"/>
      <c r="H2258" s="7"/>
      <c r="K2258" s="30"/>
    </row>
    <row r="2259" spans="1:11" s="2" customFormat="1" x14ac:dyDescent="0.25">
      <c r="A2259" s="28" t="s">
        <v>4513</v>
      </c>
      <c r="B2259" s="29">
        <v>6</v>
      </c>
      <c r="C2259" s="28"/>
      <c r="D2259" s="28" t="s">
        <v>4428</v>
      </c>
      <c r="E2259" s="3"/>
      <c r="H2259" s="7"/>
      <c r="K2259" s="30"/>
    </row>
    <row r="2260" spans="1:11" s="2" customFormat="1" x14ac:dyDescent="0.25">
      <c r="A2260" s="28" t="s">
        <v>4514</v>
      </c>
      <c r="B2260" s="29">
        <v>5</v>
      </c>
      <c r="C2260" s="28"/>
      <c r="D2260" s="28" t="s">
        <v>4428</v>
      </c>
      <c r="E2260" s="3"/>
      <c r="H2260" s="7"/>
      <c r="K2260" s="30"/>
    </row>
    <row r="2261" spans="1:11" s="2" customFormat="1" x14ac:dyDescent="0.25">
      <c r="A2261" s="28" t="s">
        <v>4515</v>
      </c>
      <c r="B2261" s="29">
        <v>2</v>
      </c>
      <c r="C2261" s="28"/>
      <c r="D2261" s="28" t="s">
        <v>4428</v>
      </c>
      <c r="E2261" s="3"/>
      <c r="H2261" s="7"/>
      <c r="K2261" s="30"/>
    </row>
    <row r="2262" spans="1:11" s="2" customFormat="1" x14ac:dyDescent="0.25">
      <c r="A2262" s="28" t="s">
        <v>4516</v>
      </c>
      <c r="B2262" s="29">
        <v>79</v>
      </c>
      <c r="C2262" s="28"/>
      <c r="D2262" s="28" t="s">
        <v>4428</v>
      </c>
      <c r="E2262" s="3"/>
      <c r="H2262" s="7"/>
      <c r="K2262" s="30"/>
    </row>
    <row r="2263" spans="1:11" s="2" customFormat="1" x14ac:dyDescent="0.25">
      <c r="A2263" s="28" t="s">
        <v>4517</v>
      </c>
      <c r="B2263" s="29">
        <v>13</v>
      </c>
      <c r="C2263" s="28"/>
      <c r="D2263" s="28" t="s">
        <v>4428</v>
      </c>
      <c r="E2263" s="3"/>
      <c r="H2263" s="7"/>
      <c r="K2263" s="30"/>
    </row>
    <row r="2264" spans="1:11" s="2" customFormat="1" x14ac:dyDescent="0.25">
      <c r="A2264" s="28" t="s">
        <v>4518</v>
      </c>
      <c r="B2264" s="29">
        <v>3</v>
      </c>
      <c r="C2264" s="28"/>
      <c r="D2264" s="28" t="s">
        <v>4428</v>
      </c>
      <c r="E2264" s="3"/>
      <c r="H2264" s="7"/>
      <c r="K2264" s="30"/>
    </row>
    <row r="2265" spans="1:11" s="2" customFormat="1" x14ac:dyDescent="0.25">
      <c r="A2265" s="28" t="s">
        <v>4519</v>
      </c>
      <c r="B2265" s="29">
        <v>6</v>
      </c>
      <c r="C2265" s="28"/>
      <c r="D2265" s="28" t="s">
        <v>4428</v>
      </c>
      <c r="E2265" s="3"/>
      <c r="H2265" s="7"/>
      <c r="K2265" s="30"/>
    </row>
    <row r="2266" spans="1:11" s="2" customFormat="1" x14ac:dyDescent="0.25">
      <c r="A2266" s="28" t="s">
        <v>4520</v>
      </c>
      <c r="B2266" s="29">
        <v>1</v>
      </c>
      <c r="C2266" s="28"/>
      <c r="D2266" s="28" t="s">
        <v>4428</v>
      </c>
      <c r="E2266" s="3"/>
      <c r="H2266" s="7"/>
      <c r="K2266" s="30"/>
    </row>
    <row r="2267" spans="1:11" s="2" customFormat="1" x14ac:dyDescent="0.25">
      <c r="A2267" s="28" t="s">
        <v>4521</v>
      </c>
      <c r="B2267" s="29">
        <v>2</v>
      </c>
      <c r="C2267" s="28"/>
      <c r="D2267" s="28" t="s">
        <v>4428</v>
      </c>
      <c r="E2267" s="3"/>
      <c r="H2267" s="7"/>
      <c r="K2267" s="30"/>
    </row>
    <row r="2268" spans="1:11" s="2" customFormat="1" x14ac:dyDescent="0.25">
      <c r="A2268" s="28" t="s">
        <v>4522</v>
      </c>
      <c r="B2268" s="29">
        <v>2</v>
      </c>
      <c r="C2268" s="28"/>
      <c r="D2268" s="28" t="s">
        <v>4428</v>
      </c>
      <c r="E2268" s="3"/>
      <c r="H2268" s="7"/>
      <c r="K2268" s="30"/>
    </row>
    <row r="2269" spans="1:11" s="2" customFormat="1" x14ac:dyDescent="0.25">
      <c r="A2269" s="28" t="s">
        <v>4523</v>
      </c>
      <c r="B2269" s="29">
        <v>21</v>
      </c>
      <c r="C2269" s="28"/>
      <c r="D2269" s="28" t="s">
        <v>4428</v>
      </c>
      <c r="E2269" s="3"/>
      <c r="H2269" s="7"/>
      <c r="K2269" s="30"/>
    </row>
    <row r="2270" spans="1:11" s="2" customFormat="1" x14ac:dyDescent="0.25">
      <c r="A2270" s="28" t="s">
        <v>4524</v>
      </c>
      <c r="B2270" s="29">
        <v>20</v>
      </c>
      <c r="C2270" s="28"/>
      <c r="D2270" s="28" t="s">
        <v>4428</v>
      </c>
      <c r="E2270" s="3"/>
      <c r="H2270" s="7"/>
      <c r="K2270" s="30"/>
    </row>
    <row r="2271" spans="1:11" s="2" customFormat="1" x14ac:dyDescent="0.25">
      <c r="A2271" s="28" t="s">
        <v>4525</v>
      </c>
      <c r="B2271" s="29">
        <v>39</v>
      </c>
      <c r="C2271" s="28"/>
      <c r="D2271" s="28" t="s">
        <v>4428</v>
      </c>
      <c r="E2271" s="3"/>
      <c r="H2271" s="7"/>
      <c r="K2271" s="30"/>
    </row>
    <row r="2272" spans="1:11" s="2" customFormat="1" x14ac:dyDescent="0.25">
      <c r="A2272" s="28" t="s">
        <v>4526</v>
      </c>
      <c r="B2272" s="29">
        <v>1</v>
      </c>
      <c r="C2272" s="28"/>
      <c r="D2272" s="28" t="s">
        <v>4428</v>
      </c>
      <c r="E2272" s="3"/>
      <c r="H2272" s="7"/>
      <c r="K2272" s="30"/>
    </row>
    <row r="2273" spans="1:11" s="2" customFormat="1" x14ac:dyDescent="0.25">
      <c r="A2273" s="28" t="s">
        <v>4527</v>
      </c>
      <c r="B2273" s="29">
        <v>1</v>
      </c>
      <c r="C2273" s="28"/>
      <c r="D2273" s="28" t="s">
        <v>4428</v>
      </c>
      <c r="E2273" s="3"/>
      <c r="H2273" s="7"/>
      <c r="K2273" s="30"/>
    </row>
    <row r="2274" spans="1:11" s="2" customFormat="1" x14ac:dyDescent="0.25">
      <c r="A2274" s="28" t="s">
        <v>4528</v>
      </c>
      <c r="B2274" s="29">
        <v>2</v>
      </c>
      <c r="C2274" s="28"/>
      <c r="D2274" s="28" t="s">
        <v>4428</v>
      </c>
      <c r="E2274" s="3"/>
      <c r="H2274" s="7"/>
      <c r="K2274" s="30"/>
    </row>
    <row r="2275" spans="1:11" s="2" customFormat="1" x14ac:dyDescent="0.25">
      <c r="A2275" s="28" t="s">
        <v>4529</v>
      </c>
      <c r="B2275" s="29">
        <v>2</v>
      </c>
      <c r="C2275" s="28"/>
      <c r="D2275" s="28" t="s">
        <v>4428</v>
      </c>
      <c r="E2275" s="3"/>
      <c r="H2275" s="7"/>
      <c r="K2275" s="30"/>
    </row>
    <row r="2276" spans="1:11" s="2" customFormat="1" x14ac:dyDescent="0.25">
      <c r="A2276" s="28" t="s">
        <v>4530</v>
      </c>
      <c r="B2276" s="29">
        <v>6</v>
      </c>
      <c r="C2276" s="28"/>
      <c r="D2276" s="28" t="s">
        <v>4428</v>
      </c>
      <c r="E2276" s="3"/>
      <c r="H2276" s="7"/>
      <c r="K2276" s="30"/>
    </row>
    <row r="2277" spans="1:11" s="2" customFormat="1" x14ac:dyDescent="0.25">
      <c r="A2277" s="28" t="s">
        <v>4531</v>
      </c>
      <c r="B2277" s="29">
        <v>2</v>
      </c>
      <c r="C2277" s="28"/>
      <c r="D2277" s="28" t="s">
        <v>4428</v>
      </c>
      <c r="E2277" s="3"/>
      <c r="H2277" s="7"/>
      <c r="K2277" s="30"/>
    </row>
    <row r="2278" spans="1:11" s="2" customFormat="1" x14ac:dyDescent="0.25">
      <c r="A2278" s="28" t="s">
        <v>4532</v>
      </c>
      <c r="B2278" s="29">
        <v>6</v>
      </c>
      <c r="C2278" s="28"/>
      <c r="D2278" s="28" t="s">
        <v>4428</v>
      </c>
      <c r="E2278" s="3"/>
      <c r="H2278" s="7"/>
      <c r="K2278" s="30"/>
    </row>
    <row r="2279" spans="1:11" s="2" customFormat="1" x14ac:dyDescent="0.25">
      <c r="A2279" s="28" t="s">
        <v>4533</v>
      </c>
      <c r="B2279" s="29">
        <v>4</v>
      </c>
      <c r="C2279" s="28"/>
      <c r="D2279" s="28" t="s">
        <v>4428</v>
      </c>
      <c r="E2279" s="3"/>
      <c r="H2279" s="7"/>
      <c r="K2279" s="30"/>
    </row>
    <row r="2280" spans="1:11" s="2" customFormat="1" x14ac:dyDescent="0.25">
      <c r="A2280" s="28" t="s">
        <v>4534</v>
      </c>
      <c r="B2280" s="29">
        <v>3</v>
      </c>
      <c r="C2280" s="28"/>
      <c r="D2280" s="28" t="s">
        <v>4428</v>
      </c>
      <c r="E2280" s="3"/>
      <c r="H2280" s="7"/>
      <c r="K2280" s="30"/>
    </row>
    <row r="2281" spans="1:11" s="2" customFormat="1" x14ac:dyDescent="0.25">
      <c r="A2281" s="28" t="s">
        <v>4535</v>
      </c>
      <c r="B2281" s="29">
        <v>1</v>
      </c>
      <c r="C2281" s="28"/>
      <c r="D2281" s="28" t="s">
        <v>4428</v>
      </c>
      <c r="E2281" s="3"/>
      <c r="H2281" s="7"/>
      <c r="K2281" s="30"/>
    </row>
    <row r="2282" spans="1:11" s="2" customFormat="1" x14ac:dyDescent="0.25">
      <c r="A2282" s="28" t="s">
        <v>4536</v>
      </c>
      <c r="B2282" s="29">
        <v>4</v>
      </c>
      <c r="C2282" s="28"/>
      <c r="D2282" s="28" t="s">
        <v>4428</v>
      </c>
      <c r="E2282" s="3"/>
      <c r="H2282" s="7"/>
      <c r="K2282" s="30"/>
    </row>
    <row r="2283" spans="1:11" s="2" customFormat="1" x14ac:dyDescent="0.25">
      <c r="A2283" s="28" t="s">
        <v>4537</v>
      </c>
      <c r="B2283" s="29">
        <v>10</v>
      </c>
      <c r="C2283" s="28"/>
      <c r="D2283" s="28" t="s">
        <v>4428</v>
      </c>
      <c r="E2283" s="3"/>
      <c r="H2283" s="7"/>
      <c r="K2283" s="30"/>
    </row>
    <row r="2284" spans="1:11" s="2" customFormat="1" x14ac:dyDescent="0.25">
      <c r="A2284" s="28" t="s">
        <v>4538</v>
      </c>
      <c r="B2284" s="29">
        <v>2</v>
      </c>
      <c r="C2284" s="28"/>
      <c r="D2284" s="28" t="s">
        <v>4428</v>
      </c>
      <c r="E2284" s="3"/>
      <c r="H2284" s="7"/>
      <c r="K2284" s="30"/>
    </row>
    <row r="2285" spans="1:11" s="2" customFormat="1" x14ac:dyDescent="0.25">
      <c r="A2285" s="28" t="s">
        <v>4539</v>
      </c>
      <c r="B2285" s="29">
        <v>1</v>
      </c>
      <c r="C2285" s="28"/>
      <c r="D2285" s="28" t="s">
        <v>4428</v>
      </c>
      <c r="E2285" s="3"/>
      <c r="H2285" s="7"/>
      <c r="K2285" s="30"/>
    </row>
    <row r="2286" spans="1:11" s="2" customFormat="1" x14ac:dyDescent="0.25">
      <c r="A2286" s="28" t="s">
        <v>4540</v>
      </c>
      <c r="B2286" s="29">
        <v>1</v>
      </c>
      <c r="C2286" s="28"/>
      <c r="D2286" s="28" t="s">
        <v>4428</v>
      </c>
      <c r="E2286" s="3"/>
      <c r="H2286" s="7"/>
      <c r="K2286" s="30"/>
    </row>
    <row r="2287" spans="1:11" s="2" customFormat="1" x14ac:dyDescent="0.25">
      <c r="A2287" s="28" t="s">
        <v>4541</v>
      </c>
      <c r="B2287" s="29">
        <v>5</v>
      </c>
      <c r="C2287" s="28"/>
      <c r="D2287" s="28" t="s">
        <v>4428</v>
      </c>
      <c r="E2287" s="3"/>
      <c r="H2287" s="7"/>
      <c r="K2287" s="30"/>
    </row>
    <row r="2288" spans="1:11" s="2" customFormat="1" x14ac:dyDescent="0.25">
      <c r="A2288" s="28" t="s">
        <v>4542</v>
      </c>
      <c r="B2288" s="29">
        <v>2</v>
      </c>
      <c r="C2288" s="28"/>
      <c r="D2288" s="28" t="s">
        <v>4428</v>
      </c>
      <c r="E2288" s="3"/>
      <c r="H2288" s="7"/>
      <c r="K2288" s="30"/>
    </row>
    <row r="2289" spans="1:11" s="2" customFormat="1" x14ac:dyDescent="0.25">
      <c r="A2289" s="28" t="s">
        <v>4543</v>
      </c>
      <c r="B2289" s="29">
        <v>4</v>
      </c>
      <c r="C2289" s="28"/>
      <c r="D2289" s="28" t="s">
        <v>4428</v>
      </c>
      <c r="E2289" s="3"/>
      <c r="H2289" s="7"/>
      <c r="K2289" s="30"/>
    </row>
    <row r="2290" spans="1:11" s="2" customFormat="1" x14ac:dyDescent="0.25">
      <c r="A2290" s="28" t="s">
        <v>4544</v>
      </c>
      <c r="B2290" s="29">
        <v>7</v>
      </c>
      <c r="C2290" s="28"/>
      <c r="D2290" s="28" t="s">
        <v>4428</v>
      </c>
      <c r="E2290" s="3"/>
      <c r="H2290" s="7"/>
      <c r="K2290" s="30"/>
    </row>
    <row r="2291" spans="1:11" s="2" customFormat="1" x14ac:dyDescent="0.25">
      <c r="A2291" s="28" t="s">
        <v>4545</v>
      </c>
      <c r="B2291" s="29">
        <v>1</v>
      </c>
      <c r="C2291" s="28"/>
      <c r="D2291" s="28" t="s">
        <v>4428</v>
      </c>
      <c r="E2291" s="3"/>
      <c r="H2291" s="7"/>
      <c r="K2291" s="30"/>
    </row>
    <row r="2292" spans="1:11" s="2" customFormat="1" x14ac:dyDescent="0.25">
      <c r="A2292" s="28" t="s">
        <v>4546</v>
      </c>
      <c r="B2292" s="29">
        <v>15</v>
      </c>
      <c r="C2292" s="28"/>
      <c r="D2292" s="28" t="s">
        <v>4547</v>
      </c>
      <c r="E2292" s="3"/>
      <c r="H2292" s="7"/>
      <c r="K2292" s="30"/>
    </row>
    <row r="2293" spans="1:11" s="2" customFormat="1" x14ac:dyDescent="0.25">
      <c r="A2293" s="28" t="s">
        <v>4548</v>
      </c>
      <c r="B2293" s="29">
        <v>8</v>
      </c>
      <c r="C2293" s="28"/>
      <c r="D2293" s="28" t="s">
        <v>4549</v>
      </c>
      <c r="E2293" s="3"/>
      <c r="H2293" s="7"/>
      <c r="K2293" s="30"/>
    </row>
    <row r="2294" spans="1:11" s="2" customFormat="1" x14ac:dyDescent="0.25">
      <c r="A2294" s="28" t="s">
        <v>4550</v>
      </c>
      <c r="B2294" s="29">
        <v>2</v>
      </c>
      <c r="C2294" s="28"/>
      <c r="D2294" s="28" t="s">
        <v>4551</v>
      </c>
      <c r="E2294" s="3"/>
      <c r="H2294" s="7"/>
      <c r="K2294" s="30"/>
    </row>
    <row r="2295" spans="1:11" s="2" customFormat="1" x14ac:dyDescent="0.25">
      <c r="A2295" s="28" t="s">
        <v>4552</v>
      </c>
      <c r="B2295" s="29">
        <v>4</v>
      </c>
      <c r="C2295" s="28"/>
      <c r="D2295" s="28" t="s">
        <v>4553</v>
      </c>
      <c r="E2295" s="3"/>
      <c r="H2295" s="7"/>
      <c r="K2295" s="30"/>
    </row>
    <row r="2296" spans="1:11" s="2" customFormat="1" x14ac:dyDescent="0.25">
      <c r="A2296" s="28" t="s">
        <v>4554</v>
      </c>
      <c r="B2296" s="29">
        <v>2</v>
      </c>
      <c r="C2296" s="28"/>
      <c r="D2296" s="28" t="s">
        <v>4553</v>
      </c>
      <c r="E2296" s="3"/>
      <c r="H2296" s="7"/>
      <c r="K2296" s="30"/>
    </row>
    <row r="2297" spans="1:11" s="2" customFormat="1" x14ac:dyDescent="0.25">
      <c r="A2297" s="28" t="s">
        <v>721</v>
      </c>
      <c r="B2297" s="29">
        <v>24</v>
      </c>
      <c r="C2297" s="28"/>
      <c r="D2297" s="28" t="s">
        <v>4555</v>
      </c>
      <c r="E2297" s="3"/>
      <c r="H2297" s="7"/>
      <c r="K2297" s="30"/>
    </row>
    <row r="2298" spans="1:11" s="2" customFormat="1" x14ac:dyDescent="0.25">
      <c r="A2298" s="28" t="s">
        <v>4556</v>
      </c>
      <c r="B2298" s="29">
        <v>4</v>
      </c>
      <c r="C2298" s="28"/>
      <c r="D2298" s="28" t="s">
        <v>4555</v>
      </c>
      <c r="E2298" s="3"/>
      <c r="H2298" s="7"/>
      <c r="K2298" s="30"/>
    </row>
    <row r="2299" spans="1:11" s="2" customFormat="1" x14ac:dyDescent="0.25">
      <c r="A2299" s="28" t="s">
        <v>4557</v>
      </c>
      <c r="B2299" s="29">
        <v>9</v>
      </c>
      <c r="C2299" s="28"/>
      <c r="D2299" s="28" t="s">
        <v>4555</v>
      </c>
      <c r="E2299" s="3"/>
      <c r="H2299" s="7"/>
      <c r="K2299" s="30"/>
    </row>
    <row r="2300" spans="1:11" s="2" customFormat="1" x14ac:dyDescent="0.25">
      <c r="A2300" s="28" t="s">
        <v>4558</v>
      </c>
      <c r="B2300" s="29">
        <v>13</v>
      </c>
      <c r="C2300" s="28"/>
      <c r="D2300" s="28" t="s">
        <v>4555</v>
      </c>
      <c r="E2300" s="3"/>
      <c r="H2300" s="7"/>
      <c r="K2300" s="30"/>
    </row>
    <row r="2301" spans="1:11" s="2" customFormat="1" x14ac:dyDescent="0.25">
      <c r="A2301" s="28" t="s">
        <v>4559</v>
      </c>
      <c r="B2301" s="29">
        <v>1</v>
      </c>
      <c r="C2301" s="28"/>
      <c r="D2301" s="28" t="s">
        <v>4555</v>
      </c>
      <c r="E2301" s="3"/>
      <c r="H2301" s="7"/>
      <c r="K2301" s="30"/>
    </row>
    <row r="2302" spans="1:11" s="2" customFormat="1" x14ac:dyDescent="0.25">
      <c r="A2302" s="28" t="s">
        <v>4560</v>
      </c>
      <c r="B2302" s="29">
        <v>1</v>
      </c>
      <c r="C2302" s="28"/>
      <c r="D2302" s="28" t="s">
        <v>4555</v>
      </c>
      <c r="E2302" s="3"/>
      <c r="H2302" s="7"/>
      <c r="K2302" s="30"/>
    </row>
    <row r="2303" spans="1:11" s="2" customFormat="1" x14ac:dyDescent="0.25">
      <c r="A2303" s="28" t="s">
        <v>4561</v>
      </c>
      <c r="B2303" s="29">
        <v>1</v>
      </c>
      <c r="C2303" s="28"/>
      <c r="D2303" s="28" t="s">
        <v>4555</v>
      </c>
      <c r="E2303" s="3"/>
      <c r="H2303" s="7"/>
      <c r="K2303" s="30"/>
    </row>
    <row r="2304" spans="1:11" s="2" customFormat="1" x14ac:dyDescent="0.25">
      <c r="A2304" s="28" t="s">
        <v>4562</v>
      </c>
      <c r="B2304" s="29">
        <v>97</v>
      </c>
      <c r="C2304" s="28"/>
      <c r="D2304" s="28" t="s">
        <v>4563</v>
      </c>
      <c r="E2304" s="3"/>
      <c r="H2304" s="7"/>
      <c r="K2304" s="30"/>
    </row>
    <row r="2305" spans="1:11" s="2" customFormat="1" x14ac:dyDescent="0.25">
      <c r="A2305" s="28" t="s">
        <v>968</v>
      </c>
      <c r="B2305" s="29">
        <v>34</v>
      </c>
      <c r="C2305" s="28"/>
      <c r="D2305" s="28" t="s">
        <v>4563</v>
      </c>
      <c r="E2305" s="3"/>
      <c r="H2305" s="7"/>
      <c r="K2305" s="30"/>
    </row>
    <row r="2306" spans="1:11" s="2" customFormat="1" x14ac:dyDescent="0.25">
      <c r="A2306" s="28" t="s">
        <v>4564</v>
      </c>
      <c r="B2306" s="29">
        <v>35</v>
      </c>
      <c r="C2306" s="28"/>
      <c r="D2306" s="28" t="s">
        <v>4565</v>
      </c>
      <c r="E2306" s="3"/>
      <c r="H2306" s="7"/>
      <c r="K2306" s="30"/>
    </row>
    <row r="2307" spans="1:11" s="2" customFormat="1" x14ac:dyDescent="0.25">
      <c r="A2307" s="28" t="s">
        <v>4566</v>
      </c>
      <c r="B2307" s="29">
        <v>19</v>
      </c>
      <c r="C2307" s="28"/>
      <c r="D2307" s="28" t="s">
        <v>4565</v>
      </c>
      <c r="E2307" s="3"/>
      <c r="H2307" s="7"/>
      <c r="K2307" s="30"/>
    </row>
    <row r="2308" spans="1:11" s="2" customFormat="1" x14ac:dyDescent="0.25">
      <c r="A2308" s="28" t="s">
        <v>4567</v>
      </c>
      <c r="B2308" s="29">
        <v>8</v>
      </c>
      <c r="C2308" s="28"/>
      <c r="D2308" s="28" t="s">
        <v>4565</v>
      </c>
      <c r="E2308" s="3"/>
      <c r="H2308" s="7"/>
      <c r="K2308" s="30"/>
    </row>
    <row r="2309" spans="1:11" s="2" customFormat="1" x14ac:dyDescent="0.25">
      <c r="A2309" s="28" t="s">
        <v>4568</v>
      </c>
      <c r="B2309" s="29">
        <v>8</v>
      </c>
      <c r="C2309" s="28"/>
      <c r="D2309" s="28" t="s">
        <v>4565</v>
      </c>
      <c r="E2309" s="3"/>
      <c r="H2309" s="7"/>
      <c r="K2309" s="30"/>
    </row>
    <row r="2310" spans="1:11" s="2" customFormat="1" x14ac:dyDescent="0.25">
      <c r="A2310" s="28" t="s">
        <v>4569</v>
      </c>
      <c r="B2310" s="29">
        <v>13</v>
      </c>
      <c r="C2310" s="28"/>
      <c r="D2310" s="28" t="s">
        <v>4565</v>
      </c>
      <c r="E2310" s="3"/>
      <c r="H2310" s="7"/>
      <c r="K2310" s="30"/>
    </row>
    <row r="2311" spans="1:11" s="2" customFormat="1" x14ac:dyDescent="0.25">
      <c r="A2311" s="28" t="s">
        <v>4570</v>
      </c>
      <c r="B2311" s="29">
        <v>9</v>
      </c>
      <c r="C2311" s="28"/>
      <c r="D2311" s="28" t="s">
        <v>4565</v>
      </c>
      <c r="E2311" s="3"/>
      <c r="H2311" s="7"/>
      <c r="K2311" s="30"/>
    </row>
    <row r="2312" spans="1:11" s="2" customFormat="1" x14ac:dyDescent="0.25">
      <c r="A2312" s="28" t="s">
        <v>4571</v>
      </c>
      <c r="B2312" s="29">
        <v>4</v>
      </c>
      <c r="C2312" s="28"/>
      <c r="D2312" s="28" t="s">
        <v>4565</v>
      </c>
      <c r="E2312" s="3"/>
      <c r="H2312" s="7"/>
      <c r="K2312" s="30"/>
    </row>
    <row r="2313" spans="1:11" s="2" customFormat="1" x14ac:dyDescent="0.25">
      <c r="A2313" s="28" t="s">
        <v>4572</v>
      </c>
      <c r="B2313" s="29">
        <v>9</v>
      </c>
      <c r="C2313" s="28"/>
      <c r="D2313" s="28" t="s">
        <v>4565</v>
      </c>
      <c r="E2313" s="3"/>
      <c r="H2313" s="7"/>
      <c r="K2313" s="30"/>
    </row>
    <row r="2314" spans="1:11" s="2" customFormat="1" x14ac:dyDescent="0.25">
      <c r="A2314" s="28" t="s">
        <v>4573</v>
      </c>
      <c r="B2314" s="29">
        <v>1</v>
      </c>
      <c r="C2314" s="28"/>
      <c r="D2314" s="28" t="s">
        <v>4565</v>
      </c>
      <c r="E2314" s="3"/>
      <c r="H2314" s="7"/>
      <c r="K2314" s="30"/>
    </row>
    <row r="2315" spans="1:11" s="2" customFormat="1" x14ac:dyDescent="0.25">
      <c r="A2315" s="28" t="s">
        <v>3713</v>
      </c>
      <c r="B2315" s="29">
        <v>1</v>
      </c>
      <c r="C2315" s="28"/>
      <c r="D2315" s="28" t="s">
        <v>4565</v>
      </c>
      <c r="E2315" s="3"/>
      <c r="H2315" s="7"/>
      <c r="K2315" s="30"/>
    </row>
    <row r="2316" spans="1:11" s="2" customFormat="1" x14ac:dyDescent="0.25">
      <c r="A2316" s="28" t="s">
        <v>4574</v>
      </c>
      <c r="B2316" s="29">
        <v>3</v>
      </c>
      <c r="C2316" s="28"/>
      <c r="D2316" s="28" t="s">
        <v>4565</v>
      </c>
      <c r="E2316" s="3"/>
      <c r="H2316" s="7"/>
      <c r="K2316" s="30"/>
    </row>
    <row r="2317" spans="1:11" s="2" customFormat="1" x14ac:dyDescent="0.25">
      <c r="A2317" s="28" t="s">
        <v>4575</v>
      </c>
      <c r="B2317" s="29">
        <v>1</v>
      </c>
      <c r="C2317" s="28"/>
      <c r="D2317" s="28" t="s">
        <v>4565</v>
      </c>
      <c r="E2317" s="3"/>
      <c r="H2317" s="7"/>
      <c r="K2317" s="30"/>
    </row>
    <row r="2318" spans="1:11" s="2" customFormat="1" x14ac:dyDescent="0.25">
      <c r="A2318" s="28" t="s">
        <v>4576</v>
      </c>
      <c r="B2318" s="29">
        <v>42</v>
      </c>
      <c r="C2318" s="28"/>
      <c r="D2318" s="28" t="s">
        <v>4565</v>
      </c>
      <c r="E2318" s="3"/>
      <c r="H2318" s="7"/>
      <c r="K2318" s="30"/>
    </row>
    <row r="2319" spans="1:11" s="2" customFormat="1" x14ac:dyDescent="0.25">
      <c r="A2319" s="28" t="s">
        <v>4577</v>
      </c>
      <c r="B2319" s="29">
        <v>6</v>
      </c>
      <c r="C2319" s="28"/>
      <c r="D2319" s="28" t="s">
        <v>4578</v>
      </c>
      <c r="E2319" s="3"/>
      <c r="H2319" s="7"/>
      <c r="K2319" s="30"/>
    </row>
    <row r="2320" spans="1:11" s="2" customFormat="1" x14ac:dyDescent="0.25">
      <c r="A2320" s="28" t="s">
        <v>4579</v>
      </c>
      <c r="B2320" s="29">
        <v>56</v>
      </c>
      <c r="C2320" s="28"/>
      <c r="D2320" s="28" t="s">
        <v>4578</v>
      </c>
      <c r="E2320" s="3"/>
      <c r="H2320" s="7"/>
      <c r="K2320" s="30"/>
    </row>
    <row r="2321" spans="1:11" s="2" customFormat="1" x14ac:dyDescent="0.25">
      <c r="A2321" s="28" t="s">
        <v>4580</v>
      </c>
      <c r="B2321" s="29">
        <v>4</v>
      </c>
      <c r="C2321" s="28"/>
      <c r="D2321" s="28" t="s">
        <v>4578</v>
      </c>
      <c r="E2321" s="3"/>
      <c r="H2321" s="7"/>
      <c r="K2321" s="30"/>
    </row>
    <row r="2322" spans="1:11" s="2" customFormat="1" x14ac:dyDescent="0.25">
      <c r="A2322" s="28" t="s">
        <v>4581</v>
      </c>
      <c r="B2322" s="29">
        <v>56</v>
      </c>
      <c r="C2322" s="28"/>
      <c r="D2322" s="28" t="s">
        <v>4578</v>
      </c>
      <c r="E2322" s="3"/>
      <c r="H2322" s="7"/>
      <c r="K2322" s="30"/>
    </row>
    <row r="2323" spans="1:11" s="2" customFormat="1" x14ac:dyDescent="0.25">
      <c r="A2323" s="28" t="s">
        <v>4582</v>
      </c>
      <c r="B2323" s="29">
        <v>56</v>
      </c>
      <c r="C2323" s="28"/>
      <c r="D2323" s="28" t="s">
        <v>4578</v>
      </c>
      <c r="E2323" s="3"/>
      <c r="H2323" s="7"/>
      <c r="K2323" s="30"/>
    </row>
    <row r="2324" spans="1:11" s="2" customFormat="1" x14ac:dyDescent="0.25">
      <c r="A2324" s="28" t="s">
        <v>4583</v>
      </c>
      <c r="B2324" s="29">
        <v>5</v>
      </c>
      <c r="C2324" s="28"/>
      <c r="D2324" s="28" t="s">
        <v>4578</v>
      </c>
      <c r="E2324" s="3"/>
      <c r="H2324" s="7"/>
      <c r="K2324" s="30"/>
    </row>
    <row r="2325" spans="1:11" s="2" customFormat="1" x14ac:dyDescent="0.25">
      <c r="A2325" s="28" t="s">
        <v>4584</v>
      </c>
      <c r="B2325" s="29">
        <v>2</v>
      </c>
      <c r="C2325" s="28"/>
      <c r="D2325" s="28" t="s">
        <v>4578</v>
      </c>
      <c r="E2325" s="3"/>
      <c r="H2325" s="7"/>
      <c r="K2325" s="30"/>
    </row>
    <row r="2326" spans="1:11" s="2" customFormat="1" x14ac:dyDescent="0.25">
      <c r="A2326" s="28" t="s">
        <v>4585</v>
      </c>
      <c r="B2326" s="29">
        <v>29</v>
      </c>
      <c r="C2326" s="28"/>
      <c r="D2326" s="28" t="s">
        <v>485</v>
      </c>
      <c r="E2326" s="3"/>
      <c r="H2326" s="7"/>
      <c r="K2326" s="30"/>
    </row>
    <row r="2327" spans="1:11" s="2" customFormat="1" x14ac:dyDescent="0.25">
      <c r="A2327" s="28" t="s">
        <v>4586</v>
      </c>
      <c r="B2327" s="29">
        <v>80</v>
      </c>
      <c r="C2327" s="28"/>
      <c r="D2327" s="28" t="s">
        <v>485</v>
      </c>
      <c r="E2327" s="3"/>
      <c r="H2327" s="7"/>
      <c r="K2327" s="30"/>
    </row>
    <row r="2328" spans="1:11" s="2" customFormat="1" x14ac:dyDescent="0.25">
      <c r="A2328" s="28" t="s">
        <v>4587</v>
      </c>
      <c r="B2328" s="29">
        <v>16</v>
      </c>
      <c r="C2328" s="28"/>
      <c r="D2328" s="28" t="s">
        <v>485</v>
      </c>
      <c r="E2328" s="3"/>
      <c r="H2328" s="7"/>
      <c r="K2328" s="30"/>
    </row>
    <row r="2329" spans="1:11" s="2" customFormat="1" x14ac:dyDescent="0.25">
      <c r="A2329" s="28" t="s">
        <v>4588</v>
      </c>
      <c r="B2329" s="29">
        <v>2</v>
      </c>
      <c r="C2329" s="28"/>
      <c r="D2329" s="28" t="s">
        <v>485</v>
      </c>
      <c r="E2329" s="3"/>
      <c r="H2329" s="7"/>
      <c r="K2329" s="30"/>
    </row>
    <row r="2330" spans="1:11" s="2" customFormat="1" x14ac:dyDescent="0.25">
      <c r="A2330" s="28" t="s">
        <v>4589</v>
      </c>
      <c r="B2330" s="29">
        <v>4</v>
      </c>
      <c r="C2330" s="28"/>
      <c r="D2330" s="28" t="s">
        <v>485</v>
      </c>
      <c r="E2330" s="3"/>
      <c r="H2330" s="7"/>
      <c r="K2330" s="30"/>
    </row>
    <row r="2331" spans="1:11" s="2" customFormat="1" x14ac:dyDescent="0.25">
      <c r="A2331" s="28" t="s">
        <v>4590</v>
      </c>
      <c r="B2331" s="29">
        <v>12</v>
      </c>
      <c r="C2331" s="28"/>
      <c r="D2331" s="28" t="s">
        <v>4591</v>
      </c>
      <c r="E2331" s="3"/>
      <c r="H2331" s="7"/>
      <c r="K2331" s="30"/>
    </row>
    <row r="2332" spans="1:11" s="2" customFormat="1" x14ac:dyDescent="0.25">
      <c r="A2332" s="28" t="s">
        <v>4592</v>
      </c>
      <c r="B2332" s="29">
        <v>3</v>
      </c>
      <c r="C2332" s="28"/>
      <c r="D2332" s="28" t="s">
        <v>4593</v>
      </c>
      <c r="E2332" s="3"/>
      <c r="H2332" s="7"/>
      <c r="K2332" s="30"/>
    </row>
    <row r="2333" spans="1:11" s="2" customFormat="1" x14ac:dyDescent="0.25">
      <c r="A2333" s="28" t="s">
        <v>4594</v>
      </c>
      <c r="B2333" s="29">
        <v>4</v>
      </c>
      <c r="C2333" s="28"/>
      <c r="D2333" s="28" t="s">
        <v>4595</v>
      </c>
      <c r="E2333" s="3"/>
      <c r="H2333" s="7"/>
      <c r="K2333" s="30"/>
    </row>
    <row r="2334" spans="1:11" s="2" customFormat="1" x14ac:dyDescent="0.25">
      <c r="A2334" s="28" t="s">
        <v>4596</v>
      </c>
      <c r="B2334" s="29">
        <v>58</v>
      </c>
      <c r="C2334" s="28"/>
      <c r="D2334" s="28" t="s">
        <v>4597</v>
      </c>
      <c r="E2334" s="3"/>
      <c r="H2334" s="7"/>
      <c r="K2334" s="30"/>
    </row>
    <row r="2335" spans="1:11" s="2" customFormat="1" x14ac:dyDescent="0.25">
      <c r="A2335" s="28" t="s">
        <v>4598</v>
      </c>
      <c r="B2335" s="29">
        <v>16</v>
      </c>
      <c r="C2335" s="28"/>
      <c r="D2335" s="28" t="s">
        <v>4597</v>
      </c>
      <c r="E2335" s="3"/>
      <c r="H2335" s="7"/>
      <c r="K2335" s="30"/>
    </row>
    <row r="2336" spans="1:11" s="2" customFormat="1" x14ac:dyDescent="0.25">
      <c r="A2336" s="28" t="s">
        <v>4599</v>
      </c>
      <c r="B2336" s="29">
        <v>32</v>
      </c>
      <c r="C2336" s="28"/>
      <c r="D2336" s="28" t="s">
        <v>4597</v>
      </c>
      <c r="E2336" s="3"/>
      <c r="H2336" s="7"/>
      <c r="K2336" s="30"/>
    </row>
    <row r="2337" spans="1:11" s="2" customFormat="1" x14ac:dyDescent="0.25">
      <c r="A2337" s="28" t="s">
        <v>4600</v>
      </c>
      <c r="B2337" s="29">
        <v>5</v>
      </c>
      <c r="C2337" s="28"/>
      <c r="D2337" s="28" t="s">
        <v>4597</v>
      </c>
      <c r="E2337" s="3"/>
      <c r="H2337" s="7"/>
      <c r="K2337" s="30"/>
    </row>
    <row r="2338" spans="1:11" s="2" customFormat="1" x14ac:dyDescent="0.25">
      <c r="A2338" s="28" t="s">
        <v>4601</v>
      </c>
      <c r="B2338" s="29">
        <v>10</v>
      </c>
      <c r="C2338" s="28"/>
      <c r="D2338" s="28" t="s">
        <v>4597</v>
      </c>
      <c r="E2338" s="3"/>
      <c r="H2338" s="7"/>
      <c r="K2338" s="30"/>
    </row>
    <row r="2339" spans="1:11" s="2" customFormat="1" x14ac:dyDescent="0.25">
      <c r="A2339" s="28" t="s">
        <v>4602</v>
      </c>
      <c r="B2339" s="29">
        <v>4</v>
      </c>
      <c r="C2339" s="28"/>
      <c r="D2339" s="28" t="s">
        <v>4597</v>
      </c>
      <c r="E2339" s="3"/>
      <c r="H2339" s="7"/>
      <c r="K2339" s="30"/>
    </row>
    <row r="2340" spans="1:11" s="2" customFormat="1" x14ac:dyDescent="0.25">
      <c r="A2340" s="28" t="s">
        <v>4603</v>
      </c>
      <c r="B2340" s="29">
        <v>10</v>
      </c>
      <c r="C2340" s="28"/>
      <c r="D2340" s="28" t="s">
        <v>4597</v>
      </c>
      <c r="E2340" s="3"/>
      <c r="H2340" s="7"/>
      <c r="K2340" s="30"/>
    </row>
    <row r="2341" spans="1:11" s="2" customFormat="1" x14ac:dyDescent="0.25">
      <c r="A2341" s="28" t="s">
        <v>4604</v>
      </c>
      <c r="B2341" s="29">
        <v>4</v>
      </c>
      <c r="C2341" s="28"/>
      <c r="D2341" s="28" t="s">
        <v>4597</v>
      </c>
      <c r="E2341" s="3"/>
      <c r="H2341" s="7"/>
      <c r="K2341" s="30"/>
    </row>
    <row r="2342" spans="1:11" s="2" customFormat="1" x14ac:dyDescent="0.25">
      <c r="A2342" s="28" t="s">
        <v>4605</v>
      </c>
      <c r="B2342" s="29">
        <v>3</v>
      </c>
      <c r="C2342" s="28"/>
      <c r="D2342" s="28" t="s">
        <v>4597</v>
      </c>
      <c r="E2342" s="3"/>
      <c r="H2342" s="7"/>
      <c r="K2342" s="30"/>
    </row>
    <row r="2343" spans="1:11" s="2" customFormat="1" x14ac:dyDescent="0.25">
      <c r="A2343" s="28" t="s">
        <v>4606</v>
      </c>
      <c r="B2343" s="29">
        <v>6</v>
      </c>
      <c r="C2343" s="28"/>
      <c r="D2343" s="28" t="s">
        <v>4597</v>
      </c>
      <c r="E2343" s="3"/>
      <c r="H2343" s="7"/>
      <c r="K2343" s="30"/>
    </row>
    <row r="2344" spans="1:11" s="2" customFormat="1" x14ac:dyDescent="0.25">
      <c r="A2344" s="28" t="s">
        <v>4607</v>
      </c>
      <c r="B2344" s="29">
        <v>1</v>
      </c>
      <c r="C2344" s="28"/>
      <c r="D2344" s="28" t="s">
        <v>4597</v>
      </c>
      <c r="E2344" s="3"/>
      <c r="H2344" s="7"/>
      <c r="K2344" s="30"/>
    </row>
    <row r="2345" spans="1:11" s="2" customFormat="1" x14ac:dyDescent="0.25">
      <c r="A2345" s="28" t="s">
        <v>4608</v>
      </c>
      <c r="B2345" s="29">
        <v>175</v>
      </c>
      <c r="C2345" s="28"/>
      <c r="D2345" s="28" t="s">
        <v>4609</v>
      </c>
      <c r="E2345" s="3"/>
      <c r="H2345" s="7"/>
      <c r="K2345" s="30"/>
    </row>
    <row r="2346" spans="1:11" s="2" customFormat="1" x14ac:dyDescent="0.25">
      <c r="A2346" s="28" t="s">
        <v>4610</v>
      </c>
      <c r="B2346" s="29">
        <v>5</v>
      </c>
      <c r="C2346" s="28"/>
      <c r="D2346" s="28" t="s">
        <v>4611</v>
      </c>
      <c r="E2346" s="3"/>
      <c r="H2346" s="7"/>
      <c r="K2346" s="30"/>
    </row>
    <row r="2347" spans="1:11" s="2" customFormat="1" x14ac:dyDescent="0.25">
      <c r="A2347" s="28" t="s">
        <v>4612</v>
      </c>
      <c r="B2347" s="29">
        <v>1</v>
      </c>
      <c r="C2347" s="28"/>
      <c r="D2347" s="28" t="s">
        <v>4613</v>
      </c>
      <c r="E2347" s="3"/>
      <c r="H2347" s="7"/>
      <c r="K2347" s="30"/>
    </row>
    <row r="2348" spans="1:11" s="2" customFormat="1" x14ac:dyDescent="0.25">
      <c r="A2348" s="28" t="s">
        <v>4614</v>
      </c>
      <c r="B2348" s="29">
        <v>5</v>
      </c>
      <c r="C2348" s="28"/>
      <c r="D2348" s="28" t="s">
        <v>4615</v>
      </c>
      <c r="E2348" s="3"/>
      <c r="H2348" s="7"/>
      <c r="K2348" s="30"/>
    </row>
    <row r="2349" spans="1:11" s="2" customFormat="1" x14ac:dyDescent="0.25">
      <c r="A2349" s="28" t="s">
        <v>4616</v>
      </c>
      <c r="B2349" s="29">
        <v>5</v>
      </c>
      <c r="C2349" s="28"/>
      <c r="D2349" s="28" t="s">
        <v>4615</v>
      </c>
      <c r="E2349" s="3"/>
      <c r="H2349" s="7"/>
      <c r="K2349" s="30"/>
    </row>
    <row r="2350" spans="1:11" s="2" customFormat="1" x14ac:dyDescent="0.25">
      <c r="A2350" s="28" t="s">
        <v>4617</v>
      </c>
      <c r="B2350" s="29">
        <v>5</v>
      </c>
      <c r="C2350" s="28"/>
      <c r="D2350" s="28" t="s">
        <v>4615</v>
      </c>
      <c r="E2350" s="3"/>
      <c r="H2350" s="7"/>
      <c r="K2350" s="30"/>
    </row>
    <row r="2351" spans="1:11" s="2" customFormat="1" x14ac:dyDescent="0.25">
      <c r="A2351" s="28" t="s">
        <v>4618</v>
      </c>
      <c r="B2351" s="29">
        <v>5</v>
      </c>
      <c r="C2351" s="28"/>
      <c r="D2351" s="28" t="s">
        <v>4615</v>
      </c>
      <c r="E2351" s="3"/>
      <c r="H2351" s="7"/>
      <c r="K2351" s="30"/>
    </row>
    <row r="2352" spans="1:11" s="2" customFormat="1" x14ac:dyDescent="0.25">
      <c r="A2352" s="28" t="s">
        <v>4619</v>
      </c>
      <c r="B2352" s="29">
        <v>300</v>
      </c>
      <c r="C2352" s="28"/>
      <c r="D2352" s="28" t="s">
        <v>4620</v>
      </c>
      <c r="E2352" s="3"/>
      <c r="H2352" s="7"/>
      <c r="K2352" s="30"/>
    </row>
    <row r="2353" spans="1:11" s="2" customFormat="1" x14ac:dyDescent="0.25">
      <c r="A2353" s="28" t="s">
        <v>4621</v>
      </c>
      <c r="B2353" s="29">
        <v>9</v>
      </c>
      <c r="C2353" s="28"/>
      <c r="D2353" s="28" t="s">
        <v>4620</v>
      </c>
      <c r="E2353" s="3"/>
      <c r="H2353" s="7"/>
      <c r="K2353" s="30"/>
    </row>
    <row r="2354" spans="1:11" s="2" customFormat="1" x14ac:dyDescent="0.25">
      <c r="A2354" s="28" t="s">
        <v>4622</v>
      </c>
      <c r="B2354" s="29">
        <v>7</v>
      </c>
      <c r="C2354" s="28"/>
      <c r="D2354" s="28" t="s">
        <v>4620</v>
      </c>
      <c r="E2354" s="3"/>
      <c r="H2354" s="7"/>
      <c r="K2354" s="30"/>
    </row>
    <row r="2355" spans="1:11" s="2" customFormat="1" x14ac:dyDescent="0.25">
      <c r="A2355" s="28" t="s">
        <v>4623</v>
      </c>
      <c r="B2355" s="29">
        <v>1</v>
      </c>
      <c r="C2355" s="28"/>
      <c r="D2355" s="28" t="s">
        <v>4620</v>
      </c>
      <c r="E2355" s="3"/>
      <c r="H2355" s="7"/>
      <c r="K2355" s="30"/>
    </row>
    <row r="2356" spans="1:11" s="2" customFormat="1" x14ac:dyDescent="0.25">
      <c r="A2356" s="28" t="s">
        <v>4624</v>
      </c>
      <c r="B2356" s="29">
        <v>24</v>
      </c>
      <c r="C2356" s="28"/>
      <c r="D2356" s="28" t="s">
        <v>4625</v>
      </c>
      <c r="E2356" s="3"/>
      <c r="H2356" s="7"/>
      <c r="K2356" s="30"/>
    </row>
    <row r="2357" spans="1:11" s="2" customFormat="1" x14ac:dyDescent="0.25">
      <c r="A2357" s="28" t="s">
        <v>4626</v>
      </c>
      <c r="B2357" s="29">
        <v>24</v>
      </c>
      <c r="C2357" s="28"/>
      <c r="D2357" s="28" t="s">
        <v>4625</v>
      </c>
      <c r="E2357" s="3"/>
      <c r="H2357" s="7"/>
      <c r="K2357" s="30"/>
    </row>
    <row r="2358" spans="1:11" s="2" customFormat="1" x14ac:dyDescent="0.25">
      <c r="A2358" s="28" t="s">
        <v>4627</v>
      </c>
      <c r="B2358" s="29">
        <v>1</v>
      </c>
      <c r="C2358" s="28"/>
      <c r="D2358" s="28" t="s">
        <v>4628</v>
      </c>
      <c r="E2358" s="3"/>
      <c r="H2358" s="7"/>
      <c r="K2358" s="30"/>
    </row>
    <row r="2359" spans="1:11" s="2" customFormat="1" x14ac:dyDescent="0.25">
      <c r="A2359" s="28" t="s">
        <v>4629</v>
      </c>
      <c r="B2359" s="29">
        <v>3</v>
      </c>
      <c r="C2359" s="28"/>
      <c r="D2359" s="28" t="s">
        <v>4630</v>
      </c>
      <c r="E2359" s="3"/>
      <c r="H2359" s="7"/>
      <c r="K2359" s="30"/>
    </row>
    <row r="2360" spans="1:11" s="2" customFormat="1" x14ac:dyDescent="0.25">
      <c r="A2360" s="28" t="s">
        <v>4631</v>
      </c>
      <c r="B2360" s="29">
        <v>8</v>
      </c>
      <c r="C2360" s="28"/>
      <c r="D2360" s="28" t="s">
        <v>4632</v>
      </c>
      <c r="E2360" s="3"/>
      <c r="H2360" s="7"/>
      <c r="K2360" s="30"/>
    </row>
    <row r="2361" spans="1:11" s="2" customFormat="1" x14ac:dyDescent="0.25">
      <c r="A2361" s="28" t="s">
        <v>4633</v>
      </c>
      <c r="B2361" s="29">
        <v>5</v>
      </c>
      <c r="C2361" s="28"/>
      <c r="D2361" s="28" t="s">
        <v>4632</v>
      </c>
      <c r="E2361" s="3"/>
      <c r="H2361" s="7"/>
      <c r="K2361" s="30"/>
    </row>
    <row r="2362" spans="1:11" s="2" customFormat="1" x14ac:dyDescent="0.25">
      <c r="A2362" s="28" t="s">
        <v>4634</v>
      </c>
      <c r="B2362" s="29">
        <v>289</v>
      </c>
      <c r="C2362" s="28"/>
      <c r="D2362" s="28" t="s">
        <v>18</v>
      </c>
      <c r="E2362" s="3"/>
      <c r="H2362" s="7"/>
      <c r="K2362" s="30"/>
    </row>
    <row r="2363" spans="1:11" s="2" customFormat="1" x14ac:dyDescent="0.25">
      <c r="A2363" s="28" t="s">
        <v>4635</v>
      </c>
      <c r="B2363" s="29">
        <v>248</v>
      </c>
      <c r="C2363" s="28"/>
      <c r="D2363" s="28" t="s">
        <v>18</v>
      </c>
      <c r="E2363" s="3"/>
      <c r="H2363" s="7"/>
      <c r="K2363" s="30"/>
    </row>
    <row r="2364" spans="1:11" s="2" customFormat="1" x14ac:dyDescent="0.25">
      <c r="A2364" s="28" t="s">
        <v>4636</v>
      </c>
      <c r="B2364" s="29">
        <v>88</v>
      </c>
      <c r="C2364" s="28"/>
      <c r="D2364" s="28" t="s">
        <v>18</v>
      </c>
      <c r="E2364" s="3"/>
      <c r="H2364" s="7"/>
      <c r="K2364" s="30"/>
    </row>
    <row r="2365" spans="1:11" s="2" customFormat="1" x14ac:dyDescent="0.25">
      <c r="A2365" s="28" t="s">
        <v>4637</v>
      </c>
      <c r="B2365" s="29">
        <v>21</v>
      </c>
      <c r="C2365" s="28"/>
      <c r="D2365" s="28" t="s">
        <v>18</v>
      </c>
      <c r="E2365" s="3"/>
      <c r="H2365" s="7"/>
      <c r="K2365" s="30"/>
    </row>
    <row r="2366" spans="1:11" s="2" customFormat="1" x14ac:dyDescent="0.25">
      <c r="A2366" s="28" t="s">
        <v>4638</v>
      </c>
      <c r="B2366" s="29">
        <v>4</v>
      </c>
      <c r="C2366" s="28"/>
      <c r="D2366" s="28" t="s">
        <v>4639</v>
      </c>
      <c r="E2366" s="3"/>
      <c r="H2366" s="7"/>
      <c r="K2366" s="30"/>
    </row>
    <row r="2367" spans="1:11" s="2" customFormat="1" x14ac:dyDescent="0.25">
      <c r="A2367" s="28" t="s">
        <v>4640</v>
      </c>
      <c r="B2367" s="29">
        <v>60</v>
      </c>
      <c r="C2367" s="28"/>
      <c r="D2367" s="28" t="s">
        <v>4641</v>
      </c>
      <c r="E2367" s="3"/>
      <c r="H2367" s="7"/>
      <c r="K2367" s="30"/>
    </row>
    <row r="2368" spans="1:11" s="2" customFormat="1" x14ac:dyDescent="0.25">
      <c r="A2368" s="28" t="s">
        <v>4642</v>
      </c>
      <c r="B2368" s="29">
        <v>112</v>
      </c>
      <c r="C2368" s="28"/>
      <c r="D2368" s="28" t="s">
        <v>4643</v>
      </c>
      <c r="E2368" s="3"/>
      <c r="H2368" s="7"/>
      <c r="K2368" s="30"/>
    </row>
    <row r="2369" spans="1:11" s="2" customFormat="1" x14ac:dyDescent="0.25">
      <c r="A2369" s="28" t="s">
        <v>4644</v>
      </c>
      <c r="B2369" s="29">
        <v>11</v>
      </c>
      <c r="C2369" s="28"/>
      <c r="D2369" s="28" t="s">
        <v>4645</v>
      </c>
      <c r="E2369" s="3"/>
      <c r="H2369" s="7"/>
      <c r="K2369" s="30"/>
    </row>
    <row r="2370" spans="1:11" s="2" customFormat="1" x14ac:dyDescent="0.25">
      <c r="A2370" s="28" t="s">
        <v>4646</v>
      </c>
      <c r="B2370" s="29">
        <v>10</v>
      </c>
      <c r="C2370" s="28"/>
      <c r="D2370" s="28" t="s">
        <v>4647</v>
      </c>
      <c r="E2370" s="3"/>
      <c r="H2370" s="7"/>
      <c r="K2370" s="30"/>
    </row>
    <row r="2371" spans="1:11" s="2" customFormat="1" x14ac:dyDescent="0.25">
      <c r="A2371" s="28" t="s">
        <v>4648</v>
      </c>
      <c r="B2371" s="29">
        <v>10</v>
      </c>
      <c r="C2371" s="28"/>
      <c r="D2371" s="28" t="s">
        <v>4647</v>
      </c>
      <c r="E2371" s="3"/>
      <c r="H2371" s="7"/>
      <c r="K2371" s="30"/>
    </row>
    <row r="2372" spans="1:11" s="2" customFormat="1" x14ac:dyDescent="0.25">
      <c r="A2372" s="28" t="s">
        <v>4649</v>
      </c>
      <c r="B2372" s="29">
        <v>1</v>
      </c>
      <c r="C2372" s="28"/>
      <c r="D2372" s="28" t="s">
        <v>4647</v>
      </c>
      <c r="E2372" s="3"/>
      <c r="H2372" s="7"/>
      <c r="K2372" s="30"/>
    </row>
    <row r="2373" spans="1:11" s="2" customFormat="1" x14ac:dyDescent="0.25">
      <c r="A2373" s="28" t="s">
        <v>4650</v>
      </c>
      <c r="B2373" s="29">
        <v>4</v>
      </c>
      <c r="C2373" s="28"/>
      <c r="D2373" s="28" t="s">
        <v>4651</v>
      </c>
      <c r="E2373" s="3"/>
      <c r="H2373" s="7"/>
      <c r="K2373" s="30"/>
    </row>
    <row r="2374" spans="1:11" s="2" customFormat="1" x14ac:dyDescent="0.25">
      <c r="A2374" s="28" t="s">
        <v>4652</v>
      </c>
      <c r="B2374" s="29">
        <v>75</v>
      </c>
      <c r="C2374" s="28"/>
      <c r="D2374" s="28" t="s">
        <v>4653</v>
      </c>
      <c r="E2374" s="3"/>
      <c r="H2374" s="7"/>
      <c r="K2374" s="30"/>
    </row>
    <row r="2375" spans="1:11" s="2" customFormat="1" x14ac:dyDescent="0.25">
      <c r="A2375" s="28" t="s">
        <v>4654</v>
      </c>
      <c r="B2375" s="29">
        <v>16</v>
      </c>
      <c r="C2375" s="28"/>
      <c r="D2375" s="28" t="s">
        <v>4655</v>
      </c>
      <c r="E2375" s="3"/>
      <c r="H2375" s="7"/>
      <c r="K2375" s="30"/>
    </row>
    <row r="2376" spans="1:11" s="2" customFormat="1" x14ac:dyDescent="0.25">
      <c r="A2376" s="28" t="s">
        <v>4656</v>
      </c>
      <c r="B2376" s="29">
        <v>4</v>
      </c>
      <c r="C2376" s="28"/>
      <c r="D2376" s="28" t="s">
        <v>4655</v>
      </c>
      <c r="E2376" s="3"/>
      <c r="H2376" s="7"/>
      <c r="K2376" s="30"/>
    </row>
    <row r="2377" spans="1:11" s="2" customFormat="1" x14ac:dyDescent="0.25">
      <c r="A2377" s="28" t="s">
        <v>4657</v>
      </c>
      <c r="B2377" s="29">
        <v>5</v>
      </c>
      <c r="C2377" s="28"/>
      <c r="D2377" s="28" t="s">
        <v>4658</v>
      </c>
      <c r="E2377" s="3"/>
      <c r="H2377" s="7"/>
      <c r="K2377" s="30"/>
    </row>
    <row r="2378" spans="1:11" s="2" customFormat="1" x14ac:dyDescent="0.25">
      <c r="A2378" s="28" t="s">
        <v>4659</v>
      </c>
      <c r="B2378" s="29">
        <v>5</v>
      </c>
      <c r="C2378" s="28"/>
      <c r="D2378" s="28" t="s">
        <v>4660</v>
      </c>
      <c r="E2378" s="3"/>
      <c r="H2378" s="7"/>
      <c r="K2378" s="30"/>
    </row>
    <row r="2379" spans="1:11" s="2" customFormat="1" x14ac:dyDescent="0.25">
      <c r="A2379" s="28" t="s">
        <v>4661</v>
      </c>
      <c r="B2379" s="29">
        <v>2</v>
      </c>
      <c r="C2379" s="28"/>
      <c r="D2379" s="28" t="s">
        <v>4660</v>
      </c>
      <c r="E2379" s="3"/>
      <c r="H2379" s="7"/>
      <c r="K2379" s="30"/>
    </row>
    <row r="2380" spans="1:11" s="2" customFormat="1" x14ac:dyDescent="0.25">
      <c r="A2380" s="28" t="s">
        <v>4662</v>
      </c>
      <c r="B2380" s="29">
        <v>2</v>
      </c>
      <c r="C2380" s="28"/>
      <c r="D2380" s="28" t="s">
        <v>4660</v>
      </c>
      <c r="E2380" s="3"/>
      <c r="H2380" s="7"/>
      <c r="K2380" s="30"/>
    </row>
    <row r="2381" spans="1:11" s="2" customFormat="1" x14ac:dyDescent="0.25">
      <c r="A2381" s="28" t="s">
        <v>4663</v>
      </c>
      <c r="B2381" s="29">
        <v>4</v>
      </c>
      <c r="C2381" s="28"/>
      <c r="D2381" s="28" t="s">
        <v>4660</v>
      </c>
      <c r="E2381" s="3"/>
      <c r="H2381" s="7"/>
      <c r="K2381" s="30"/>
    </row>
    <row r="2382" spans="1:11" s="2" customFormat="1" x14ac:dyDescent="0.25">
      <c r="A2382" s="28" t="s">
        <v>4664</v>
      </c>
      <c r="B2382" s="29">
        <v>2</v>
      </c>
      <c r="C2382" s="28"/>
      <c r="D2382" s="28" t="s">
        <v>4660</v>
      </c>
      <c r="E2382" s="3"/>
      <c r="H2382" s="7"/>
      <c r="K2382" s="30"/>
    </row>
    <row r="2383" spans="1:11" s="2" customFormat="1" x14ac:dyDescent="0.25">
      <c r="A2383" s="28" t="s">
        <v>4665</v>
      </c>
      <c r="B2383" s="29">
        <v>2</v>
      </c>
      <c r="C2383" s="28"/>
      <c r="D2383" s="28" t="s">
        <v>4660</v>
      </c>
      <c r="E2383" s="3"/>
      <c r="H2383" s="7"/>
      <c r="K2383" s="30"/>
    </row>
    <row r="2384" spans="1:11" s="2" customFormat="1" x14ac:dyDescent="0.25">
      <c r="A2384" s="28" t="s">
        <v>4666</v>
      </c>
      <c r="B2384" s="29">
        <v>30</v>
      </c>
      <c r="C2384" s="28"/>
      <c r="D2384" s="28" t="s">
        <v>4667</v>
      </c>
      <c r="E2384" s="3"/>
      <c r="H2384" s="7"/>
      <c r="K2384" s="30"/>
    </row>
    <row r="2385" spans="1:11" s="2" customFormat="1" x14ac:dyDescent="0.25">
      <c r="A2385" s="28" t="s">
        <v>4668</v>
      </c>
      <c r="B2385" s="29">
        <v>2</v>
      </c>
      <c r="C2385" s="28"/>
      <c r="D2385" s="28" t="s">
        <v>4669</v>
      </c>
      <c r="E2385" s="3"/>
      <c r="H2385" s="7"/>
      <c r="K2385" s="30"/>
    </row>
    <row r="2386" spans="1:11" s="2" customFormat="1" x14ac:dyDescent="0.25">
      <c r="A2386" s="28" t="s">
        <v>4670</v>
      </c>
      <c r="B2386" s="29">
        <v>2</v>
      </c>
      <c r="C2386" s="28"/>
      <c r="D2386" s="28" t="s">
        <v>4669</v>
      </c>
      <c r="E2386" s="3"/>
      <c r="H2386" s="7"/>
      <c r="K2386" s="30"/>
    </row>
    <row r="2387" spans="1:11" s="2" customFormat="1" x14ac:dyDescent="0.25">
      <c r="A2387" s="28" t="s">
        <v>4671</v>
      </c>
      <c r="B2387" s="29">
        <v>1</v>
      </c>
      <c r="C2387" s="28"/>
      <c r="D2387" s="28" t="s">
        <v>4669</v>
      </c>
      <c r="E2387" s="3"/>
      <c r="H2387" s="7"/>
      <c r="K2387" s="30"/>
    </row>
    <row r="2388" spans="1:11" s="2" customFormat="1" x14ac:dyDescent="0.25">
      <c r="A2388" s="28" t="s">
        <v>4672</v>
      </c>
      <c r="B2388" s="29">
        <v>7</v>
      </c>
      <c r="C2388" s="28"/>
      <c r="D2388" s="28" t="s">
        <v>4673</v>
      </c>
      <c r="E2388" s="3"/>
      <c r="H2388" s="7"/>
      <c r="K2388" s="30"/>
    </row>
    <row r="2389" spans="1:11" s="2" customFormat="1" x14ac:dyDescent="0.25">
      <c r="A2389" s="28" t="s">
        <v>4674</v>
      </c>
      <c r="B2389" s="29">
        <v>48</v>
      </c>
      <c r="C2389" s="28"/>
      <c r="D2389" s="28" t="s">
        <v>4675</v>
      </c>
      <c r="E2389" s="3"/>
      <c r="H2389" s="7"/>
      <c r="K2389" s="30"/>
    </row>
    <row r="2390" spans="1:11" s="2" customFormat="1" x14ac:dyDescent="0.25">
      <c r="A2390" s="28" t="s">
        <v>4676</v>
      </c>
      <c r="B2390" s="29">
        <v>8</v>
      </c>
      <c r="C2390" s="28"/>
      <c r="D2390" s="28" t="s">
        <v>4675</v>
      </c>
      <c r="E2390" s="3"/>
      <c r="H2390" s="7"/>
      <c r="K2390" s="30"/>
    </row>
    <row r="2391" spans="1:11" s="2" customFormat="1" x14ac:dyDescent="0.25">
      <c r="A2391" s="28" t="s">
        <v>4677</v>
      </c>
      <c r="B2391" s="29">
        <v>32</v>
      </c>
      <c r="C2391" s="28"/>
      <c r="D2391" s="28" t="s">
        <v>4678</v>
      </c>
      <c r="E2391" s="3"/>
      <c r="H2391" s="7"/>
      <c r="K2391" s="30"/>
    </row>
    <row r="2392" spans="1:11" s="2" customFormat="1" x14ac:dyDescent="0.25">
      <c r="A2392" s="28" t="s">
        <v>4679</v>
      </c>
      <c r="B2392" s="29">
        <v>1</v>
      </c>
      <c r="C2392" s="28"/>
      <c r="D2392" s="28" t="s">
        <v>4680</v>
      </c>
      <c r="E2392" s="3"/>
      <c r="H2392" s="7"/>
      <c r="K2392" s="30"/>
    </row>
    <row r="2393" spans="1:11" s="2" customFormat="1" x14ac:dyDescent="0.25">
      <c r="A2393" s="28" t="s">
        <v>4681</v>
      </c>
      <c r="B2393" s="29">
        <v>12</v>
      </c>
      <c r="C2393" s="28"/>
      <c r="D2393" s="28" t="s">
        <v>4682</v>
      </c>
      <c r="E2393" s="3"/>
      <c r="H2393" s="7"/>
      <c r="K2393" s="30"/>
    </row>
    <row r="2394" spans="1:11" s="2" customFormat="1" x14ac:dyDescent="0.25">
      <c r="A2394" s="28" t="s">
        <v>4683</v>
      </c>
      <c r="B2394" s="29">
        <v>91</v>
      </c>
      <c r="C2394" s="28"/>
      <c r="D2394" s="28" t="s">
        <v>4684</v>
      </c>
      <c r="E2394" s="3"/>
      <c r="H2394" s="7"/>
      <c r="K2394" s="30"/>
    </row>
    <row r="2395" spans="1:11" s="2" customFormat="1" x14ac:dyDescent="0.25">
      <c r="A2395" s="28" t="s">
        <v>4685</v>
      </c>
      <c r="B2395" s="29">
        <v>9</v>
      </c>
      <c r="C2395" s="28"/>
      <c r="D2395" s="28" t="s">
        <v>4684</v>
      </c>
      <c r="E2395" s="3"/>
      <c r="H2395" s="7"/>
      <c r="K2395" s="30"/>
    </row>
    <row r="2396" spans="1:11" s="2" customFormat="1" x14ac:dyDescent="0.25">
      <c r="A2396" s="28" t="s">
        <v>4686</v>
      </c>
      <c r="B2396" s="29">
        <v>19</v>
      </c>
      <c r="C2396" s="28"/>
      <c r="D2396" s="28" t="s">
        <v>4684</v>
      </c>
      <c r="E2396" s="3"/>
      <c r="H2396" s="7"/>
      <c r="K2396" s="30"/>
    </row>
    <row r="2397" spans="1:11" s="2" customFormat="1" x14ac:dyDescent="0.25">
      <c r="A2397" s="28" t="s">
        <v>4687</v>
      </c>
      <c r="B2397" s="29">
        <v>37</v>
      </c>
      <c r="C2397" s="28"/>
      <c r="D2397" s="28" t="s">
        <v>4684</v>
      </c>
      <c r="E2397" s="3"/>
      <c r="H2397" s="7"/>
      <c r="K2397" s="30"/>
    </row>
    <row r="2398" spans="1:11" s="2" customFormat="1" x14ac:dyDescent="0.25">
      <c r="A2398" s="28" t="s">
        <v>4688</v>
      </c>
      <c r="B2398" s="29">
        <v>93</v>
      </c>
      <c r="C2398" s="28"/>
      <c r="D2398" s="28" t="s">
        <v>4684</v>
      </c>
      <c r="E2398" s="3"/>
      <c r="H2398" s="7"/>
      <c r="K2398" s="30"/>
    </row>
    <row r="2399" spans="1:11" s="2" customFormat="1" x14ac:dyDescent="0.25">
      <c r="A2399" s="28" t="s">
        <v>4689</v>
      </c>
      <c r="B2399" s="29">
        <v>7</v>
      </c>
      <c r="C2399" s="28"/>
      <c r="D2399" s="28" t="s">
        <v>4684</v>
      </c>
      <c r="E2399" s="3"/>
      <c r="H2399" s="7"/>
      <c r="K2399" s="30"/>
    </row>
    <row r="2400" spans="1:11" s="2" customFormat="1" x14ac:dyDescent="0.25">
      <c r="A2400" s="28" t="s">
        <v>4690</v>
      </c>
      <c r="B2400" s="29">
        <v>96</v>
      </c>
      <c r="C2400" s="28"/>
      <c r="D2400" s="28" t="s">
        <v>4684</v>
      </c>
      <c r="E2400" s="3"/>
      <c r="H2400" s="7"/>
      <c r="K2400" s="30"/>
    </row>
    <row r="2401" spans="1:11" s="2" customFormat="1" x14ac:dyDescent="0.25">
      <c r="A2401" s="28" t="s">
        <v>4691</v>
      </c>
      <c r="B2401" s="29">
        <v>103</v>
      </c>
      <c r="C2401" s="28"/>
      <c r="D2401" s="28" t="s">
        <v>4684</v>
      </c>
      <c r="E2401" s="3"/>
      <c r="H2401" s="7"/>
      <c r="K2401" s="30"/>
    </row>
    <row r="2402" spans="1:11" s="2" customFormat="1" x14ac:dyDescent="0.25">
      <c r="A2402" s="28" t="s">
        <v>4692</v>
      </c>
      <c r="B2402" s="29">
        <v>11</v>
      </c>
      <c r="C2402" s="28"/>
      <c r="D2402" s="28" t="s">
        <v>4684</v>
      </c>
      <c r="E2402" s="3"/>
      <c r="H2402" s="7"/>
      <c r="K2402" s="30"/>
    </row>
    <row r="2403" spans="1:11" s="2" customFormat="1" x14ac:dyDescent="0.25">
      <c r="A2403" s="28" t="s">
        <v>4693</v>
      </c>
      <c r="B2403" s="29">
        <v>92</v>
      </c>
      <c r="C2403" s="28"/>
      <c r="D2403" s="28" t="s">
        <v>4684</v>
      </c>
      <c r="E2403" s="3"/>
      <c r="H2403" s="7"/>
      <c r="K2403" s="30"/>
    </row>
    <row r="2404" spans="1:11" s="2" customFormat="1" x14ac:dyDescent="0.25">
      <c r="A2404" s="28" t="s">
        <v>4694</v>
      </c>
      <c r="B2404" s="29">
        <v>94</v>
      </c>
      <c r="C2404" s="28"/>
      <c r="D2404" s="28" t="s">
        <v>4684</v>
      </c>
      <c r="E2404" s="3"/>
      <c r="H2404" s="7"/>
      <c r="K2404" s="30"/>
    </row>
    <row r="2405" spans="1:11" s="2" customFormat="1" x14ac:dyDescent="0.25">
      <c r="A2405" s="28" t="s">
        <v>4695</v>
      </c>
      <c r="B2405" s="29">
        <v>1</v>
      </c>
      <c r="C2405" s="28"/>
      <c r="D2405" s="28" t="s">
        <v>4684</v>
      </c>
      <c r="E2405" s="3"/>
      <c r="H2405" s="7"/>
      <c r="K2405" s="30"/>
    </row>
    <row r="2406" spans="1:11" s="2" customFormat="1" x14ac:dyDescent="0.25">
      <c r="A2406" s="28" t="s">
        <v>4696</v>
      </c>
      <c r="B2406" s="29">
        <v>14</v>
      </c>
      <c r="C2406" s="28"/>
      <c r="D2406" s="28" t="s">
        <v>4684</v>
      </c>
      <c r="E2406" s="3"/>
      <c r="H2406" s="7"/>
      <c r="K2406" s="30"/>
    </row>
    <row r="2407" spans="1:11" s="2" customFormat="1" x14ac:dyDescent="0.25">
      <c r="A2407" s="28" t="s">
        <v>4697</v>
      </c>
      <c r="B2407" s="29">
        <v>11</v>
      </c>
      <c r="C2407" s="28"/>
      <c r="D2407" s="28" t="s">
        <v>4684</v>
      </c>
      <c r="E2407" s="3"/>
      <c r="H2407" s="7"/>
      <c r="K2407" s="30"/>
    </row>
    <row r="2408" spans="1:11" s="2" customFormat="1" x14ac:dyDescent="0.25">
      <c r="A2408" s="28" t="s">
        <v>4698</v>
      </c>
      <c r="B2408" s="29">
        <v>23</v>
      </c>
      <c r="C2408" s="28"/>
      <c r="D2408" s="28" t="s">
        <v>4684</v>
      </c>
      <c r="E2408" s="3"/>
      <c r="H2408" s="7"/>
      <c r="K2408" s="30"/>
    </row>
    <row r="2409" spans="1:11" s="2" customFormat="1" x14ac:dyDescent="0.25">
      <c r="A2409" s="28" t="s">
        <v>4699</v>
      </c>
      <c r="B2409" s="29">
        <v>47</v>
      </c>
      <c r="C2409" s="28"/>
      <c r="D2409" s="28" t="s">
        <v>4684</v>
      </c>
      <c r="E2409" s="3"/>
      <c r="H2409" s="7"/>
      <c r="K2409" s="30"/>
    </row>
    <row r="2410" spans="1:11" s="2" customFormat="1" x14ac:dyDescent="0.25">
      <c r="A2410" s="28" t="s">
        <v>4700</v>
      </c>
      <c r="B2410" s="29">
        <v>91</v>
      </c>
      <c r="C2410" s="28"/>
      <c r="D2410" s="28" t="s">
        <v>4684</v>
      </c>
      <c r="E2410" s="3"/>
      <c r="H2410" s="7"/>
      <c r="K2410" s="30"/>
    </row>
    <row r="2411" spans="1:11" s="2" customFormat="1" x14ac:dyDescent="0.25">
      <c r="A2411" s="28" t="s">
        <v>4701</v>
      </c>
      <c r="B2411" s="29">
        <v>40</v>
      </c>
      <c r="C2411" s="28"/>
      <c r="D2411" s="28" t="s">
        <v>4684</v>
      </c>
      <c r="E2411" s="3"/>
      <c r="H2411" s="7"/>
      <c r="K2411" s="30"/>
    </row>
    <row r="2412" spans="1:11" s="2" customFormat="1" x14ac:dyDescent="0.25">
      <c r="A2412" s="28" t="s">
        <v>4702</v>
      </c>
      <c r="B2412" s="29">
        <v>1</v>
      </c>
      <c r="C2412" s="28"/>
      <c r="D2412" s="28" t="s">
        <v>4684</v>
      </c>
      <c r="E2412" s="3"/>
      <c r="H2412" s="7"/>
      <c r="K2412" s="30"/>
    </row>
    <row r="2413" spans="1:11" s="2" customFormat="1" x14ac:dyDescent="0.25">
      <c r="A2413" s="28" t="s">
        <v>4703</v>
      </c>
      <c r="B2413" s="29">
        <v>5</v>
      </c>
      <c r="C2413" s="28"/>
      <c r="D2413" s="28" t="s">
        <v>4684</v>
      </c>
      <c r="E2413" s="3"/>
      <c r="H2413" s="7"/>
      <c r="K2413" s="30"/>
    </row>
    <row r="2414" spans="1:11" s="2" customFormat="1" x14ac:dyDescent="0.25">
      <c r="A2414" s="28" t="s">
        <v>4704</v>
      </c>
      <c r="B2414" s="29">
        <v>37</v>
      </c>
      <c r="C2414" s="28"/>
      <c r="D2414" s="28" t="s">
        <v>4684</v>
      </c>
      <c r="E2414" s="3"/>
      <c r="H2414" s="7"/>
      <c r="K2414" s="30"/>
    </row>
    <row r="2415" spans="1:11" s="2" customFormat="1" x14ac:dyDescent="0.25">
      <c r="A2415" s="28" t="s">
        <v>4705</v>
      </c>
      <c r="B2415" s="29">
        <v>31</v>
      </c>
      <c r="C2415" s="28"/>
      <c r="D2415" s="28" t="s">
        <v>4684</v>
      </c>
      <c r="E2415" s="3"/>
      <c r="H2415" s="7"/>
      <c r="K2415" s="30"/>
    </row>
    <row r="2416" spans="1:11" s="2" customFormat="1" x14ac:dyDescent="0.25">
      <c r="A2416" s="28" t="s">
        <v>4706</v>
      </c>
      <c r="B2416" s="29">
        <v>17</v>
      </c>
      <c r="C2416" s="28"/>
      <c r="D2416" s="28" t="s">
        <v>4684</v>
      </c>
      <c r="E2416" s="3"/>
      <c r="H2416" s="7"/>
      <c r="K2416" s="30"/>
    </row>
    <row r="2417" spans="1:11" s="2" customFormat="1" x14ac:dyDescent="0.25">
      <c r="A2417" s="28" t="s">
        <v>4707</v>
      </c>
      <c r="B2417" s="29">
        <v>6</v>
      </c>
      <c r="C2417" s="28"/>
      <c r="D2417" s="28" t="s">
        <v>4684</v>
      </c>
      <c r="E2417" s="3"/>
      <c r="H2417" s="7"/>
      <c r="K2417" s="30"/>
    </row>
    <row r="2418" spans="1:11" s="2" customFormat="1" x14ac:dyDescent="0.25">
      <c r="A2418" s="28" t="s">
        <v>4708</v>
      </c>
      <c r="B2418" s="29">
        <v>6</v>
      </c>
      <c r="C2418" s="28"/>
      <c r="D2418" s="28" t="s">
        <v>4684</v>
      </c>
      <c r="E2418" s="3"/>
      <c r="H2418" s="7"/>
      <c r="K2418" s="30"/>
    </row>
    <row r="2419" spans="1:11" s="2" customFormat="1" x14ac:dyDescent="0.25">
      <c r="A2419" s="28" t="s">
        <v>4709</v>
      </c>
      <c r="B2419" s="29">
        <v>4</v>
      </c>
      <c r="C2419" s="28"/>
      <c r="D2419" s="28" t="s">
        <v>4684</v>
      </c>
      <c r="E2419" s="3"/>
      <c r="H2419" s="7"/>
      <c r="K2419" s="30"/>
    </row>
    <row r="2420" spans="1:11" s="2" customFormat="1" x14ac:dyDescent="0.25">
      <c r="A2420" s="28" t="s">
        <v>4710</v>
      </c>
      <c r="B2420" s="29">
        <v>9</v>
      </c>
      <c r="C2420" s="28"/>
      <c r="D2420" s="28" t="s">
        <v>4684</v>
      </c>
      <c r="E2420" s="3"/>
      <c r="H2420" s="7"/>
      <c r="K2420" s="30"/>
    </row>
    <row r="2421" spans="1:11" s="2" customFormat="1" x14ac:dyDescent="0.25">
      <c r="A2421" s="28" t="s">
        <v>4711</v>
      </c>
      <c r="B2421" s="29">
        <v>2</v>
      </c>
      <c r="C2421" s="28"/>
      <c r="D2421" s="28" t="s">
        <v>4684</v>
      </c>
      <c r="E2421" s="3"/>
      <c r="H2421" s="7"/>
      <c r="K2421" s="30"/>
    </row>
    <row r="2422" spans="1:11" s="2" customFormat="1" x14ac:dyDescent="0.25">
      <c r="A2422" s="28" t="s">
        <v>4712</v>
      </c>
      <c r="B2422" s="29">
        <v>14</v>
      </c>
      <c r="C2422" s="28"/>
      <c r="D2422" s="28" t="s">
        <v>4684</v>
      </c>
      <c r="E2422" s="3"/>
      <c r="H2422" s="7"/>
      <c r="K2422" s="30"/>
    </row>
    <row r="2423" spans="1:11" s="2" customFormat="1" x14ac:dyDescent="0.25">
      <c r="A2423" s="28" t="s">
        <v>4713</v>
      </c>
      <c r="B2423" s="29">
        <v>58</v>
      </c>
      <c r="C2423" s="28"/>
      <c r="D2423" s="28" t="s">
        <v>4684</v>
      </c>
      <c r="E2423" s="3"/>
      <c r="H2423" s="7"/>
      <c r="K2423" s="30"/>
    </row>
    <row r="2424" spans="1:11" s="2" customFormat="1" x14ac:dyDescent="0.25">
      <c r="A2424" s="28" t="s">
        <v>4714</v>
      </c>
      <c r="B2424" s="29">
        <v>5</v>
      </c>
      <c r="C2424" s="28"/>
      <c r="D2424" s="28" t="s">
        <v>4684</v>
      </c>
      <c r="E2424" s="3"/>
      <c r="H2424" s="7"/>
      <c r="K2424" s="30"/>
    </row>
    <row r="2425" spans="1:11" s="2" customFormat="1" x14ac:dyDescent="0.25">
      <c r="A2425" s="28" t="s">
        <v>4715</v>
      </c>
      <c r="B2425" s="29">
        <v>31</v>
      </c>
      <c r="C2425" s="28"/>
      <c r="D2425" s="28" t="s">
        <v>4684</v>
      </c>
      <c r="E2425" s="3"/>
      <c r="H2425" s="7"/>
      <c r="K2425" s="30"/>
    </row>
    <row r="2426" spans="1:11" s="2" customFormat="1" x14ac:dyDescent="0.25">
      <c r="A2426" s="28" t="s">
        <v>4716</v>
      </c>
      <c r="B2426" s="29">
        <v>1</v>
      </c>
      <c r="C2426" s="28"/>
      <c r="D2426" s="28" t="s">
        <v>4684</v>
      </c>
      <c r="E2426" s="3"/>
      <c r="H2426" s="7"/>
      <c r="K2426" s="30"/>
    </row>
    <row r="2427" spans="1:11" s="2" customFormat="1" x14ac:dyDescent="0.25">
      <c r="A2427" s="28" t="s">
        <v>4717</v>
      </c>
      <c r="B2427" s="29">
        <v>2</v>
      </c>
      <c r="C2427" s="28"/>
      <c r="D2427" s="28" t="s">
        <v>4684</v>
      </c>
      <c r="E2427" s="3"/>
      <c r="H2427" s="7"/>
      <c r="K2427" s="30"/>
    </row>
    <row r="2428" spans="1:11" s="2" customFormat="1" x14ac:dyDescent="0.25">
      <c r="A2428" s="28" t="s">
        <v>4718</v>
      </c>
      <c r="B2428" s="29">
        <v>7</v>
      </c>
      <c r="C2428" s="28"/>
      <c r="D2428" s="28" t="s">
        <v>4684</v>
      </c>
      <c r="E2428" s="3"/>
      <c r="H2428" s="7"/>
      <c r="K2428" s="30"/>
    </row>
    <row r="2429" spans="1:11" s="2" customFormat="1" x14ac:dyDescent="0.25">
      <c r="A2429" s="28" t="s">
        <v>4719</v>
      </c>
      <c r="B2429" s="29">
        <v>77</v>
      </c>
      <c r="C2429" s="28"/>
      <c r="D2429" s="28" t="s">
        <v>4684</v>
      </c>
      <c r="E2429" s="3"/>
      <c r="H2429" s="7"/>
      <c r="K2429" s="30"/>
    </row>
    <row r="2430" spans="1:11" s="2" customFormat="1" x14ac:dyDescent="0.25">
      <c r="A2430" s="28" t="s">
        <v>4720</v>
      </c>
      <c r="B2430" s="29">
        <v>1</v>
      </c>
      <c r="C2430" s="28"/>
      <c r="D2430" s="28" t="s">
        <v>4684</v>
      </c>
      <c r="E2430" s="3"/>
      <c r="H2430" s="7"/>
      <c r="K2430" s="30"/>
    </row>
    <row r="2431" spans="1:11" s="2" customFormat="1" x14ac:dyDescent="0.25">
      <c r="A2431" s="28" t="s">
        <v>4721</v>
      </c>
      <c r="B2431" s="29">
        <v>20</v>
      </c>
      <c r="C2431" s="28"/>
      <c r="D2431" s="28" t="s">
        <v>4684</v>
      </c>
      <c r="E2431" s="3"/>
      <c r="H2431" s="7"/>
      <c r="K2431" s="30"/>
    </row>
    <row r="2432" spans="1:11" s="2" customFormat="1" x14ac:dyDescent="0.25">
      <c r="A2432" s="28" t="s">
        <v>4722</v>
      </c>
      <c r="B2432" s="29">
        <v>5</v>
      </c>
      <c r="C2432" s="28"/>
      <c r="D2432" s="28" t="s">
        <v>4684</v>
      </c>
      <c r="E2432" s="3"/>
      <c r="H2432" s="7"/>
      <c r="K2432" s="30"/>
    </row>
    <row r="2433" spans="1:11" s="2" customFormat="1" x14ac:dyDescent="0.25">
      <c r="A2433" s="28" t="s">
        <v>4723</v>
      </c>
      <c r="B2433" s="29">
        <v>1</v>
      </c>
      <c r="C2433" s="28"/>
      <c r="D2433" s="28" t="s">
        <v>4684</v>
      </c>
      <c r="E2433" s="3"/>
      <c r="H2433" s="7"/>
      <c r="K2433" s="30"/>
    </row>
    <row r="2434" spans="1:11" s="2" customFormat="1" x14ac:dyDescent="0.25">
      <c r="A2434" s="28" t="s">
        <v>4724</v>
      </c>
      <c r="B2434" s="29">
        <v>2</v>
      </c>
      <c r="C2434" s="28"/>
      <c r="D2434" s="28" t="s">
        <v>4684</v>
      </c>
      <c r="E2434" s="3"/>
      <c r="H2434" s="7"/>
      <c r="K2434" s="30"/>
    </row>
    <row r="2435" spans="1:11" s="2" customFormat="1" x14ac:dyDescent="0.25">
      <c r="A2435" s="28" t="s">
        <v>4725</v>
      </c>
      <c r="B2435" s="29">
        <v>2</v>
      </c>
      <c r="C2435" s="28"/>
      <c r="D2435" s="28" t="s">
        <v>4684</v>
      </c>
      <c r="E2435" s="3"/>
      <c r="H2435" s="7"/>
      <c r="K2435" s="30"/>
    </row>
    <row r="2436" spans="1:11" s="2" customFormat="1" x14ac:dyDescent="0.25">
      <c r="A2436" s="28" t="s">
        <v>4726</v>
      </c>
      <c r="B2436" s="29">
        <v>5</v>
      </c>
      <c r="C2436" s="28"/>
      <c r="D2436" s="28" t="s">
        <v>4684</v>
      </c>
      <c r="E2436" s="3"/>
      <c r="H2436" s="7"/>
      <c r="K2436" s="30"/>
    </row>
    <row r="2437" spans="1:11" s="2" customFormat="1" x14ac:dyDescent="0.25">
      <c r="A2437" s="28" t="s">
        <v>4727</v>
      </c>
      <c r="B2437" s="29">
        <v>35</v>
      </c>
      <c r="C2437" s="28"/>
      <c r="D2437" s="28" t="s">
        <v>4684</v>
      </c>
      <c r="E2437" s="3"/>
      <c r="H2437" s="7"/>
      <c r="K2437" s="30"/>
    </row>
    <row r="2438" spans="1:11" s="2" customFormat="1" x14ac:dyDescent="0.25">
      <c r="A2438" s="28" t="s">
        <v>4728</v>
      </c>
      <c r="B2438" s="29">
        <v>3</v>
      </c>
      <c r="C2438" s="28"/>
      <c r="D2438" s="28" t="s">
        <v>4684</v>
      </c>
      <c r="E2438" s="3"/>
      <c r="H2438" s="7"/>
      <c r="K2438" s="30"/>
    </row>
    <row r="2439" spans="1:11" s="2" customFormat="1" x14ac:dyDescent="0.25">
      <c r="A2439" s="28" t="s">
        <v>4729</v>
      </c>
      <c r="B2439" s="29">
        <v>1</v>
      </c>
      <c r="C2439" s="28"/>
      <c r="D2439" s="28" t="s">
        <v>4684</v>
      </c>
      <c r="E2439" s="3"/>
      <c r="H2439" s="7"/>
      <c r="K2439" s="30"/>
    </row>
    <row r="2440" spans="1:11" s="2" customFormat="1" x14ac:dyDescent="0.25">
      <c r="A2440" s="28" t="s">
        <v>4730</v>
      </c>
      <c r="B2440" s="29">
        <v>4</v>
      </c>
      <c r="C2440" s="28"/>
      <c r="D2440" s="28" t="s">
        <v>4684</v>
      </c>
      <c r="E2440" s="3"/>
      <c r="H2440" s="7"/>
      <c r="K2440" s="30"/>
    </row>
    <row r="2441" spans="1:11" s="2" customFormat="1" x14ac:dyDescent="0.25">
      <c r="A2441" s="28" t="s">
        <v>4731</v>
      </c>
      <c r="B2441" s="29">
        <v>2</v>
      </c>
      <c r="C2441" s="28"/>
      <c r="D2441" s="28" t="s">
        <v>4684</v>
      </c>
      <c r="E2441" s="3"/>
      <c r="H2441" s="7"/>
      <c r="K2441" s="30"/>
    </row>
    <row r="2442" spans="1:11" s="2" customFormat="1" x14ac:dyDescent="0.25">
      <c r="A2442" s="28" t="s">
        <v>4732</v>
      </c>
      <c r="B2442" s="29">
        <v>2</v>
      </c>
      <c r="C2442" s="28"/>
      <c r="D2442" s="28" t="s">
        <v>4684</v>
      </c>
      <c r="E2442" s="3"/>
      <c r="H2442" s="7"/>
      <c r="K2442" s="30"/>
    </row>
    <row r="2443" spans="1:11" s="2" customFormat="1" x14ac:dyDescent="0.25">
      <c r="A2443" s="28" t="s">
        <v>4733</v>
      </c>
      <c r="B2443" s="29">
        <v>50</v>
      </c>
      <c r="C2443" s="28"/>
      <c r="D2443" s="28" t="s">
        <v>4684</v>
      </c>
      <c r="E2443" s="3"/>
      <c r="H2443" s="7"/>
      <c r="K2443" s="30"/>
    </row>
    <row r="2444" spans="1:11" s="2" customFormat="1" x14ac:dyDescent="0.25">
      <c r="A2444" s="28" t="s">
        <v>4734</v>
      </c>
      <c r="B2444" s="29">
        <v>3</v>
      </c>
      <c r="C2444" s="28"/>
      <c r="D2444" s="28" t="s">
        <v>4684</v>
      </c>
      <c r="E2444" s="3"/>
      <c r="H2444" s="7"/>
      <c r="K2444" s="30"/>
    </row>
    <row r="2445" spans="1:11" s="2" customFormat="1" x14ac:dyDescent="0.25">
      <c r="A2445" s="28" t="s">
        <v>4735</v>
      </c>
      <c r="B2445" s="29">
        <v>6</v>
      </c>
      <c r="C2445" s="28"/>
      <c r="D2445" s="28" t="s">
        <v>4684</v>
      </c>
      <c r="E2445" s="3"/>
      <c r="H2445" s="7"/>
      <c r="K2445" s="30"/>
    </row>
    <row r="2446" spans="1:11" s="2" customFormat="1" x14ac:dyDescent="0.25">
      <c r="A2446" s="28" t="s">
        <v>4736</v>
      </c>
      <c r="B2446" s="29">
        <v>2</v>
      </c>
      <c r="C2446" s="28"/>
      <c r="D2446" s="28" t="s">
        <v>4684</v>
      </c>
      <c r="E2446" s="3"/>
      <c r="H2446" s="7"/>
      <c r="K2446" s="30"/>
    </row>
    <row r="2447" spans="1:11" s="2" customFormat="1" x14ac:dyDescent="0.25">
      <c r="A2447" s="28" t="s">
        <v>4737</v>
      </c>
      <c r="B2447" s="29">
        <v>3</v>
      </c>
      <c r="C2447" s="28"/>
      <c r="D2447" s="28" t="s">
        <v>4684</v>
      </c>
      <c r="E2447" s="3"/>
      <c r="H2447" s="7"/>
      <c r="K2447" s="30"/>
    </row>
    <row r="2448" spans="1:11" s="2" customFormat="1" x14ac:dyDescent="0.25">
      <c r="A2448" s="28" t="s">
        <v>4738</v>
      </c>
      <c r="B2448" s="29">
        <v>3</v>
      </c>
      <c r="C2448" s="28"/>
      <c r="D2448" s="28" t="s">
        <v>4684</v>
      </c>
      <c r="E2448" s="3"/>
      <c r="H2448" s="7"/>
      <c r="K2448" s="30"/>
    </row>
    <row r="2449" spans="1:11" s="2" customFormat="1" x14ac:dyDescent="0.25">
      <c r="A2449" s="28" t="s">
        <v>4739</v>
      </c>
      <c r="B2449" s="29">
        <v>1</v>
      </c>
      <c r="C2449" s="28"/>
      <c r="D2449" s="28" t="s">
        <v>4684</v>
      </c>
      <c r="E2449" s="3"/>
      <c r="H2449" s="7"/>
      <c r="K2449" s="30"/>
    </row>
    <row r="2450" spans="1:11" s="2" customFormat="1" x14ac:dyDescent="0.25">
      <c r="A2450" s="28" t="s">
        <v>4740</v>
      </c>
      <c r="B2450" s="29">
        <v>1</v>
      </c>
      <c r="C2450" s="28"/>
      <c r="D2450" s="28" t="s">
        <v>4684</v>
      </c>
      <c r="E2450" s="3"/>
      <c r="H2450" s="7"/>
      <c r="K2450" s="30"/>
    </row>
    <row r="2451" spans="1:11" s="2" customFormat="1" x14ac:dyDescent="0.25">
      <c r="A2451" s="28" t="s">
        <v>4741</v>
      </c>
      <c r="B2451" s="29">
        <v>3</v>
      </c>
      <c r="C2451" s="28"/>
      <c r="D2451" s="28" t="s">
        <v>4684</v>
      </c>
      <c r="E2451" s="3"/>
      <c r="H2451" s="7"/>
      <c r="K2451" s="30"/>
    </row>
    <row r="2452" spans="1:11" s="2" customFormat="1" x14ac:dyDescent="0.25">
      <c r="A2452" s="28" t="s">
        <v>4742</v>
      </c>
      <c r="B2452" s="29">
        <v>3</v>
      </c>
      <c r="C2452" s="28"/>
      <c r="D2452" s="28" t="s">
        <v>4684</v>
      </c>
      <c r="E2452" s="3"/>
      <c r="H2452" s="7"/>
      <c r="K2452" s="30"/>
    </row>
    <row r="2453" spans="1:11" s="2" customFormat="1" x14ac:dyDescent="0.25">
      <c r="A2453" s="28" t="s">
        <v>4743</v>
      </c>
      <c r="B2453" s="29">
        <v>1</v>
      </c>
      <c r="C2453" s="28"/>
      <c r="D2453" s="28" t="s">
        <v>4684</v>
      </c>
      <c r="E2453" s="3"/>
      <c r="H2453" s="7"/>
      <c r="K2453" s="30"/>
    </row>
    <row r="2454" spans="1:11" s="2" customFormat="1" x14ac:dyDescent="0.25">
      <c r="A2454" s="28" t="s">
        <v>4744</v>
      </c>
      <c r="B2454" s="29">
        <v>1</v>
      </c>
      <c r="C2454" s="28"/>
      <c r="D2454" s="28" t="s">
        <v>4684</v>
      </c>
      <c r="E2454" s="3"/>
      <c r="H2454" s="7"/>
      <c r="K2454" s="30"/>
    </row>
    <row r="2455" spans="1:11" s="2" customFormat="1" x14ac:dyDescent="0.25">
      <c r="A2455" s="28" t="s">
        <v>4745</v>
      </c>
      <c r="B2455" s="29">
        <v>1</v>
      </c>
      <c r="C2455" s="28"/>
      <c r="D2455" s="28" t="s">
        <v>4684</v>
      </c>
      <c r="E2455" s="3"/>
      <c r="H2455" s="7"/>
      <c r="K2455" s="30"/>
    </row>
    <row r="2456" spans="1:11" s="2" customFormat="1" x14ac:dyDescent="0.25">
      <c r="A2456" s="28" t="s">
        <v>4746</v>
      </c>
      <c r="B2456" s="29">
        <v>2</v>
      </c>
      <c r="C2456" s="28"/>
      <c r="D2456" s="28" t="s">
        <v>4684</v>
      </c>
      <c r="E2456" s="3"/>
      <c r="H2456" s="7"/>
      <c r="K2456" s="30"/>
    </row>
    <row r="2457" spans="1:11" s="2" customFormat="1" x14ac:dyDescent="0.25">
      <c r="A2457" s="28" t="s">
        <v>4747</v>
      </c>
      <c r="B2457" s="29">
        <v>2</v>
      </c>
      <c r="C2457" s="28"/>
      <c r="D2457" s="28" t="s">
        <v>4684</v>
      </c>
      <c r="E2457" s="3"/>
      <c r="H2457" s="7"/>
      <c r="K2457" s="30"/>
    </row>
    <row r="2458" spans="1:11" s="2" customFormat="1" x14ac:dyDescent="0.25">
      <c r="A2458" s="28" t="s">
        <v>4748</v>
      </c>
      <c r="B2458" s="29">
        <v>2</v>
      </c>
      <c r="C2458" s="28"/>
      <c r="D2458" s="28" t="s">
        <v>4684</v>
      </c>
      <c r="E2458" s="3"/>
      <c r="H2458" s="7"/>
      <c r="K2458" s="30"/>
    </row>
    <row r="2459" spans="1:11" s="2" customFormat="1" x14ac:dyDescent="0.25">
      <c r="A2459" s="28" t="s">
        <v>4749</v>
      </c>
      <c r="B2459" s="29">
        <v>12</v>
      </c>
      <c r="C2459" s="28"/>
      <c r="D2459" s="28" t="s">
        <v>4684</v>
      </c>
      <c r="E2459" s="3"/>
      <c r="H2459" s="7"/>
      <c r="K2459" s="30"/>
    </row>
    <row r="2460" spans="1:11" s="2" customFormat="1" x14ac:dyDescent="0.25">
      <c r="A2460" s="28" t="s">
        <v>4750</v>
      </c>
      <c r="B2460" s="29">
        <v>1</v>
      </c>
      <c r="C2460" s="28"/>
      <c r="D2460" s="28" t="s">
        <v>4684</v>
      </c>
      <c r="E2460" s="3"/>
      <c r="H2460" s="7"/>
      <c r="K2460" s="30"/>
    </row>
    <row r="2461" spans="1:11" s="2" customFormat="1" x14ac:dyDescent="0.25">
      <c r="A2461" s="28" t="s">
        <v>4751</v>
      </c>
      <c r="B2461" s="29">
        <v>1</v>
      </c>
      <c r="C2461" s="28"/>
      <c r="D2461" s="28" t="s">
        <v>4684</v>
      </c>
      <c r="E2461" s="3"/>
      <c r="H2461" s="7"/>
      <c r="K2461" s="30"/>
    </row>
    <row r="2462" spans="1:11" s="2" customFormat="1" x14ac:dyDescent="0.25">
      <c r="A2462" s="28" t="s">
        <v>4752</v>
      </c>
      <c r="B2462" s="29">
        <v>2</v>
      </c>
      <c r="C2462" s="28"/>
      <c r="D2462" s="28" t="s">
        <v>4684</v>
      </c>
      <c r="E2462" s="3"/>
      <c r="H2462" s="7"/>
      <c r="K2462" s="30"/>
    </row>
    <row r="2463" spans="1:11" s="2" customFormat="1" x14ac:dyDescent="0.25">
      <c r="A2463" s="28" t="s">
        <v>4753</v>
      </c>
      <c r="B2463" s="29">
        <v>1</v>
      </c>
      <c r="C2463" s="28"/>
      <c r="D2463" s="28" t="s">
        <v>4684</v>
      </c>
      <c r="E2463" s="3"/>
      <c r="H2463" s="7"/>
      <c r="K2463" s="30"/>
    </row>
    <row r="2464" spans="1:11" s="2" customFormat="1" x14ac:dyDescent="0.25">
      <c r="A2464" s="28" t="s">
        <v>4754</v>
      </c>
      <c r="B2464" s="29">
        <v>1</v>
      </c>
      <c r="C2464" s="28"/>
      <c r="D2464" s="28" t="s">
        <v>4684</v>
      </c>
      <c r="E2464" s="3"/>
      <c r="H2464" s="7"/>
      <c r="K2464" s="30"/>
    </row>
    <row r="2465" spans="1:11" s="2" customFormat="1" x14ac:dyDescent="0.25">
      <c r="A2465" s="28" t="s">
        <v>4755</v>
      </c>
      <c r="B2465" s="29">
        <v>1</v>
      </c>
      <c r="C2465" s="28"/>
      <c r="D2465" s="28" t="s">
        <v>4684</v>
      </c>
      <c r="E2465" s="3"/>
      <c r="H2465" s="7"/>
      <c r="K2465" s="30"/>
    </row>
    <row r="2466" spans="1:11" s="2" customFormat="1" x14ac:dyDescent="0.25">
      <c r="A2466" s="28" t="s">
        <v>4756</v>
      </c>
      <c r="B2466" s="29">
        <v>1</v>
      </c>
      <c r="C2466" s="28"/>
      <c r="D2466" s="28" t="s">
        <v>4684</v>
      </c>
      <c r="E2466" s="3"/>
      <c r="H2466" s="7"/>
      <c r="K2466" s="30"/>
    </row>
    <row r="2467" spans="1:11" s="2" customFormat="1" x14ac:dyDescent="0.25">
      <c r="A2467" s="28" t="s">
        <v>4757</v>
      </c>
      <c r="B2467" s="29">
        <v>2</v>
      </c>
      <c r="C2467" s="28"/>
      <c r="D2467" s="28" t="s">
        <v>4684</v>
      </c>
      <c r="E2467" s="3"/>
      <c r="H2467" s="7"/>
      <c r="K2467" s="30"/>
    </row>
    <row r="2468" spans="1:11" s="2" customFormat="1" x14ac:dyDescent="0.25">
      <c r="A2468" s="28" t="s">
        <v>4758</v>
      </c>
      <c r="B2468" s="29">
        <v>3</v>
      </c>
      <c r="C2468" s="28"/>
      <c r="D2468" s="28" t="s">
        <v>4684</v>
      </c>
      <c r="E2468" s="3"/>
      <c r="H2468" s="7"/>
      <c r="K2468" s="30"/>
    </row>
    <row r="2469" spans="1:11" s="2" customFormat="1" x14ac:dyDescent="0.25">
      <c r="A2469" s="28" t="s">
        <v>4759</v>
      </c>
      <c r="B2469" s="29">
        <v>20</v>
      </c>
      <c r="C2469" s="28"/>
      <c r="D2469" s="28" t="s">
        <v>781</v>
      </c>
      <c r="E2469" s="3"/>
      <c r="H2469" s="7"/>
      <c r="K2469" s="30"/>
    </row>
    <row r="2470" spans="1:11" s="2" customFormat="1" x14ac:dyDescent="0.25">
      <c r="A2470" s="28" t="s">
        <v>4760</v>
      </c>
      <c r="B2470" s="29">
        <v>11</v>
      </c>
      <c r="C2470" s="28"/>
      <c r="D2470" s="28" t="s">
        <v>781</v>
      </c>
      <c r="E2470" s="3"/>
      <c r="H2470" s="7"/>
      <c r="K2470" s="30"/>
    </row>
    <row r="2471" spans="1:11" s="2" customFormat="1" x14ac:dyDescent="0.25">
      <c r="A2471" s="28" t="s">
        <v>782</v>
      </c>
      <c r="B2471" s="29">
        <v>410</v>
      </c>
      <c r="C2471" s="28"/>
      <c r="D2471" s="28" t="s">
        <v>781</v>
      </c>
      <c r="E2471" s="3"/>
      <c r="H2471" s="7"/>
      <c r="K2471" s="30"/>
    </row>
    <row r="2472" spans="1:11" s="2" customFormat="1" x14ac:dyDescent="0.25">
      <c r="A2472" s="28" t="s">
        <v>4761</v>
      </c>
      <c r="B2472" s="29">
        <v>8</v>
      </c>
      <c r="C2472" s="28"/>
      <c r="D2472" s="28" t="s">
        <v>781</v>
      </c>
      <c r="E2472" s="3"/>
      <c r="H2472" s="7"/>
      <c r="K2472" s="30"/>
    </row>
    <row r="2473" spans="1:11" s="2" customFormat="1" x14ac:dyDescent="0.25">
      <c r="A2473" s="28" t="s">
        <v>4762</v>
      </c>
      <c r="B2473" s="29">
        <v>30</v>
      </c>
      <c r="C2473" s="28"/>
      <c r="D2473" s="28" t="s">
        <v>781</v>
      </c>
      <c r="E2473" s="3"/>
      <c r="H2473" s="7"/>
      <c r="K2473" s="30"/>
    </row>
    <row r="2474" spans="1:11" s="2" customFormat="1" x14ac:dyDescent="0.25">
      <c r="A2474" s="28" t="s">
        <v>4763</v>
      </c>
      <c r="B2474" s="29">
        <v>5</v>
      </c>
      <c r="C2474" s="28"/>
      <c r="D2474" s="28" t="s">
        <v>781</v>
      </c>
      <c r="E2474" s="3"/>
      <c r="H2474" s="7"/>
      <c r="K2474" s="30"/>
    </row>
    <row r="2475" spans="1:11" s="2" customFormat="1" x14ac:dyDescent="0.25">
      <c r="A2475" s="28" t="s">
        <v>4764</v>
      </c>
      <c r="B2475" s="29">
        <v>6</v>
      </c>
      <c r="C2475" s="28"/>
      <c r="D2475" s="28" t="s">
        <v>781</v>
      </c>
      <c r="E2475" s="3"/>
      <c r="H2475" s="7"/>
      <c r="K2475" s="30"/>
    </row>
    <row r="2476" spans="1:11" s="2" customFormat="1" x14ac:dyDescent="0.25">
      <c r="A2476" s="28" t="s">
        <v>4765</v>
      </c>
      <c r="B2476" s="29">
        <v>5</v>
      </c>
      <c r="C2476" s="28"/>
      <c r="D2476" s="28" t="s">
        <v>781</v>
      </c>
      <c r="E2476" s="3"/>
      <c r="H2476" s="7"/>
      <c r="K2476" s="30"/>
    </row>
    <row r="2477" spans="1:11" s="2" customFormat="1" x14ac:dyDescent="0.25">
      <c r="A2477" s="28" t="s">
        <v>4766</v>
      </c>
      <c r="B2477" s="29">
        <v>3</v>
      </c>
      <c r="C2477" s="28"/>
      <c r="D2477" s="28" t="s">
        <v>781</v>
      </c>
      <c r="E2477" s="3"/>
      <c r="H2477" s="7"/>
      <c r="K2477" s="30"/>
    </row>
    <row r="2478" spans="1:11" s="2" customFormat="1" x14ac:dyDescent="0.25">
      <c r="A2478" s="28" t="s">
        <v>4767</v>
      </c>
      <c r="B2478" s="29">
        <v>4</v>
      </c>
      <c r="C2478" s="28"/>
      <c r="D2478" s="28" t="s">
        <v>781</v>
      </c>
      <c r="E2478" s="3"/>
      <c r="H2478" s="7"/>
      <c r="K2478" s="30"/>
    </row>
    <row r="2479" spans="1:11" s="2" customFormat="1" x14ac:dyDescent="0.25">
      <c r="A2479" s="28" t="s">
        <v>4768</v>
      </c>
      <c r="B2479" s="29">
        <v>6</v>
      </c>
      <c r="C2479" s="28"/>
      <c r="D2479" s="28" t="s">
        <v>781</v>
      </c>
      <c r="E2479" s="3"/>
      <c r="H2479" s="7"/>
      <c r="K2479" s="30"/>
    </row>
    <row r="2480" spans="1:11" s="2" customFormat="1" x14ac:dyDescent="0.25">
      <c r="A2480" s="28" t="s">
        <v>4769</v>
      </c>
      <c r="B2480" s="29">
        <v>38</v>
      </c>
      <c r="C2480" s="28"/>
      <c r="D2480" s="28" t="s">
        <v>781</v>
      </c>
      <c r="E2480" s="3"/>
      <c r="H2480" s="7"/>
      <c r="K2480" s="30"/>
    </row>
    <row r="2481" spans="1:11" s="2" customFormat="1" x14ac:dyDescent="0.25">
      <c r="A2481" s="28" t="s">
        <v>4770</v>
      </c>
      <c r="B2481" s="29">
        <v>5</v>
      </c>
      <c r="C2481" s="28"/>
      <c r="D2481" s="28" t="s">
        <v>781</v>
      </c>
      <c r="E2481" s="3"/>
      <c r="H2481" s="7"/>
      <c r="K2481" s="30"/>
    </row>
    <row r="2482" spans="1:11" s="2" customFormat="1" x14ac:dyDescent="0.25">
      <c r="A2482" s="28" t="s">
        <v>4771</v>
      </c>
      <c r="B2482" s="29">
        <v>6</v>
      </c>
      <c r="C2482" s="28"/>
      <c r="D2482" s="28" t="s">
        <v>781</v>
      </c>
      <c r="E2482" s="3"/>
      <c r="H2482" s="7"/>
      <c r="K2482" s="30"/>
    </row>
    <row r="2483" spans="1:11" s="2" customFormat="1" x14ac:dyDescent="0.25">
      <c r="A2483" s="28" t="s">
        <v>4772</v>
      </c>
      <c r="B2483" s="29">
        <v>1</v>
      </c>
      <c r="C2483" s="28"/>
      <c r="D2483" s="28" t="s">
        <v>781</v>
      </c>
      <c r="E2483" s="3"/>
      <c r="H2483" s="7"/>
      <c r="K2483" s="30"/>
    </row>
    <row r="2484" spans="1:11" s="2" customFormat="1" x14ac:dyDescent="0.25">
      <c r="A2484" s="28" t="s">
        <v>4773</v>
      </c>
      <c r="B2484" s="29">
        <v>1</v>
      </c>
      <c r="C2484" s="28"/>
      <c r="D2484" s="28" t="s">
        <v>781</v>
      </c>
      <c r="E2484" s="3"/>
      <c r="H2484" s="7"/>
      <c r="K2484" s="30"/>
    </row>
    <row r="2485" spans="1:11" s="2" customFormat="1" x14ac:dyDescent="0.25">
      <c r="A2485" s="28" t="s">
        <v>4774</v>
      </c>
      <c r="B2485" s="29">
        <v>1</v>
      </c>
      <c r="C2485" s="28"/>
      <c r="D2485" s="28" t="s">
        <v>781</v>
      </c>
      <c r="E2485" s="3"/>
      <c r="H2485" s="7"/>
      <c r="K2485" s="30"/>
    </row>
    <row r="2486" spans="1:11" s="2" customFormat="1" x14ac:dyDescent="0.25">
      <c r="A2486" s="28" t="s">
        <v>4775</v>
      </c>
      <c r="B2486" s="29">
        <v>26</v>
      </c>
      <c r="C2486" s="28"/>
      <c r="D2486" s="28" t="s">
        <v>4776</v>
      </c>
      <c r="E2486" s="3"/>
      <c r="H2486" s="7"/>
      <c r="K2486" s="30"/>
    </row>
    <row r="2487" spans="1:11" s="2" customFormat="1" x14ac:dyDescent="0.25">
      <c r="A2487" s="28" t="s">
        <v>4777</v>
      </c>
      <c r="B2487" s="29">
        <v>20</v>
      </c>
      <c r="C2487" s="28"/>
      <c r="D2487" s="28" t="s">
        <v>4776</v>
      </c>
      <c r="E2487" s="3"/>
      <c r="H2487" s="7"/>
      <c r="K2487" s="30"/>
    </row>
    <row r="2488" spans="1:11" s="2" customFormat="1" x14ac:dyDescent="0.25">
      <c r="A2488" s="28" t="s">
        <v>4778</v>
      </c>
      <c r="B2488" s="29">
        <v>19</v>
      </c>
      <c r="C2488" s="28"/>
      <c r="D2488" s="28" t="s">
        <v>4776</v>
      </c>
      <c r="E2488" s="3"/>
      <c r="H2488" s="7"/>
      <c r="K2488" s="30"/>
    </row>
    <row r="2489" spans="1:11" s="2" customFormat="1" x14ac:dyDescent="0.25">
      <c r="A2489" s="28" t="s">
        <v>4779</v>
      </c>
      <c r="B2489" s="29">
        <v>16</v>
      </c>
      <c r="C2489" s="28"/>
      <c r="D2489" s="28" t="s">
        <v>4776</v>
      </c>
      <c r="E2489" s="3"/>
      <c r="H2489" s="7"/>
      <c r="K2489" s="30"/>
    </row>
    <row r="2490" spans="1:11" s="2" customFormat="1" x14ac:dyDescent="0.25">
      <c r="A2490" s="28" t="s">
        <v>4780</v>
      </c>
      <c r="B2490" s="29">
        <v>16</v>
      </c>
      <c r="C2490" s="28"/>
      <c r="D2490" s="28" t="s">
        <v>4776</v>
      </c>
      <c r="E2490" s="3"/>
      <c r="H2490" s="7"/>
      <c r="K2490" s="30"/>
    </row>
    <row r="2491" spans="1:11" s="2" customFormat="1" x14ac:dyDescent="0.25">
      <c r="A2491" s="28" t="s">
        <v>4781</v>
      </c>
      <c r="B2491" s="29">
        <v>18</v>
      </c>
      <c r="C2491" s="28"/>
      <c r="D2491" s="28" t="s">
        <v>4776</v>
      </c>
      <c r="E2491" s="3"/>
      <c r="H2491" s="7"/>
      <c r="K2491" s="30"/>
    </row>
    <row r="2492" spans="1:11" s="2" customFormat="1" x14ac:dyDescent="0.25">
      <c r="A2492" s="28" t="s">
        <v>4782</v>
      </c>
      <c r="B2492" s="29">
        <v>15</v>
      </c>
      <c r="C2492" s="28"/>
      <c r="D2492" s="28" t="s">
        <v>4776</v>
      </c>
      <c r="E2492" s="3"/>
      <c r="H2492" s="7"/>
      <c r="K2492" s="30"/>
    </row>
    <row r="2493" spans="1:11" s="2" customFormat="1" x14ac:dyDescent="0.25">
      <c r="A2493" s="28" t="s">
        <v>4783</v>
      </c>
      <c r="B2493" s="29">
        <v>17</v>
      </c>
      <c r="C2493" s="28"/>
      <c r="D2493" s="28" t="s">
        <v>4776</v>
      </c>
      <c r="E2493" s="3"/>
      <c r="H2493" s="7"/>
      <c r="K2493" s="30"/>
    </row>
    <row r="2494" spans="1:11" s="2" customFormat="1" x14ac:dyDescent="0.25">
      <c r="A2494" s="28" t="s">
        <v>4784</v>
      </c>
      <c r="B2494" s="29">
        <v>18</v>
      </c>
      <c r="C2494" s="28"/>
      <c r="D2494" s="28" t="s">
        <v>4776</v>
      </c>
      <c r="E2494" s="3"/>
      <c r="H2494" s="7"/>
      <c r="K2494" s="30"/>
    </row>
    <row r="2495" spans="1:11" s="2" customFormat="1" x14ac:dyDescent="0.25">
      <c r="A2495" s="28" t="s">
        <v>4785</v>
      </c>
      <c r="B2495" s="29">
        <v>15</v>
      </c>
      <c r="C2495" s="28"/>
      <c r="D2495" s="28" t="s">
        <v>4776</v>
      </c>
      <c r="E2495" s="3"/>
      <c r="H2495" s="7"/>
      <c r="K2495" s="30"/>
    </row>
    <row r="2496" spans="1:11" s="2" customFormat="1" x14ac:dyDescent="0.25">
      <c r="A2496" s="28" t="s">
        <v>4786</v>
      </c>
      <c r="B2496" s="29">
        <v>10</v>
      </c>
      <c r="C2496" s="28"/>
      <c r="D2496" s="28" t="s">
        <v>4776</v>
      </c>
      <c r="E2496" s="3"/>
      <c r="H2496" s="7"/>
      <c r="K2496" s="30"/>
    </row>
    <row r="2497" spans="1:11" s="2" customFormat="1" x14ac:dyDescent="0.25">
      <c r="A2497" s="28" t="s">
        <v>4787</v>
      </c>
      <c r="B2497" s="29">
        <v>6</v>
      </c>
      <c r="C2497" s="28"/>
      <c r="D2497" s="28" t="s">
        <v>4776</v>
      </c>
      <c r="E2497" s="3"/>
      <c r="H2497" s="7"/>
      <c r="K2497" s="30"/>
    </row>
    <row r="2498" spans="1:11" s="2" customFormat="1" x14ac:dyDescent="0.25">
      <c r="A2498" s="28" t="s">
        <v>4788</v>
      </c>
      <c r="B2498" s="29">
        <v>6</v>
      </c>
      <c r="C2498" s="28"/>
      <c r="D2498" s="28" t="s">
        <v>4776</v>
      </c>
      <c r="E2498" s="3"/>
      <c r="H2498" s="7"/>
      <c r="K2498" s="30"/>
    </row>
    <row r="2499" spans="1:11" s="2" customFormat="1" x14ac:dyDescent="0.25">
      <c r="A2499" s="28" t="s">
        <v>4789</v>
      </c>
      <c r="B2499" s="29">
        <v>15</v>
      </c>
      <c r="C2499" s="28"/>
      <c r="D2499" s="28" t="s">
        <v>4776</v>
      </c>
      <c r="E2499" s="3"/>
      <c r="H2499" s="7"/>
      <c r="K2499" s="30"/>
    </row>
    <row r="2500" spans="1:11" s="2" customFormat="1" x14ac:dyDescent="0.25">
      <c r="A2500" s="28" t="s">
        <v>4790</v>
      </c>
      <c r="B2500" s="29">
        <v>7</v>
      </c>
      <c r="C2500" s="28"/>
      <c r="D2500" s="28" t="s">
        <v>4776</v>
      </c>
      <c r="E2500" s="3"/>
      <c r="H2500" s="7"/>
      <c r="K2500" s="30"/>
    </row>
    <row r="2501" spans="1:11" s="2" customFormat="1" x14ac:dyDescent="0.25">
      <c r="A2501" s="28" t="s">
        <v>4791</v>
      </c>
      <c r="B2501" s="29">
        <v>5</v>
      </c>
      <c r="C2501" s="28"/>
      <c r="D2501" s="28" t="s">
        <v>4776</v>
      </c>
      <c r="E2501" s="3"/>
      <c r="H2501" s="7"/>
      <c r="K2501" s="30"/>
    </row>
    <row r="2502" spans="1:11" s="2" customFormat="1" x14ac:dyDescent="0.25">
      <c r="A2502" s="28" t="s">
        <v>4792</v>
      </c>
      <c r="B2502" s="29">
        <v>3</v>
      </c>
      <c r="C2502" s="28"/>
      <c r="D2502" s="28" t="s">
        <v>4776</v>
      </c>
      <c r="E2502" s="3"/>
      <c r="H2502" s="7"/>
      <c r="K2502" s="30"/>
    </row>
    <row r="2503" spans="1:11" s="2" customFormat="1" x14ac:dyDescent="0.25">
      <c r="A2503" s="28" t="s">
        <v>4793</v>
      </c>
      <c r="B2503" s="29">
        <v>25</v>
      </c>
      <c r="C2503" s="28"/>
      <c r="D2503" s="28" t="s">
        <v>4794</v>
      </c>
      <c r="E2503" s="3"/>
      <c r="H2503" s="7"/>
      <c r="K2503" s="30"/>
    </row>
    <row r="2504" spans="1:11" s="2" customFormat="1" x14ac:dyDescent="0.25">
      <c r="A2504" s="28" t="s">
        <v>4795</v>
      </c>
      <c r="B2504" s="29">
        <v>20</v>
      </c>
      <c r="C2504" s="28"/>
      <c r="D2504" s="28" t="s">
        <v>1246</v>
      </c>
      <c r="E2504" s="3"/>
      <c r="H2504" s="7"/>
      <c r="K2504" s="30"/>
    </row>
    <row r="2505" spans="1:11" s="2" customFormat="1" x14ac:dyDescent="0.25">
      <c r="A2505" s="28" t="s">
        <v>2772</v>
      </c>
      <c r="B2505" s="29">
        <v>2</v>
      </c>
      <c r="C2505" s="28"/>
      <c r="D2505" s="28" t="s">
        <v>1246</v>
      </c>
      <c r="E2505" s="3"/>
      <c r="H2505" s="7"/>
      <c r="K2505" s="30"/>
    </row>
    <row r="2506" spans="1:11" s="2" customFormat="1" x14ac:dyDescent="0.25">
      <c r="A2506" s="28" t="s">
        <v>4796</v>
      </c>
      <c r="B2506" s="29">
        <v>2</v>
      </c>
      <c r="C2506" s="28"/>
      <c r="D2506" s="28" t="s">
        <v>1246</v>
      </c>
      <c r="E2506" s="3"/>
      <c r="H2506" s="7"/>
      <c r="K2506" s="30"/>
    </row>
    <row r="2507" spans="1:11" s="2" customFormat="1" x14ac:dyDescent="0.25">
      <c r="A2507" s="28" t="s">
        <v>4797</v>
      </c>
      <c r="B2507" s="29">
        <v>178</v>
      </c>
      <c r="C2507" s="28"/>
      <c r="D2507" s="28" t="s">
        <v>1246</v>
      </c>
      <c r="E2507" s="3"/>
      <c r="H2507" s="7"/>
      <c r="K2507" s="30"/>
    </row>
    <row r="2508" spans="1:11" s="2" customFormat="1" x14ac:dyDescent="0.25">
      <c r="A2508" s="28" t="s">
        <v>4798</v>
      </c>
      <c r="B2508" s="29">
        <v>13</v>
      </c>
      <c r="C2508" s="28"/>
      <c r="D2508" s="28" t="s">
        <v>1246</v>
      </c>
      <c r="E2508" s="3"/>
      <c r="H2508" s="7"/>
      <c r="K2508" s="30"/>
    </row>
    <row r="2509" spans="1:11" s="2" customFormat="1" x14ac:dyDescent="0.25">
      <c r="A2509" s="28" t="s">
        <v>4799</v>
      </c>
      <c r="B2509" s="29">
        <v>2</v>
      </c>
      <c r="C2509" s="28"/>
      <c r="D2509" s="28" t="s">
        <v>1246</v>
      </c>
      <c r="E2509" s="3"/>
      <c r="H2509" s="7"/>
      <c r="K2509" s="30"/>
    </row>
    <row r="2510" spans="1:11" s="2" customFormat="1" x14ac:dyDescent="0.25">
      <c r="A2510" s="28" t="s">
        <v>4800</v>
      </c>
      <c r="B2510" s="29">
        <v>15</v>
      </c>
      <c r="C2510" s="28"/>
      <c r="D2510" s="28" t="s">
        <v>1246</v>
      </c>
      <c r="E2510" s="3"/>
      <c r="H2510" s="7"/>
      <c r="K2510" s="30"/>
    </row>
    <row r="2511" spans="1:11" s="2" customFormat="1" x14ac:dyDescent="0.25">
      <c r="A2511" s="28" t="s">
        <v>4801</v>
      </c>
      <c r="B2511" s="29">
        <v>1</v>
      </c>
      <c r="C2511" s="28"/>
      <c r="D2511" s="28" t="s">
        <v>1246</v>
      </c>
      <c r="E2511" s="3"/>
      <c r="H2511" s="7"/>
      <c r="K2511" s="30"/>
    </row>
    <row r="2512" spans="1:11" s="2" customFormat="1" x14ac:dyDescent="0.25">
      <c r="A2512" s="28" t="s">
        <v>4802</v>
      </c>
      <c r="B2512" s="29">
        <v>1</v>
      </c>
      <c r="C2512" s="28"/>
      <c r="D2512" s="28" t="s">
        <v>4803</v>
      </c>
      <c r="E2512" s="3"/>
      <c r="H2512" s="7"/>
      <c r="K2512" s="30"/>
    </row>
    <row r="2513" spans="1:11" s="2" customFormat="1" x14ac:dyDescent="0.25">
      <c r="A2513" s="28" t="s">
        <v>4804</v>
      </c>
      <c r="B2513" s="29">
        <v>253</v>
      </c>
      <c r="C2513" s="28"/>
      <c r="D2513" s="28" t="s">
        <v>4805</v>
      </c>
      <c r="E2513" s="3"/>
      <c r="H2513" s="7"/>
      <c r="K2513" s="30"/>
    </row>
    <row r="2514" spans="1:11" s="2" customFormat="1" x14ac:dyDescent="0.25">
      <c r="A2514" s="28" t="s">
        <v>4806</v>
      </c>
      <c r="B2514" s="29">
        <v>150</v>
      </c>
      <c r="C2514" s="28"/>
      <c r="D2514" s="28" t="s">
        <v>4805</v>
      </c>
      <c r="E2514" s="3"/>
      <c r="H2514" s="7"/>
      <c r="K2514" s="30"/>
    </row>
    <row r="2515" spans="1:11" s="2" customFormat="1" x14ac:dyDescent="0.25">
      <c r="A2515" s="28" t="s">
        <v>4807</v>
      </c>
      <c r="B2515" s="29">
        <v>430</v>
      </c>
      <c r="C2515" s="28"/>
      <c r="D2515" s="28" t="s">
        <v>4805</v>
      </c>
      <c r="E2515" s="3"/>
      <c r="H2515" s="7"/>
      <c r="K2515" s="30"/>
    </row>
    <row r="2516" spans="1:11" s="2" customFormat="1" x14ac:dyDescent="0.25">
      <c r="A2516" s="28" t="s">
        <v>4808</v>
      </c>
      <c r="B2516" s="29">
        <v>91</v>
      </c>
      <c r="C2516" s="28"/>
      <c r="D2516" s="28" t="s">
        <v>4805</v>
      </c>
      <c r="E2516" s="3"/>
      <c r="H2516" s="7"/>
      <c r="K2516" s="30"/>
    </row>
    <row r="2517" spans="1:11" s="2" customFormat="1" x14ac:dyDescent="0.25">
      <c r="A2517" s="28" t="s">
        <v>2626</v>
      </c>
      <c r="B2517" s="29">
        <v>110</v>
      </c>
      <c r="C2517" s="28"/>
      <c r="D2517" s="28" t="s">
        <v>4805</v>
      </c>
      <c r="E2517" s="3"/>
      <c r="H2517" s="7"/>
      <c r="K2517" s="30"/>
    </row>
    <row r="2518" spans="1:11" s="2" customFormat="1" x14ac:dyDescent="0.25">
      <c r="A2518" s="28" t="s">
        <v>4809</v>
      </c>
      <c r="B2518" s="29">
        <v>39</v>
      </c>
      <c r="C2518" s="28"/>
      <c r="D2518" s="28" t="s">
        <v>4805</v>
      </c>
      <c r="E2518" s="3"/>
      <c r="H2518" s="7"/>
      <c r="K2518" s="30"/>
    </row>
    <row r="2519" spans="1:11" s="2" customFormat="1" x14ac:dyDescent="0.25">
      <c r="A2519" s="28" t="s">
        <v>4810</v>
      </c>
      <c r="B2519" s="29">
        <v>50</v>
      </c>
      <c r="C2519" s="28"/>
      <c r="D2519" s="28" t="s">
        <v>4805</v>
      </c>
      <c r="E2519" s="3"/>
      <c r="H2519" s="7"/>
      <c r="K2519" s="30"/>
    </row>
    <row r="2520" spans="1:11" s="2" customFormat="1" x14ac:dyDescent="0.25">
      <c r="A2520" s="28" t="s">
        <v>4811</v>
      </c>
      <c r="B2520" s="29">
        <v>23</v>
      </c>
      <c r="C2520" s="28"/>
      <c r="D2520" s="28" t="s">
        <v>4805</v>
      </c>
      <c r="E2520" s="3"/>
      <c r="H2520" s="7"/>
      <c r="K2520" s="30"/>
    </row>
    <row r="2521" spans="1:11" s="2" customFormat="1" x14ac:dyDescent="0.25">
      <c r="A2521" s="28" t="s">
        <v>4812</v>
      </c>
      <c r="B2521" s="29">
        <v>10</v>
      </c>
      <c r="C2521" s="28"/>
      <c r="D2521" s="28" t="s">
        <v>4805</v>
      </c>
      <c r="E2521" s="3"/>
      <c r="H2521" s="7"/>
      <c r="K2521" s="30"/>
    </row>
    <row r="2522" spans="1:11" s="2" customFormat="1" x14ac:dyDescent="0.25">
      <c r="A2522" s="28" t="s">
        <v>4813</v>
      </c>
      <c r="B2522" s="29">
        <v>50</v>
      </c>
      <c r="C2522" s="28"/>
      <c r="D2522" s="28" t="s">
        <v>4805</v>
      </c>
      <c r="E2522" s="3"/>
      <c r="H2522" s="7"/>
      <c r="K2522" s="30"/>
    </row>
    <row r="2523" spans="1:11" s="2" customFormat="1" x14ac:dyDescent="0.25">
      <c r="A2523" s="28" t="s">
        <v>4814</v>
      </c>
      <c r="B2523" s="29">
        <v>20</v>
      </c>
      <c r="C2523" s="28"/>
      <c r="D2523" s="28" t="s">
        <v>4805</v>
      </c>
      <c r="E2523" s="3"/>
      <c r="H2523" s="7"/>
      <c r="K2523" s="30"/>
    </row>
    <row r="2524" spans="1:11" s="2" customFormat="1" x14ac:dyDescent="0.25">
      <c r="A2524" s="28" t="s">
        <v>4815</v>
      </c>
      <c r="B2524" s="29">
        <v>20</v>
      </c>
      <c r="C2524" s="28"/>
      <c r="D2524" s="28" t="s">
        <v>4805</v>
      </c>
      <c r="E2524" s="3"/>
      <c r="H2524" s="7"/>
      <c r="K2524" s="30"/>
    </row>
    <row r="2525" spans="1:11" s="2" customFormat="1" x14ac:dyDescent="0.25">
      <c r="A2525" s="28" t="s">
        <v>4816</v>
      </c>
      <c r="B2525" s="29">
        <v>100</v>
      </c>
      <c r="C2525" s="28"/>
      <c r="D2525" s="28" t="s">
        <v>4805</v>
      </c>
      <c r="E2525" s="3"/>
      <c r="H2525" s="7"/>
      <c r="K2525" s="30"/>
    </row>
    <row r="2526" spans="1:11" s="2" customFormat="1" x14ac:dyDescent="0.25">
      <c r="A2526" s="28" t="s">
        <v>4817</v>
      </c>
      <c r="B2526" s="29">
        <v>39</v>
      </c>
      <c r="C2526" s="28"/>
      <c r="D2526" s="28" t="s">
        <v>4805</v>
      </c>
      <c r="E2526" s="3"/>
      <c r="H2526" s="7"/>
      <c r="K2526" s="30"/>
    </row>
    <row r="2527" spans="1:11" s="2" customFormat="1" x14ac:dyDescent="0.25">
      <c r="A2527" s="28" t="s">
        <v>4818</v>
      </c>
      <c r="B2527" s="29">
        <v>30</v>
      </c>
      <c r="C2527" s="28"/>
      <c r="D2527" s="28" t="s">
        <v>4805</v>
      </c>
      <c r="E2527" s="3"/>
      <c r="H2527" s="7"/>
      <c r="K2527" s="30"/>
    </row>
    <row r="2528" spans="1:11" s="2" customFormat="1" x14ac:dyDescent="0.25">
      <c r="A2528" s="28" t="s">
        <v>4819</v>
      </c>
      <c r="B2528" s="29">
        <v>2</v>
      </c>
      <c r="C2528" s="28"/>
      <c r="D2528" s="28" t="s">
        <v>4820</v>
      </c>
      <c r="E2528" s="3"/>
      <c r="H2528" s="7"/>
      <c r="K2528" s="30"/>
    </row>
    <row r="2529" spans="1:11" s="2" customFormat="1" x14ac:dyDescent="0.25">
      <c r="A2529" s="28" t="s">
        <v>4821</v>
      </c>
      <c r="B2529" s="29">
        <v>11</v>
      </c>
      <c r="C2529" s="28"/>
      <c r="D2529" s="28" t="s">
        <v>4822</v>
      </c>
      <c r="E2529" s="3"/>
      <c r="H2529" s="7"/>
      <c r="K2529" s="30"/>
    </row>
    <row r="2530" spans="1:11" s="2" customFormat="1" x14ac:dyDescent="0.25">
      <c r="A2530" s="28" t="s">
        <v>4823</v>
      </c>
      <c r="B2530" s="29">
        <v>6</v>
      </c>
      <c r="C2530" s="28"/>
      <c r="D2530" s="28" t="s">
        <v>4824</v>
      </c>
      <c r="E2530" s="3"/>
      <c r="H2530" s="7"/>
      <c r="K2530" s="30"/>
    </row>
    <row r="2531" spans="1:11" s="2" customFormat="1" x14ac:dyDescent="0.25">
      <c r="A2531" s="28" t="s">
        <v>4825</v>
      </c>
      <c r="B2531" s="29">
        <v>8</v>
      </c>
      <c r="C2531" s="28"/>
      <c r="D2531" s="28" t="s">
        <v>4824</v>
      </c>
      <c r="E2531" s="3"/>
      <c r="H2531" s="7"/>
      <c r="K2531" s="30"/>
    </row>
    <row r="2532" spans="1:11" s="2" customFormat="1" x14ac:dyDescent="0.25">
      <c r="A2532" s="28" t="s">
        <v>4826</v>
      </c>
      <c r="B2532" s="29">
        <v>2</v>
      </c>
      <c r="C2532" s="28"/>
      <c r="D2532" s="28" t="s">
        <v>4824</v>
      </c>
      <c r="E2532" s="3"/>
      <c r="H2532" s="7"/>
      <c r="K2532" s="30"/>
    </row>
    <row r="2533" spans="1:11" s="2" customFormat="1" x14ac:dyDescent="0.25">
      <c r="A2533" s="28" t="s">
        <v>4827</v>
      </c>
      <c r="B2533" s="29">
        <v>58</v>
      </c>
      <c r="C2533" s="28"/>
      <c r="D2533" s="28" t="s">
        <v>4828</v>
      </c>
      <c r="E2533" s="3"/>
      <c r="H2533" s="7"/>
      <c r="K2533" s="30"/>
    </row>
    <row r="2534" spans="1:11" s="2" customFormat="1" x14ac:dyDescent="0.25">
      <c r="A2534" s="28" t="s">
        <v>4829</v>
      </c>
      <c r="B2534" s="29">
        <v>11</v>
      </c>
      <c r="C2534" s="28"/>
      <c r="D2534" s="28" t="s">
        <v>4828</v>
      </c>
      <c r="E2534" s="3"/>
      <c r="H2534" s="7"/>
      <c r="K2534" s="30"/>
    </row>
    <row r="2535" spans="1:11" s="2" customFormat="1" x14ac:dyDescent="0.25">
      <c r="A2535" s="28" t="s">
        <v>4830</v>
      </c>
      <c r="B2535" s="29">
        <v>5</v>
      </c>
      <c r="C2535" s="28"/>
      <c r="D2535" s="28" t="s">
        <v>4831</v>
      </c>
      <c r="E2535" s="3"/>
      <c r="H2535" s="7"/>
      <c r="K2535" s="30"/>
    </row>
    <row r="2536" spans="1:11" s="2" customFormat="1" x14ac:dyDescent="0.25">
      <c r="A2536" s="28" t="s">
        <v>4832</v>
      </c>
      <c r="B2536" s="29">
        <v>50</v>
      </c>
      <c r="C2536" s="28"/>
      <c r="D2536" s="28" t="s">
        <v>4831</v>
      </c>
      <c r="E2536" s="3"/>
      <c r="H2536" s="7"/>
      <c r="K2536" s="30"/>
    </row>
    <row r="2537" spans="1:11" s="2" customFormat="1" x14ac:dyDescent="0.25">
      <c r="A2537" s="28" t="s">
        <v>4833</v>
      </c>
      <c r="B2537" s="29">
        <v>1</v>
      </c>
      <c r="C2537" s="28"/>
      <c r="D2537" s="28" t="s">
        <v>4831</v>
      </c>
      <c r="E2537" s="3"/>
      <c r="H2537" s="7"/>
      <c r="K2537" s="30"/>
    </row>
    <row r="2538" spans="1:11" s="2" customFormat="1" x14ac:dyDescent="0.25">
      <c r="A2538" s="28" t="s">
        <v>4834</v>
      </c>
      <c r="B2538" s="29">
        <v>89</v>
      </c>
      <c r="C2538" s="28"/>
      <c r="D2538" s="28" t="s">
        <v>4835</v>
      </c>
      <c r="E2538" s="3"/>
      <c r="H2538" s="7"/>
      <c r="K2538" s="30"/>
    </row>
    <row r="2539" spans="1:11" s="2" customFormat="1" x14ac:dyDescent="0.25">
      <c r="A2539" s="28" t="s">
        <v>4836</v>
      </c>
      <c r="B2539" s="29">
        <v>512</v>
      </c>
      <c r="C2539" s="28"/>
      <c r="D2539" s="28" t="s">
        <v>4835</v>
      </c>
      <c r="E2539" s="3"/>
      <c r="H2539" s="7"/>
      <c r="K2539" s="30"/>
    </row>
    <row r="2540" spans="1:11" s="2" customFormat="1" x14ac:dyDescent="0.25">
      <c r="A2540" s="28" t="s">
        <v>4837</v>
      </c>
      <c r="B2540" s="29">
        <v>765</v>
      </c>
      <c r="C2540" s="28"/>
      <c r="D2540" s="28" t="s">
        <v>4835</v>
      </c>
      <c r="E2540" s="3"/>
      <c r="H2540" s="7"/>
      <c r="K2540" s="30"/>
    </row>
    <row r="2541" spans="1:11" s="2" customFormat="1" x14ac:dyDescent="0.25">
      <c r="A2541" s="28" t="s">
        <v>4838</v>
      </c>
      <c r="B2541" s="29">
        <v>897</v>
      </c>
      <c r="C2541" s="28"/>
      <c r="D2541" s="28" t="s">
        <v>4835</v>
      </c>
      <c r="E2541" s="3"/>
      <c r="H2541" s="7"/>
      <c r="K2541" s="30"/>
    </row>
    <row r="2542" spans="1:11" s="2" customFormat="1" x14ac:dyDescent="0.25">
      <c r="A2542" s="28" t="s">
        <v>4839</v>
      </c>
      <c r="B2542" s="29">
        <v>245</v>
      </c>
      <c r="C2542" s="28"/>
      <c r="D2542" s="28" t="s">
        <v>4835</v>
      </c>
      <c r="E2542" s="3"/>
      <c r="H2542" s="7"/>
      <c r="K2542" s="30"/>
    </row>
    <row r="2543" spans="1:11" s="2" customFormat="1" x14ac:dyDescent="0.25">
      <c r="A2543" s="28" t="s">
        <v>4840</v>
      </c>
      <c r="B2543" s="29">
        <v>1259</v>
      </c>
      <c r="C2543" s="28"/>
      <c r="D2543" s="28" t="s">
        <v>4835</v>
      </c>
      <c r="E2543" s="3"/>
      <c r="H2543" s="7"/>
      <c r="K2543" s="30"/>
    </row>
    <row r="2544" spans="1:11" s="2" customFormat="1" x14ac:dyDescent="0.25">
      <c r="A2544" s="28" t="s">
        <v>4841</v>
      </c>
      <c r="B2544" s="29">
        <v>222</v>
      </c>
      <c r="C2544" s="28"/>
      <c r="D2544" s="28" t="s">
        <v>4835</v>
      </c>
      <c r="E2544" s="3"/>
      <c r="H2544" s="7"/>
      <c r="K2544" s="30"/>
    </row>
    <row r="2545" spans="1:11" s="2" customFormat="1" x14ac:dyDescent="0.25">
      <c r="A2545" s="28" t="s">
        <v>4842</v>
      </c>
      <c r="B2545" s="29">
        <v>574</v>
      </c>
      <c r="C2545" s="28"/>
      <c r="D2545" s="28" t="s">
        <v>4835</v>
      </c>
      <c r="E2545" s="3"/>
      <c r="H2545" s="7"/>
      <c r="K2545" s="30"/>
    </row>
    <row r="2546" spans="1:11" s="2" customFormat="1" x14ac:dyDescent="0.25">
      <c r="A2546" s="28" t="s">
        <v>4843</v>
      </c>
      <c r="B2546" s="29">
        <v>9</v>
      </c>
      <c r="C2546" s="28"/>
      <c r="D2546" s="28" t="s">
        <v>4835</v>
      </c>
      <c r="E2546" s="3"/>
      <c r="H2546" s="7"/>
      <c r="K2546" s="30"/>
    </row>
    <row r="2547" spans="1:11" s="2" customFormat="1" x14ac:dyDescent="0.25">
      <c r="A2547" s="28" t="s">
        <v>4844</v>
      </c>
      <c r="B2547" s="29">
        <v>48</v>
      </c>
      <c r="C2547" s="28"/>
      <c r="D2547" s="28" t="s">
        <v>4835</v>
      </c>
      <c r="E2547" s="3"/>
      <c r="H2547" s="7"/>
      <c r="K2547" s="30"/>
    </row>
    <row r="2548" spans="1:11" s="2" customFormat="1" x14ac:dyDescent="0.25">
      <c r="A2548" s="28" t="s">
        <v>4845</v>
      </c>
      <c r="B2548" s="29">
        <v>7</v>
      </c>
      <c r="C2548" s="28"/>
      <c r="D2548" s="28" t="s">
        <v>4835</v>
      </c>
      <c r="E2548" s="3"/>
      <c r="H2548" s="7"/>
      <c r="K2548" s="30"/>
    </row>
    <row r="2549" spans="1:11" s="2" customFormat="1" x14ac:dyDescent="0.25">
      <c r="A2549" s="28" t="s">
        <v>4846</v>
      </c>
      <c r="B2549" s="29">
        <v>57</v>
      </c>
      <c r="C2549" s="28"/>
      <c r="D2549" s="28" t="s">
        <v>4835</v>
      </c>
      <c r="E2549" s="3"/>
      <c r="H2549" s="7"/>
      <c r="K2549" s="30"/>
    </row>
    <row r="2550" spans="1:11" s="2" customFormat="1" x14ac:dyDescent="0.25">
      <c r="A2550" s="28" t="s">
        <v>4847</v>
      </c>
      <c r="B2550" s="29">
        <v>17</v>
      </c>
      <c r="C2550" s="28"/>
      <c r="D2550" s="28" t="s">
        <v>4835</v>
      </c>
      <c r="E2550" s="3"/>
      <c r="H2550" s="7"/>
      <c r="K2550" s="30"/>
    </row>
    <row r="2551" spans="1:11" s="2" customFormat="1" x14ac:dyDescent="0.25">
      <c r="A2551" s="28" t="s">
        <v>4848</v>
      </c>
      <c r="B2551" s="29">
        <v>4</v>
      </c>
      <c r="C2551" s="28"/>
      <c r="D2551" s="28" t="s">
        <v>4835</v>
      </c>
      <c r="E2551" s="3"/>
      <c r="H2551" s="7"/>
      <c r="K2551" s="30"/>
    </row>
    <row r="2552" spans="1:11" s="2" customFormat="1" x14ac:dyDescent="0.25">
      <c r="A2552" s="28" t="s">
        <v>4849</v>
      </c>
      <c r="B2552" s="29">
        <v>30</v>
      </c>
      <c r="C2552" s="28"/>
      <c r="D2552" s="28" t="s">
        <v>4835</v>
      </c>
      <c r="E2552" s="3"/>
      <c r="H2552" s="7"/>
      <c r="K2552" s="30"/>
    </row>
    <row r="2553" spans="1:11" s="2" customFormat="1" x14ac:dyDescent="0.25">
      <c r="A2553" s="28" t="s">
        <v>4850</v>
      </c>
      <c r="B2553" s="29">
        <v>2</v>
      </c>
      <c r="C2553" s="28"/>
      <c r="D2553" s="28" t="s">
        <v>4835</v>
      </c>
      <c r="E2553" s="3"/>
      <c r="H2553" s="7"/>
      <c r="K2553" s="30"/>
    </row>
    <row r="2554" spans="1:11" s="2" customFormat="1" x14ac:dyDescent="0.25">
      <c r="A2554" s="28" t="s">
        <v>4851</v>
      </c>
      <c r="B2554" s="29">
        <v>106</v>
      </c>
      <c r="C2554" s="28"/>
      <c r="D2554" s="28" t="s">
        <v>4835</v>
      </c>
      <c r="E2554" s="3"/>
      <c r="H2554" s="7"/>
      <c r="K2554" s="30"/>
    </row>
    <row r="2555" spans="1:11" s="2" customFormat="1" x14ac:dyDescent="0.25">
      <c r="A2555" s="28" t="s">
        <v>4852</v>
      </c>
      <c r="B2555" s="29">
        <v>7</v>
      </c>
      <c r="C2555" s="28"/>
      <c r="D2555" s="28" t="s">
        <v>4835</v>
      </c>
      <c r="E2555" s="3"/>
      <c r="H2555" s="7"/>
      <c r="K2555" s="30"/>
    </row>
    <row r="2556" spans="1:11" s="2" customFormat="1" x14ac:dyDescent="0.25">
      <c r="A2556" s="28" t="s">
        <v>4853</v>
      </c>
      <c r="B2556" s="29">
        <v>2</v>
      </c>
      <c r="C2556" s="28"/>
      <c r="D2556" s="28" t="s">
        <v>4835</v>
      </c>
      <c r="E2556" s="3"/>
      <c r="H2556" s="7"/>
      <c r="K2556" s="30"/>
    </row>
    <row r="2557" spans="1:11" s="2" customFormat="1" x14ac:dyDescent="0.25">
      <c r="A2557" s="28" t="s">
        <v>4854</v>
      </c>
      <c r="B2557" s="29">
        <v>3</v>
      </c>
      <c r="C2557" s="28"/>
      <c r="D2557" s="28" t="s">
        <v>4835</v>
      </c>
      <c r="E2557" s="3"/>
      <c r="H2557" s="7"/>
      <c r="K2557" s="30"/>
    </row>
    <row r="2558" spans="1:11" s="2" customFormat="1" x14ac:dyDescent="0.25">
      <c r="A2558" s="28" t="s">
        <v>4855</v>
      </c>
      <c r="B2558" s="29">
        <v>2</v>
      </c>
      <c r="C2558" s="28"/>
      <c r="D2558" s="28" t="s">
        <v>4835</v>
      </c>
      <c r="E2558" s="3"/>
      <c r="H2558" s="7"/>
      <c r="K2558" s="30"/>
    </row>
    <row r="2559" spans="1:11" s="2" customFormat="1" x14ac:dyDescent="0.25">
      <c r="A2559" s="28" t="s">
        <v>4856</v>
      </c>
      <c r="B2559" s="29">
        <v>4</v>
      </c>
      <c r="C2559" s="28"/>
      <c r="D2559" s="28" t="s">
        <v>4835</v>
      </c>
      <c r="E2559" s="3"/>
      <c r="H2559" s="7"/>
      <c r="K2559" s="30"/>
    </row>
    <row r="2560" spans="1:11" s="2" customFormat="1" x14ac:dyDescent="0.25">
      <c r="A2560" s="28" t="s">
        <v>4857</v>
      </c>
      <c r="B2560" s="29">
        <v>375</v>
      </c>
      <c r="C2560" s="28"/>
      <c r="D2560" s="28" t="s">
        <v>3421</v>
      </c>
      <c r="E2560" s="3"/>
      <c r="H2560" s="7"/>
      <c r="K2560" s="30"/>
    </row>
    <row r="2561" spans="1:11" s="2" customFormat="1" x14ac:dyDescent="0.25">
      <c r="A2561" s="28" t="s">
        <v>4858</v>
      </c>
      <c r="B2561" s="29">
        <v>62</v>
      </c>
      <c r="C2561" s="28"/>
      <c r="D2561" s="28" t="s">
        <v>3421</v>
      </c>
      <c r="E2561" s="3"/>
      <c r="H2561" s="7"/>
      <c r="K2561" s="30"/>
    </row>
    <row r="2562" spans="1:11" s="2" customFormat="1" x14ac:dyDescent="0.25">
      <c r="A2562" s="28" t="s">
        <v>4859</v>
      </c>
      <c r="B2562" s="29">
        <v>80</v>
      </c>
      <c r="C2562" s="28"/>
      <c r="D2562" s="28" t="s">
        <v>3421</v>
      </c>
      <c r="E2562" s="3"/>
      <c r="H2562" s="7"/>
      <c r="K2562" s="30"/>
    </row>
    <row r="2563" spans="1:11" s="2" customFormat="1" x14ac:dyDescent="0.25">
      <c r="A2563" s="28" t="s">
        <v>4860</v>
      </c>
      <c r="B2563" s="29">
        <v>1</v>
      </c>
      <c r="C2563" s="28"/>
      <c r="D2563" s="28" t="s">
        <v>3421</v>
      </c>
      <c r="E2563" s="3"/>
      <c r="H2563" s="7"/>
      <c r="K2563" s="30"/>
    </row>
    <row r="2564" spans="1:11" s="2" customFormat="1" x14ac:dyDescent="0.25">
      <c r="A2564" s="28" t="s">
        <v>4861</v>
      </c>
      <c r="B2564" s="29">
        <v>5</v>
      </c>
      <c r="C2564" s="28"/>
      <c r="D2564" s="28" t="s">
        <v>3421</v>
      </c>
      <c r="E2564" s="3"/>
      <c r="H2564" s="7"/>
      <c r="K2564" s="30"/>
    </row>
    <row r="2565" spans="1:11" s="2" customFormat="1" x14ac:dyDescent="0.25">
      <c r="A2565" s="28" t="s">
        <v>4862</v>
      </c>
      <c r="B2565" s="29">
        <v>5</v>
      </c>
      <c r="C2565" s="28"/>
      <c r="D2565" s="28" t="s">
        <v>3421</v>
      </c>
      <c r="E2565" s="3"/>
      <c r="H2565" s="7"/>
      <c r="K2565" s="30"/>
    </row>
    <row r="2566" spans="1:11" s="2" customFormat="1" x14ac:dyDescent="0.25">
      <c r="A2566" s="28" t="s">
        <v>4863</v>
      </c>
      <c r="B2566" s="29">
        <v>9</v>
      </c>
      <c r="C2566" s="28"/>
      <c r="D2566" s="28" t="s">
        <v>3421</v>
      </c>
      <c r="E2566" s="3"/>
      <c r="H2566" s="7"/>
      <c r="K2566" s="30"/>
    </row>
    <row r="2567" spans="1:11" s="2" customFormat="1" x14ac:dyDescent="0.25">
      <c r="A2567" s="28" t="s">
        <v>4864</v>
      </c>
      <c r="B2567" s="29">
        <v>78</v>
      </c>
      <c r="C2567" s="28"/>
      <c r="D2567" s="28" t="s">
        <v>3421</v>
      </c>
      <c r="E2567" s="3"/>
      <c r="H2567" s="7"/>
      <c r="K2567" s="30"/>
    </row>
    <row r="2568" spans="1:11" s="2" customFormat="1" x14ac:dyDescent="0.25">
      <c r="A2568" s="28" t="s">
        <v>4865</v>
      </c>
      <c r="B2568" s="29">
        <v>85</v>
      </c>
      <c r="C2568" s="28"/>
      <c r="D2568" s="28" t="s">
        <v>3421</v>
      </c>
      <c r="E2568" s="3"/>
      <c r="H2568" s="7"/>
      <c r="K2568" s="30"/>
    </row>
    <row r="2569" spans="1:11" s="2" customFormat="1" x14ac:dyDescent="0.25">
      <c r="A2569" s="28" t="s">
        <v>4866</v>
      </c>
      <c r="B2569" s="29">
        <v>90</v>
      </c>
      <c r="C2569" s="28"/>
      <c r="D2569" s="28" t="s">
        <v>4867</v>
      </c>
      <c r="E2569" s="3"/>
      <c r="H2569" s="7"/>
      <c r="K2569" s="30"/>
    </row>
    <row r="2570" spans="1:11" s="2" customFormat="1" x14ac:dyDescent="0.25">
      <c r="A2570" s="28" t="s">
        <v>4868</v>
      </c>
      <c r="B2570" s="29">
        <v>60</v>
      </c>
      <c r="C2570" s="28"/>
      <c r="D2570" s="28" t="s">
        <v>4867</v>
      </c>
      <c r="E2570" s="3"/>
      <c r="H2570" s="7"/>
      <c r="K2570" s="30"/>
    </row>
    <row r="2571" spans="1:11" s="2" customFormat="1" x14ac:dyDescent="0.25">
      <c r="A2571" s="28" t="s">
        <v>4869</v>
      </c>
      <c r="B2571" s="29">
        <v>80</v>
      </c>
      <c r="C2571" s="28"/>
      <c r="D2571" s="28" t="s">
        <v>4867</v>
      </c>
      <c r="E2571" s="3"/>
      <c r="H2571" s="7"/>
      <c r="K2571" s="30"/>
    </row>
    <row r="2572" spans="1:11" s="2" customFormat="1" x14ac:dyDescent="0.25">
      <c r="A2572" s="28" t="s">
        <v>4870</v>
      </c>
      <c r="B2572" s="29">
        <v>60</v>
      </c>
      <c r="C2572" s="28"/>
      <c r="D2572" s="28" t="s">
        <v>4867</v>
      </c>
      <c r="E2572" s="3"/>
      <c r="H2572" s="7"/>
      <c r="K2572" s="30"/>
    </row>
    <row r="2573" spans="1:11" s="2" customFormat="1" x14ac:dyDescent="0.25">
      <c r="A2573" s="28" t="s">
        <v>4871</v>
      </c>
      <c r="B2573" s="29">
        <v>50</v>
      </c>
      <c r="C2573" s="28"/>
      <c r="D2573" s="28" t="s">
        <v>4867</v>
      </c>
      <c r="E2573" s="3"/>
      <c r="H2573" s="7"/>
      <c r="K2573" s="30"/>
    </row>
    <row r="2574" spans="1:11" s="2" customFormat="1" x14ac:dyDescent="0.25">
      <c r="A2574" s="28" t="s">
        <v>4872</v>
      </c>
      <c r="B2574" s="29">
        <v>12</v>
      </c>
      <c r="C2574" s="28"/>
      <c r="D2574" s="28" t="s">
        <v>4867</v>
      </c>
      <c r="E2574" s="3"/>
      <c r="H2574" s="7"/>
      <c r="K2574" s="30"/>
    </row>
    <row r="2575" spans="1:11" s="2" customFormat="1" x14ac:dyDescent="0.25">
      <c r="A2575" s="28" t="s">
        <v>4873</v>
      </c>
      <c r="B2575" s="29">
        <v>8</v>
      </c>
      <c r="C2575" s="28"/>
      <c r="D2575" s="28" t="s">
        <v>4867</v>
      </c>
      <c r="E2575" s="3"/>
      <c r="H2575" s="7"/>
      <c r="K2575" s="30"/>
    </row>
    <row r="2576" spans="1:11" s="2" customFormat="1" x14ac:dyDescent="0.25">
      <c r="A2576" s="28" t="s">
        <v>4874</v>
      </c>
      <c r="B2576" s="29">
        <v>1</v>
      </c>
      <c r="C2576" s="28"/>
      <c r="D2576" s="28" t="s">
        <v>4867</v>
      </c>
      <c r="E2576" s="3"/>
      <c r="H2576" s="7"/>
      <c r="K2576" s="30"/>
    </row>
    <row r="2577" spans="1:11" s="2" customFormat="1" x14ac:dyDescent="0.25">
      <c r="A2577" s="28" t="s">
        <v>4875</v>
      </c>
      <c r="B2577" s="29">
        <v>2</v>
      </c>
      <c r="C2577" s="28"/>
      <c r="D2577" s="28" t="s">
        <v>4867</v>
      </c>
      <c r="E2577" s="3"/>
      <c r="H2577" s="7"/>
      <c r="K2577" s="30"/>
    </row>
    <row r="2578" spans="1:11" s="2" customFormat="1" x14ac:dyDescent="0.25">
      <c r="A2578" s="28" t="s">
        <v>4876</v>
      </c>
      <c r="B2578" s="29">
        <v>122</v>
      </c>
      <c r="C2578" s="28"/>
      <c r="D2578" s="28" t="s">
        <v>4877</v>
      </c>
      <c r="E2578" s="3"/>
      <c r="H2578" s="7"/>
      <c r="K2578" s="30"/>
    </row>
    <row r="2579" spans="1:11" s="2" customFormat="1" x14ac:dyDescent="0.25">
      <c r="A2579" s="28" t="s">
        <v>4878</v>
      </c>
      <c r="B2579" s="29">
        <v>70</v>
      </c>
      <c r="C2579" s="28"/>
      <c r="D2579" s="28" t="s">
        <v>4877</v>
      </c>
      <c r="E2579" s="3"/>
      <c r="H2579" s="7"/>
      <c r="K2579" s="30"/>
    </row>
    <row r="2580" spans="1:11" s="2" customFormat="1" x14ac:dyDescent="0.25">
      <c r="A2580" s="28" t="s">
        <v>4879</v>
      </c>
      <c r="B2580" s="29">
        <v>16</v>
      </c>
      <c r="C2580" s="28"/>
      <c r="D2580" s="28" t="s">
        <v>4877</v>
      </c>
      <c r="E2580" s="3"/>
      <c r="H2580" s="7"/>
      <c r="K2580" s="30"/>
    </row>
    <row r="2581" spans="1:11" s="2" customFormat="1" x14ac:dyDescent="0.25">
      <c r="A2581" s="28" t="s">
        <v>4880</v>
      </c>
      <c r="B2581" s="29">
        <v>7</v>
      </c>
      <c r="C2581" s="28"/>
      <c r="D2581" s="28" t="s">
        <v>4877</v>
      </c>
      <c r="E2581" s="3"/>
      <c r="H2581" s="7"/>
      <c r="K2581" s="30"/>
    </row>
    <row r="2582" spans="1:11" s="2" customFormat="1" x14ac:dyDescent="0.25">
      <c r="A2582" s="28" t="s">
        <v>4881</v>
      </c>
      <c r="B2582" s="29">
        <v>4</v>
      </c>
      <c r="C2582" s="28"/>
      <c r="D2582" s="28" t="s">
        <v>4877</v>
      </c>
      <c r="E2582" s="3"/>
      <c r="H2582" s="7"/>
      <c r="K2582" s="30"/>
    </row>
    <row r="2583" spans="1:11" s="2" customFormat="1" x14ac:dyDescent="0.25">
      <c r="A2583" s="28" t="s">
        <v>4882</v>
      </c>
      <c r="B2583" s="29">
        <v>74</v>
      </c>
      <c r="C2583" s="28"/>
      <c r="D2583" s="28" t="s">
        <v>4877</v>
      </c>
      <c r="E2583" s="3"/>
      <c r="H2583" s="7"/>
      <c r="K2583" s="30"/>
    </row>
    <row r="2584" spans="1:11" s="2" customFormat="1" x14ac:dyDescent="0.25">
      <c r="A2584" s="28" t="s">
        <v>4883</v>
      </c>
      <c r="B2584" s="29">
        <v>2</v>
      </c>
      <c r="C2584" s="28"/>
      <c r="D2584" s="28" t="s">
        <v>4877</v>
      </c>
      <c r="E2584" s="3"/>
      <c r="H2584" s="7"/>
      <c r="K2584" s="30"/>
    </row>
    <row r="2585" spans="1:11" s="2" customFormat="1" x14ac:dyDescent="0.25">
      <c r="A2585" s="28" t="s">
        <v>4884</v>
      </c>
      <c r="B2585" s="29">
        <v>10</v>
      </c>
      <c r="C2585" s="28"/>
      <c r="D2585" s="28" t="s">
        <v>4877</v>
      </c>
      <c r="E2585" s="3"/>
      <c r="H2585" s="7"/>
      <c r="K2585" s="30"/>
    </row>
    <row r="2586" spans="1:11" s="2" customFormat="1" x14ac:dyDescent="0.25">
      <c r="A2586" s="28" t="s">
        <v>4885</v>
      </c>
      <c r="B2586" s="29">
        <v>126</v>
      </c>
      <c r="C2586" s="28"/>
      <c r="D2586" s="28" t="s">
        <v>4886</v>
      </c>
      <c r="E2586" s="3"/>
      <c r="H2586" s="7"/>
      <c r="K2586" s="30"/>
    </row>
    <row r="2587" spans="1:11" s="2" customFormat="1" x14ac:dyDescent="0.25">
      <c r="A2587" s="28" t="s">
        <v>4887</v>
      </c>
      <c r="B2587" s="29">
        <v>339</v>
      </c>
      <c r="C2587" s="28"/>
      <c r="D2587" s="28" t="s">
        <v>4886</v>
      </c>
      <c r="E2587" s="3"/>
      <c r="H2587" s="7"/>
      <c r="K2587" s="30"/>
    </row>
    <row r="2588" spans="1:11" s="2" customFormat="1" x14ac:dyDescent="0.25">
      <c r="A2588" s="28" t="s">
        <v>4888</v>
      </c>
      <c r="B2588" s="29">
        <v>12</v>
      </c>
      <c r="C2588" s="28"/>
      <c r="D2588" s="28" t="s">
        <v>4886</v>
      </c>
      <c r="E2588" s="3"/>
      <c r="H2588" s="7"/>
      <c r="K2588" s="30"/>
    </row>
    <row r="2589" spans="1:11" s="2" customFormat="1" x14ac:dyDescent="0.25">
      <c r="A2589" s="28" t="s">
        <v>4889</v>
      </c>
      <c r="B2589" s="29">
        <v>19</v>
      </c>
      <c r="C2589" s="28"/>
      <c r="D2589" s="28" t="s">
        <v>4886</v>
      </c>
      <c r="E2589" s="3"/>
      <c r="H2589" s="7"/>
      <c r="K2589" s="30"/>
    </row>
    <row r="2590" spans="1:11" s="2" customFormat="1" x14ac:dyDescent="0.25">
      <c r="A2590" s="28" t="s">
        <v>4890</v>
      </c>
      <c r="B2590" s="29">
        <v>44</v>
      </c>
      <c r="C2590" s="28"/>
      <c r="D2590" s="28" t="s">
        <v>4891</v>
      </c>
      <c r="E2590" s="3"/>
      <c r="H2590" s="7"/>
      <c r="K2590" s="30"/>
    </row>
    <row r="2591" spans="1:11" s="2" customFormat="1" x14ac:dyDescent="0.25">
      <c r="A2591" s="28" t="s">
        <v>4892</v>
      </c>
      <c r="B2591" s="29">
        <v>2</v>
      </c>
      <c r="C2591" s="28"/>
      <c r="D2591" s="28" t="s">
        <v>4893</v>
      </c>
      <c r="E2591" s="3"/>
      <c r="H2591" s="7"/>
      <c r="K2591" s="30"/>
    </row>
    <row r="2592" spans="1:11" s="2" customFormat="1" x14ac:dyDescent="0.25">
      <c r="A2592" s="28" t="s">
        <v>4894</v>
      </c>
      <c r="B2592" s="29">
        <v>16</v>
      </c>
      <c r="C2592" s="28"/>
      <c r="D2592" s="28" t="s">
        <v>108</v>
      </c>
      <c r="E2592" s="3"/>
      <c r="H2592" s="7"/>
      <c r="K2592" s="30"/>
    </row>
    <row r="2593" spans="1:11" s="2" customFormat="1" x14ac:dyDescent="0.25">
      <c r="A2593" s="28" t="s">
        <v>4895</v>
      </c>
      <c r="B2593" s="29">
        <v>47</v>
      </c>
      <c r="C2593" s="28"/>
      <c r="D2593" s="28" t="s">
        <v>108</v>
      </c>
      <c r="E2593" s="3"/>
      <c r="H2593" s="7"/>
      <c r="K2593" s="30"/>
    </row>
    <row r="2594" spans="1:11" s="2" customFormat="1" x14ac:dyDescent="0.25">
      <c r="A2594" s="28" t="s">
        <v>4896</v>
      </c>
      <c r="B2594" s="29">
        <v>180</v>
      </c>
      <c r="C2594" s="28"/>
      <c r="D2594" s="28" t="s">
        <v>108</v>
      </c>
      <c r="E2594" s="3"/>
      <c r="H2594" s="7"/>
      <c r="K2594" s="30"/>
    </row>
    <row r="2595" spans="1:11" s="2" customFormat="1" x14ac:dyDescent="0.25">
      <c r="A2595" s="28" t="s">
        <v>4897</v>
      </c>
      <c r="B2595" s="29">
        <v>116</v>
      </c>
      <c r="C2595" s="28"/>
      <c r="D2595" s="28" t="s">
        <v>108</v>
      </c>
      <c r="E2595" s="3"/>
      <c r="H2595" s="7"/>
      <c r="K2595" s="30"/>
    </row>
    <row r="2596" spans="1:11" s="2" customFormat="1" x14ac:dyDescent="0.25">
      <c r="A2596" s="28" t="s">
        <v>4898</v>
      </c>
      <c r="B2596" s="29">
        <v>62</v>
      </c>
      <c r="C2596" s="28"/>
      <c r="D2596" s="28" t="s">
        <v>108</v>
      </c>
      <c r="E2596" s="3"/>
      <c r="H2596" s="7"/>
      <c r="K2596" s="30"/>
    </row>
    <row r="2597" spans="1:11" s="2" customFormat="1" x14ac:dyDescent="0.25">
      <c r="A2597" s="28" t="s">
        <v>4899</v>
      </c>
      <c r="B2597" s="29">
        <v>4</v>
      </c>
      <c r="C2597" s="28"/>
      <c r="D2597" s="28" t="s">
        <v>108</v>
      </c>
      <c r="E2597" s="3"/>
      <c r="H2597" s="7"/>
      <c r="K2597" s="30"/>
    </row>
    <row r="2598" spans="1:11" s="2" customFormat="1" x14ac:dyDescent="0.25">
      <c r="A2598" s="28" t="s">
        <v>4900</v>
      </c>
      <c r="B2598" s="29">
        <v>45</v>
      </c>
      <c r="C2598" s="28"/>
      <c r="D2598" s="28" t="s">
        <v>108</v>
      </c>
      <c r="E2598" s="3"/>
      <c r="H2598" s="7"/>
      <c r="K2598" s="30"/>
    </row>
    <row r="2599" spans="1:11" s="2" customFormat="1" x14ac:dyDescent="0.25">
      <c r="A2599" s="28" t="s">
        <v>4901</v>
      </c>
      <c r="B2599" s="29">
        <v>10</v>
      </c>
      <c r="C2599" s="28"/>
      <c r="D2599" s="28" t="s">
        <v>108</v>
      </c>
      <c r="E2599" s="3"/>
      <c r="H2599" s="7"/>
      <c r="K2599" s="30"/>
    </row>
    <row r="2600" spans="1:11" s="2" customFormat="1" x14ac:dyDescent="0.25">
      <c r="A2600" s="28" t="s">
        <v>4902</v>
      </c>
      <c r="B2600" s="29">
        <v>89</v>
      </c>
      <c r="C2600" s="28"/>
      <c r="D2600" s="28" t="s">
        <v>108</v>
      </c>
      <c r="E2600" s="3"/>
      <c r="H2600" s="7"/>
      <c r="K2600" s="30"/>
    </row>
    <row r="2601" spans="1:11" s="2" customFormat="1" x14ac:dyDescent="0.25">
      <c r="A2601" s="28" t="s">
        <v>4903</v>
      </c>
      <c r="B2601" s="29">
        <v>20</v>
      </c>
      <c r="C2601" s="28"/>
      <c r="D2601" s="28" t="s">
        <v>108</v>
      </c>
      <c r="E2601" s="3"/>
      <c r="H2601" s="7"/>
      <c r="K2601" s="30"/>
    </row>
    <row r="2602" spans="1:11" s="2" customFormat="1" x14ac:dyDescent="0.25">
      <c r="A2602" s="28" t="s">
        <v>4904</v>
      </c>
      <c r="B2602" s="29">
        <v>10</v>
      </c>
      <c r="C2602" s="28"/>
      <c r="D2602" s="28" t="s">
        <v>108</v>
      </c>
      <c r="E2602" s="3"/>
      <c r="H2602" s="7"/>
      <c r="K2602" s="30"/>
    </row>
    <row r="2603" spans="1:11" s="2" customFormat="1" x14ac:dyDescent="0.25">
      <c r="A2603" s="28" t="s">
        <v>4905</v>
      </c>
      <c r="B2603" s="29">
        <v>7</v>
      </c>
      <c r="C2603" s="28"/>
      <c r="D2603" s="28" t="s">
        <v>108</v>
      </c>
      <c r="E2603" s="3"/>
      <c r="H2603" s="7"/>
      <c r="K2603" s="30"/>
    </row>
    <row r="2604" spans="1:11" s="2" customFormat="1" x14ac:dyDescent="0.25">
      <c r="A2604" s="28" t="s">
        <v>4906</v>
      </c>
      <c r="B2604" s="29">
        <v>20</v>
      </c>
      <c r="C2604" s="28"/>
      <c r="D2604" s="28" t="s">
        <v>108</v>
      </c>
      <c r="E2604" s="3"/>
      <c r="H2604" s="7"/>
      <c r="K2604" s="30"/>
    </row>
    <row r="2605" spans="1:11" s="2" customFormat="1" x14ac:dyDescent="0.25">
      <c r="A2605" s="28" t="s">
        <v>4907</v>
      </c>
      <c r="B2605" s="29">
        <v>50</v>
      </c>
      <c r="C2605" s="28"/>
      <c r="D2605" s="28" t="s">
        <v>108</v>
      </c>
      <c r="E2605" s="3"/>
      <c r="H2605" s="7"/>
      <c r="K2605" s="30"/>
    </row>
    <row r="2606" spans="1:11" s="2" customFormat="1" x14ac:dyDescent="0.25">
      <c r="A2606" s="28" t="s">
        <v>4908</v>
      </c>
      <c r="B2606" s="29">
        <v>8</v>
      </c>
      <c r="C2606" s="28"/>
      <c r="D2606" s="28" t="s">
        <v>108</v>
      </c>
      <c r="E2606" s="3"/>
      <c r="H2606" s="7"/>
      <c r="K2606" s="30"/>
    </row>
    <row r="2607" spans="1:11" s="2" customFormat="1" x14ac:dyDescent="0.25">
      <c r="A2607" s="28" t="s">
        <v>4909</v>
      </c>
      <c r="B2607" s="29">
        <v>12</v>
      </c>
      <c r="C2607" s="28"/>
      <c r="D2607" s="28" t="s">
        <v>108</v>
      </c>
      <c r="E2607" s="3"/>
      <c r="H2607" s="7"/>
      <c r="K2607" s="30"/>
    </row>
    <row r="2608" spans="1:11" s="2" customFormat="1" x14ac:dyDescent="0.25">
      <c r="A2608" s="28" t="s">
        <v>4910</v>
      </c>
      <c r="B2608" s="29">
        <v>1</v>
      </c>
      <c r="C2608" s="28"/>
      <c r="D2608" s="28" t="s">
        <v>108</v>
      </c>
      <c r="E2608" s="3"/>
      <c r="H2608" s="7"/>
      <c r="K2608" s="30"/>
    </row>
    <row r="2609" spans="1:11" s="2" customFormat="1" x14ac:dyDescent="0.25">
      <c r="A2609" s="28" t="s">
        <v>4911</v>
      </c>
      <c r="B2609" s="29">
        <v>12</v>
      </c>
      <c r="C2609" s="28"/>
      <c r="D2609" s="28" t="s">
        <v>108</v>
      </c>
      <c r="E2609" s="3"/>
      <c r="H2609" s="7"/>
      <c r="K2609" s="30"/>
    </row>
    <row r="2610" spans="1:11" s="2" customFormat="1" x14ac:dyDescent="0.25">
      <c r="A2610" s="28" t="s">
        <v>4912</v>
      </c>
      <c r="B2610" s="29">
        <v>16</v>
      </c>
      <c r="C2610" s="28"/>
      <c r="D2610" s="28" t="s">
        <v>108</v>
      </c>
      <c r="E2610" s="3"/>
      <c r="H2610" s="7"/>
      <c r="K2610" s="30"/>
    </row>
    <row r="2611" spans="1:11" s="2" customFormat="1" x14ac:dyDescent="0.25">
      <c r="A2611" s="28" t="s">
        <v>4913</v>
      </c>
      <c r="B2611" s="29">
        <v>5</v>
      </c>
      <c r="C2611" s="28"/>
      <c r="D2611" s="28" t="s">
        <v>108</v>
      </c>
      <c r="E2611" s="3"/>
      <c r="H2611" s="7"/>
      <c r="K2611" s="30"/>
    </row>
    <row r="2612" spans="1:11" s="2" customFormat="1" x14ac:dyDescent="0.25">
      <c r="A2612" s="28" t="s">
        <v>4914</v>
      </c>
      <c r="B2612" s="29">
        <v>16</v>
      </c>
      <c r="C2612" s="28"/>
      <c r="D2612" s="28" t="s">
        <v>108</v>
      </c>
      <c r="E2612" s="3"/>
      <c r="H2612" s="7"/>
      <c r="K2612" s="30"/>
    </row>
    <row r="2613" spans="1:11" s="2" customFormat="1" x14ac:dyDescent="0.25">
      <c r="A2613" s="28" t="s">
        <v>4915</v>
      </c>
      <c r="B2613" s="29">
        <v>15</v>
      </c>
      <c r="C2613" s="28"/>
      <c r="D2613" s="28" t="s">
        <v>108</v>
      </c>
      <c r="E2613" s="3"/>
      <c r="H2613" s="7"/>
      <c r="K2613" s="30"/>
    </row>
    <row r="2614" spans="1:11" s="2" customFormat="1" x14ac:dyDescent="0.25">
      <c r="A2614" s="28" t="s">
        <v>4916</v>
      </c>
      <c r="B2614" s="29">
        <v>23</v>
      </c>
      <c r="C2614" s="28"/>
      <c r="D2614" s="28" t="s">
        <v>108</v>
      </c>
      <c r="E2614" s="3"/>
      <c r="H2614" s="7"/>
      <c r="K2614" s="30"/>
    </row>
    <row r="2615" spans="1:11" s="2" customFormat="1" x14ac:dyDescent="0.25">
      <c r="A2615" s="28" t="s">
        <v>4917</v>
      </c>
      <c r="B2615" s="29">
        <v>23</v>
      </c>
      <c r="C2615" s="28"/>
      <c r="D2615" s="28" t="s">
        <v>108</v>
      </c>
      <c r="E2615" s="3"/>
      <c r="H2615" s="7"/>
      <c r="K2615" s="30"/>
    </row>
    <row r="2616" spans="1:11" s="2" customFormat="1" x14ac:dyDescent="0.25">
      <c r="A2616" s="28" t="s">
        <v>4918</v>
      </c>
      <c r="B2616" s="29">
        <v>5</v>
      </c>
      <c r="C2616" s="28"/>
      <c r="D2616" s="28" t="s">
        <v>108</v>
      </c>
      <c r="E2616" s="3"/>
      <c r="H2616" s="7"/>
      <c r="K2616" s="30"/>
    </row>
    <row r="2617" spans="1:11" s="2" customFormat="1" x14ac:dyDescent="0.25">
      <c r="A2617" s="28" t="s">
        <v>4919</v>
      </c>
      <c r="B2617" s="29">
        <v>3</v>
      </c>
      <c r="C2617" s="28"/>
      <c r="D2617" s="28" t="s">
        <v>108</v>
      </c>
      <c r="E2617" s="3"/>
      <c r="H2617" s="7"/>
      <c r="K2617" s="30"/>
    </row>
    <row r="2618" spans="1:11" s="2" customFormat="1" x14ac:dyDescent="0.25">
      <c r="A2618" s="28" t="s">
        <v>4920</v>
      </c>
      <c r="B2618" s="29">
        <v>60</v>
      </c>
      <c r="C2618" s="28"/>
      <c r="D2618" s="28" t="s">
        <v>3526</v>
      </c>
      <c r="E2618" s="3"/>
      <c r="H2618" s="7"/>
      <c r="K2618" s="30"/>
    </row>
    <row r="2619" spans="1:11" s="2" customFormat="1" x14ac:dyDescent="0.25">
      <c r="A2619" s="28" t="s">
        <v>3524</v>
      </c>
      <c r="B2619" s="29">
        <v>4</v>
      </c>
      <c r="C2619" s="28"/>
      <c r="D2619" s="28" t="s">
        <v>3526</v>
      </c>
      <c r="E2619" s="3"/>
      <c r="H2619" s="7"/>
      <c r="K2619" s="30"/>
    </row>
    <row r="2620" spans="1:11" s="2" customFormat="1" x14ac:dyDescent="0.25">
      <c r="A2620" s="28" t="s">
        <v>4921</v>
      </c>
      <c r="B2620" s="29">
        <v>6</v>
      </c>
      <c r="C2620" s="28"/>
      <c r="D2620" s="28" t="s">
        <v>3526</v>
      </c>
      <c r="E2620" s="3"/>
      <c r="H2620" s="7"/>
      <c r="K2620" s="30"/>
    </row>
    <row r="2621" spans="1:11" s="2" customFormat="1" x14ac:dyDescent="0.25">
      <c r="A2621" s="28" t="s">
        <v>4922</v>
      </c>
      <c r="B2621" s="29">
        <v>226</v>
      </c>
      <c r="C2621" s="28"/>
      <c r="D2621" s="28" t="s">
        <v>3526</v>
      </c>
      <c r="E2621" s="3"/>
      <c r="H2621" s="7"/>
      <c r="K2621" s="30"/>
    </row>
    <row r="2622" spans="1:11" s="2" customFormat="1" x14ac:dyDescent="0.25">
      <c r="A2622" s="28" t="s">
        <v>4923</v>
      </c>
      <c r="B2622" s="29">
        <v>51</v>
      </c>
      <c r="C2622" s="28"/>
      <c r="D2622" s="28" t="s">
        <v>3526</v>
      </c>
      <c r="E2622" s="3"/>
      <c r="H2622" s="7"/>
      <c r="K2622" s="30"/>
    </row>
    <row r="2623" spans="1:11" s="2" customFormat="1" x14ac:dyDescent="0.25">
      <c r="A2623" s="28" t="s">
        <v>1179</v>
      </c>
      <c r="B2623" s="29">
        <v>4</v>
      </c>
      <c r="C2623" s="28"/>
      <c r="D2623" s="28" t="s">
        <v>3526</v>
      </c>
      <c r="E2623" s="3"/>
      <c r="H2623" s="7"/>
      <c r="K2623" s="30"/>
    </row>
    <row r="2624" spans="1:11" s="2" customFormat="1" x14ac:dyDescent="0.25">
      <c r="A2624" s="28" t="s">
        <v>4924</v>
      </c>
      <c r="B2624" s="29">
        <v>1</v>
      </c>
      <c r="C2624" s="28"/>
      <c r="D2624" s="28" t="s">
        <v>3526</v>
      </c>
      <c r="E2624" s="3"/>
      <c r="H2624" s="7"/>
      <c r="K2624" s="30"/>
    </row>
    <row r="2625" spans="1:11" s="2" customFormat="1" x14ac:dyDescent="0.25">
      <c r="A2625" s="28" t="s">
        <v>4925</v>
      </c>
      <c r="B2625" s="29">
        <v>17</v>
      </c>
      <c r="C2625" s="28"/>
      <c r="D2625" s="28" t="s">
        <v>4926</v>
      </c>
      <c r="E2625" s="3"/>
      <c r="H2625" s="7"/>
      <c r="K2625" s="30"/>
    </row>
    <row r="2626" spans="1:11" s="2" customFormat="1" x14ac:dyDescent="0.25">
      <c r="A2626" s="28" t="s">
        <v>4927</v>
      </c>
      <c r="B2626" s="29">
        <v>12</v>
      </c>
      <c r="C2626" s="28"/>
      <c r="D2626" s="28" t="s">
        <v>4926</v>
      </c>
      <c r="E2626" s="3"/>
      <c r="H2626" s="7"/>
      <c r="K2626" s="30"/>
    </row>
    <row r="2627" spans="1:11" s="2" customFormat="1" x14ac:dyDescent="0.25">
      <c r="A2627" s="28" t="s">
        <v>4928</v>
      </c>
      <c r="B2627" s="29">
        <v>20</v>
      </c>
      <c r="C2627" s="28"/>
      <c r="D2627" s="28" t="s">
        <v>4926</v>
      </c>
      <c r="E2627" s="3"/>
      <c r="H2627" s="7"/>
      <c r="K2627" s="30"/>
    </row>
    <row r="2628" spans="1:11" s="2" customFormat="1" x14ac:dyDescent="0.25">
      <c r="A2628" s="28" t="s">
        <v>4929</v>
      </c>
      <c r="B2628" s="29">
        <v>18</v>
      </c>
      <c r="C2628" s="28"/>
      <c r="D2628" s="28" t="s">
        <v>4926</v>
      </c>
      <c r="E2628" s="3"/>
      <c r="H2628" s="7"/>
      <c r="K2628" s="30"/>
    </row>
    <row r="2629" spans="1:11" s="2" customFormat="1" x14ac:dyDescent="0.25">
      <c r="A2629" s="28" t="s">
        <v>4930</v>
      </c>
      <c r="B2629" s="29">
        <v>4</v>
      </c>
      <c r="C2629" s="28"/>
      <c r="D2629" s="28" t="s">
        <v>4926</v>
      </c>
      <c r="E2629" s="3"/>
      <c r="H2629" s="7"/>
      <c r="K2629" s="30"/>
    </row>
    <row r="2630" spans="1:11" s="2" customFormat="1" x14ac:dyDescent="0.25">
      <c r="A2630" s="28" t="s">
        <v>4931</v>
      </c>
      <c r="B2630" s="29">
        <v>25</v>
      </c>
      <c r="C2630" s="28"/>
      <c r="D2630" s="28" t="s">
        <v>4932</v>
      </c>
      <c r="E2630" s="3"/>
      <c r="H2630" s="7"/>
      <c r="K2630" s="30"/>
    </row>
    <row r="2631" spans="1:11" s="2" customFormat="1" x14ac:dyDescent="0.25">
      <c r="A2631" s="28" t="s">
        <v>4933</v>
      </c>
      <c r="B2631" s="29">
        <v>2</v>
      </c>
      <c r="C2631" s="28"/>
      <c r="D2631" s="28" t="s">
        <v>4934</v>
      </c>
      <c r="E2631" s="3"/>
      <c r="H2631" s="7"/>
      <c r="K2631" s="30"/>
    </row>
    <row r="2632" spans="1:11" s="2" customFormat="1" x14ac:dyDescent="0.25">
      <c r="A2632" s="28" t="s">
        <v>4935</v>
      </c>
      <c r="B2632" s="29">
        <v>6</v>
      </c>
      <c r="C2632" s="28"/>
      <c r="D2632" s="28" t="s">
        <v>4936</v>
      </c>
      <c r="E2632" s="3"/>
      <c r="H2632" s="7"/>
      <c r="K2632" s="30"/>
    </row>
    <row r="2633" spans="1:11" s="2" customFormat="1" x14ac:dyDescent="0.25">
      <c r="A2633" s="28" t="s">
        <v>4937</v>
      </c>
      <c r="B2633" s="29">
        <v>6</v>
      </c>
      <c r="C2633" s="28"/>
      <c r="D2633" s="28" t="s">
        <v>4938</v>
      </c>
      <c r="E2633" s="3"/>
      <c r="H2633" s="7"/>
      <c r="K2633" s="30"/>
    </row>
    <row r="2634" spans="1:11" s="2" customFormat="1" x14ac:dyDescent="0.25">
      <c r="A2634" s="28" t="s">
        <v>4939</v>
      </c>
      <c r="B2634" s="29">
        <v>7</v>
      </c>
      <c r="C2634" s="28"/>
      <c r="D2634" s="28" t="s">
        <v>4940</v>
      </c>
      <c r="E2634" s="3"/>
      <c r="H2634" s="7"/>
      <c r="K2634" s="30"/>
    </row>
    <row r="2635" spans="1:11" s="2" customFormat="1" x14ac:dyDescent="0.25">
      <c r="A2635" s="28" t="s">
        <v>4941</v>
      </c>
      <c r="B2635" s="29">
        <v>273</v>
      </c>
      <c r="C2635" s="28"/>
      <c r="D2635" s="28" t="s">
        <v>4940</v>
      </c>
      <c r="E2635" s="3"/>
      <c r="H2635" s="7"/>
      <c r="K2635" s="30"/>
    </row>
    <row r="2636" spans="1:11" s="2" customFormat="1" x14ac:dyDescent="0.25">
      <c r="A2636" s="28" t="s">
        <v>4942</v>
      </c>
      <c r="B2636" s="29">
        <v>6</v>
      </c>
      <c r="C2636" s="28"/>
      <c r="D2636" s="28" t="s">
        <v>4940</v>
      </c>
      <c r="E2636" s="3"/>
      <c r="H2636" s="7"/>
      <c r="K2636" s="30"/>
    </row>
    <row r="2637" spans="1:11" s="2" customFormat="1" x14ac:dyDescent="0.25">
      <c r="A2637" s="28" t="s">
        <v>4943</v>
      </c>
      <c r="B2637" s="29">
        <v>18</v>
      </c>
      <c r="C2637" s="28"/>
      <c r="D2637" s="28" t="s">
        <v>4940</v>
      </c>
      <c r="E2637" s="3"/>
      <c r="H2637" s="7"/>
      <c r="K2637" s="30"/>
    </row>
    <row r="2638" spans="1:11" s="2" customFormat="1" x14ac:dyDescent="0.25">
      <c r="A2638" s="28" t="s">
        <v>4944</v>
      </c>
      <c r="B2638" s="29">
        <v>8</v>
      </c>
      <c r="C2638" s="28"/>
      <c r="D2638" s="28" t="s">
        <v>4940</v>
      </c>
      <c r="E2638" s="3"/>
      <c r="H2638" s="7"/>
      <c r="K2638" s="30"/>
    </row>
    <row r="2639" spans="1:11" s="2" customFormat="1" x14ac:dyDescent="0.25">
      <c r="A2639" s="28" t="s">
        <v>4945</v>
      </c>
      <c r="B2639" s="29">
        <v>40</v>
      </c>
      <c r="C2639" s="28"/>
      <c r="D2639" s="28" t="s">
        <v>4940</v>
      </c>
      <c r="E2639" s="3"/>
      <c r="H2639" s="7"/>
      <c r="K2639" s="30"/>
    </row>
    <row r="2640" spans="1:11" s="2" customFormat="1" x14ac:dyDescent="0.25">
      <c r="A2640" s="28" t="s">
        <v>4946</v>
      </c>
      <c r="B2640" s="29">
        <v>87</v>
      </c>
      <c r="C2640" s="28"/>
      <c r="D2640" s="28" t="s">
        <v>4940</v>
      </c>
      <c r="E2640" s="3"/>
      <c r="H2640" s="7"/>
      <c r="K2640" s="30"/>
    </row>
    <row r="2641" spans="1:11" s="2" customFormat="1" x14ac:dyDescent="0.25">
      <c r="A2641" s="28" t="s">
        <v>4947</v>
      </c>
      <c r="B2641" s="29">
        <v>6</v>
      </c>
      <c r="C2641" s="28"/>
      <c r="D2641" s="28" t="s">
        <v>4940</v>
      </c>
      <c r="E2641" s="3"/>
      <c r="H2641" s="7"/>
      <c r="K2641" s="30"/>
    </row>
    <row r="2642" spans="1:11" s="2" customFormat="1" x14ac:dyDescent="0.25">
      <c r="A2642" s="28" t="s">
        <v>4948</v>
      </c>
      <c r="B2642" s="29">
        <v>4</v>
      </c>
      <c r="C2642" s="28"/>
      <c r="D2642" s="28" t="s">
        <v>4940</v>
      </c>
      <c r="E2642" s="3"/>
      <c r="H2642" s="7"/>
      <c r="K2642" s="30"/>
    </row>
    <row r="2643" spans="1:11" s="2" customFormat="1" x14ac:dyDescent="0.25">
      <c r="A2643" s="28" t="s">
        <v>4949</v>
      </c>
      <c r="B2643" s="29">
        <v>30</v>
      </c>
      <c r="C2643" s="28"/>
      <c r="D2643" s="28" t="s">
        <v>4940</v>
      </c>
      <c r="E2643" s="3"/>
      <c r="H2643" s="7"/>
      <c r="K2643" s="30"/>
    </row>
    <row r="2644" spans="1:11" s="2" customFormat="1" x14ac:dyDescent="0.25">
      <c r="A2644" s="28" t="s">
        <v>4950</v>
      </c>
      <c r="B2644" s="29">
        <v>2</v>
      </c>
      <c r="C2644" s="28"/>
      <c r="D2644" s="28" t="s">
        <v>4940</v>
      </c>
      <c r="E2644" s="3"/>
      <c r="H2644" s="7"/>
      <c r="K2644" s="30"/>
    </row>
    <row r="2645" spans="1:11" s="2" customFormat="1" x14ac:dyDescent="0.25">
      <c r="A2645" s="28" t="s">
        <v>4951</v>
      </c>
      <c r="B2645" s="29">
        <v>2</v>
      </c>
      <c r="C2645" s="28"/>
      <c r="D2645" s="28" t="s">
        <v>4940</v>
      </c>
      <c r="E2645" s="3"/>
      <c r="H2645" s="7"/>
      <c r="K2645" s="30"/>
    </row>
    <row r="2646" spans="1:11" s="2" customFormat="1" x14ac:dyDescent="0.25">
      <c r="A2646" s="28" t="s">
        <v>4952</v>
      </c>
      <c r="B2646" s="29">
        <v>7</v>
      </c>
      <c r="C2646" s="28"/>
      <c r="D2646" s="28" t="s">
        <v>4953</v>
      </c>
      <c r="E2646" s="3"/>
      <c r="H2646" s="7"/>
      <c r="K2646" s="30"/>
    </row>
    <row r="2647" spans="1:11" s="2" customFormat="1" x14ac:dyDescent="0.25">
      <c r="A2647" s="28" t="s">
        <v>4954</v>
      </c>
      <c r="B2647" s="29">
        <v>16</v>
      </c>
      <c r="C2647" s="28"/>
      <c r="D2647" s="28" t="s">
        <v>4953</v>
      </c>
      <c r="E2647" s="3"/>
      <c r="H2647" s="7"/>
      <c r="K2647" s="30"/>
    </row>
    <row r="2648" spans="1:11" s="2" customFormat="1" x14ac:dyDescent="0.25">
      <c r="A2648" s="28" t="s">
        <v>4955</v>
      </c>
      <c r="B2648" s="29">
        <v>8</v>
      </c>
      <c r="C2648" s="28"/>
      <c r="D2648" s="28" t="s">
        <v>4956</v>
      </c>
      <c r="E2648" s="3"/>
      <c r="H2648" s="7"/>
      <c r="K2648" s="30"/>
    </row>
    <row r="2649" spans="1:11" s="2" customFormat="1" x14ac:dyDescent="0.25">
      <c r="A2649" s="28" t="s">
        <v>4957</v>
      </c>
      <c r="B2649" s="29">
        <v>8</v>
      </c>
      <c r="C2649" s="28"/>
      <c r="D2649" s="28" t="s">
        <v>4956</v>
      </c>
      <c r="E2649" s="3"/>
      <c r="H2649" s="7"/>
      <c r="K2649" s="30"/>
    </row>
    <row r="2650" spans="1:11" s="2" customFormat="1" x14ac:dyDescent="0.25">
      <c r="A2650" s="28" t="s">
        <v>4958</v>
      </c>
      <c r="B2650" s="29">
        <v>5</v>
      </c>
      <c r="C2650" s="28"/>
      <c r="D2650" s="28" t="s">
        <v>4956</v>
      </c>
      <c r="E2650" s="3"/>
      <c r="H2650" s="7"/>
      <c r="K2650" s="30"/>
    </row>
    <row r="2651" spans="1:11" s="2" customFormat="1" x14ac:dyDescent="0.25">
      <c r="A2651" s="28" t="s">
        <v>4959</v>
      </c>
      <c r="B2651" s="29">
        <v>8</v>
      </c>
      <c r="C2651" s="28"/>
      <c r="D2651" s="28" t="s">
        <v>4956</v>
      </c>
      <c r="E2651" s="3"/>
      <c r="H2651" s="7"/>
      <c r="K2651" s="30"/>
    </row>
    <row r="2652" spans="1:11" s="2" customFormat="1" x14ac:dyDescent="0.25">
      <c r="A2652" s="28" t="s">
        <v>4960</v>
      </c>
      <c r="B2652" s="29">
        <v>4</v>
      </c>
      <c r="C2652" s="28"/>
      <c r="D2652" s="28" t="s">
        <v>4956</v>
      </c>
      <c r="E2652" s="3"/>
      <c r="H2652" s="7"/>
      <c r="K2652" s="30"/>
    </row>
    <row r="2653" spans="1:11" s="2" customFormat="1" x14ac:dyDescent="0.25">
      <c r="A2653" s="28" t="s">
        <v>4961</v>
      </c>
      <c r="B2653" s="29">
        <v>3</v>
      </c>
      <c r="C2653" s="28"/>
      <c r="D2653" s="28" t="s">
        <v>4956</v>
      </c>
      <c r="E2653" s="3"/>
      <c r="H2653" s="7"/>
      <c r="K2653" s="30"/>
    </row>
    <row r="2654" spans="1:11" s="2" customFormat="1" x14ac:dyDescent="0.25">
      <c r="A2654" s="28" t="s">
        <v>4962</v>
      </c>
      <c r="B2654" s="29">
        <v>3</v>
      </c>
      <c r="C2654" s="28"/>
      <c r="D2654" s="28" t="s">
        <v>4956</v>
      </c>
      <c r="E2654" s="3"/>
      <c r="H2654" s="7"/>
      <c r="K2654" s="30"/>
    </row>
    <row r="2655" spans="1:11" s="2" customFormat="1" x14ac:dyDescent="0.25">
      <c r="A2655" s="28" t="s">
        <v>4963</v>
      </c>
      <c r="B2655" s="29">
        <v>490</v>
      </c>
      <c r="C2655" s="28"/>
      <c r="D2655" s="28" t="s">
        <v>4964</v>
      </c>
      <c r="E2655" s="3"/>
      <c r="H2655" s="7"/>
      <c r="K2655" s="30"/>
    </row>
    <row r="2656" spans="1:11" s="2" customFormat="1" x14ac:dyDescent="0.25">
      <c r="A2656" s="28" t="s">
        <v>4965</v>
      </c>
      <c r="B2656" s="29">
        <v>30</v>
      </c>
      <c r="C2656" s="28"/>
      <c r="D2656" s="28" t="s">
        <v>4964</v>
      </c>
      <c r="E2656" s="3"/>
      <c r="H2656" s="7"/>
      <c r="K2656" s="30"/>
    </row>
    <row r="2657" spans="1:11" s="2" customFormat="1" x14ac:dyDescent="0.25">
      <c r="A2657" s="28" t="s">
        <v>4966</v>
      </c>
      <c r="B2657" s="29">
        <v>100</v>
      </c>
      <c r="C2657" s="28"/>
      <c r="D2657" s="28" t="s">
        <v>4964</v>
      </c>
      <c r="E2657" s="3"/>
      <c r="H2657" s="7"/>
      <c r="K2657" s="30"/>
    </row>
    <row r="2658" spans="1:11" s="2" customFormat="1" x14ac:dyDescent="0.25">
      <c r="A2658" s="28" t="s">
        <v>4967</v>
      </c>
      <c r="B2658" s="29">
        <v>6</v>
      </c>
      <c r="C2658" s="28"/>
      <c r="D2658" s="28" t="s">
        <v>4968</v>
      </c>
      <c r="E2658" s="3"/>
      <c r="H2658" s="7"/>
      <c r="K2658" s="30"/>
    </row>
    <row r="2659" spans="1:11" s="2" customFormat="1" x14ac:dyDescent="0.25">
      <c r="A2659" s="28" t="s">
        <v>4969</v>
      </c>
      <c r="B2659" s="29">
        <v>25</v>
      </c>
      <c r="C2659" s="28"/>
      <c r="D2659" s="28" t="s">
        <v>4970</v>
      </c>
      <c r="E2659" s="3"/>
      <c r="H2659" s="7"/>
      <c r="K2659" s="30"/>
    </row>
    <row r="2660" spans="1:11" s="2" customFormat="1" x14ac:dyDescent="0.25">
      <c r="A2660" s="28" t="s">
        <v>4971</v>
      </c>
      <c r="B2660" s="29">
        <v>4</v>
      </c>
      <c r="C2660" s="28"/>
      <c r="D2660" s="28" t="s">
        <v>4970</v>
      </c>
      <c r="E2660" s="3"/>
      <c r="H2660" s="7"/>
      <c r="K2660" s="30"/>
    </row>
    <row r="2661" spans="1:11" s="2" customFormat="1" x14ac:dyDescent="0.25">
      <c r="A2661" s="28" t="s">
        <v>4972</v>
      </c>
      <c r="B2661" s="29">
        <v>4</v>
      </c>
      <c r="C2661" s="28"/>
      <c r="D2661" s="28" t="s">
        <v>4973</v>
      </c>
      <c r="E2661" s="3"/>
      <c r="H2661" s="7"/>
      <c r="K2661" s="30"/>
    </row>
    <row r="2662" spans="1:11" s="2" customFormat="1" x14ac:dyDescent="0.25">
      <c r="A2662" s="28" t="s">
        <v>4974</v>
      </c>
      <c r="B2662" s="29">
        <v>7</v>
      </c>
      <c r="C2662" s="28"/>
      <c r="D2662" s="28" t="s">
        <v>4975</v>
      </c>
      <c r="E2662" s="3"/>
      <c r="H2662" s="7"/>
      <c r="K2662" s="30"/>
    </row>
    <row r="2663" spans="1:11" s="2" customFormat="1" x14ac:dyDescent="0.25">
      <c r="A2663" s="28" t="s">
        <v>4976</v>
      </c>
      <c r="B2663" s="29">
        <v>142</v>
      </c>
      <c r="C2663" s="28"/>
      <c r="D2663" s="28" t="s">
        <v>4977</v>
      </c>
      <c r="E2663" s="3"/>
      <c r="H2663" s="7"/>
      <c r="K2663" s="30"/>
    </row>
    <row r="2664" spans="1:11" s="2" customFormat="1" x14ac:dyDescent="0.25">
      <c r="A2664" s="28" t="s">
        <v>4978</v>
      </c>
      <c r="B2664" s="29">
        <v>144</v>
      </c>
      <c r="C2664" s="28"/>
      <c r="D2664" s="28" t="s">
        <v>4977</v>
      </c>
      <c r="E2664" s="3"/>
      <c r="H2664" s="7"/>
      <c r="K2664" s="30"/>
    </row>
    <row r="2665" spans="1:11" s="2" customFormat="1" x14ac:dyDescent="0.25">
      <c r="A2665" s="28" t="s">
        <v>4979</v>
      </c>
      <c r="B2665" s="29">
        <v>21</v>
      </c>
      <c r="C2665" s="28"/>
      <c r="D2665" s="28" t="s">
        <v>13</v>
      </c>
      <c r="E2665" s="3"/>
      <c r="H2665" s="7"/>
      <c r="K2665" s="30"/>
    </row>
    <row r="2666" spans="1:11" s="2" customFormat="1" x14ac:dyDescent="0.25">
      <c r="A2666" s="28" t="s">
        <v>4980</v>
      </c>
      <c r="B2666" s="29">
        <v>488</v>
      </c>
      <c r="C2666" s="28"/>
      <c r="D2666" s="28" t="s">
        <v>13</v>
      </c>
      <c r="E2666" s="3"/>
      <c r="H2666" s="7"/>
      <c r="K2666" s="30"/>
    </row>
    <row r="2667" spans="1:11" s="2" customFormat="1" x14ac:dyDescent="0.25">
      <c r="A2667" s="28" t="s">
        <v>4981</v>
      </c>
      <c r="B2667" s="29">
        <v>450</v>
      </c>
      <c r="C2667" s="28"/>
      <c r="D2667" s="28" t="s">
        <v>13</v>
      </c>
      <c r="E2667" s="3"/>
      <c r="H2667" s="7"/>
      <c r="K2667" s="30"/>
    </row>
    <row r="2668" spans="1:11" s="2" customFormat="1" x14ac:dyDescent="0.25">
      <c r="A2668" s="28" t="s">
        <v>4982</v>
      </c>
      <c r="B2668" s="29">
        <v>47</v>
      </c>
      <c r="C2668" s="28"/>
      <c r="D2668" s="28" t="s">
        <v>13</v>
      </c>
      <c r="E2668" s="3"/>
      <c r="H2668" s="7"/>
      <c r="K2668" s="30"/>
    </row>
    <row r="2669" spans="1:11" s="2" customFormat="1" x14ac:dyDescent="0.25">
      <c r="A2669" s="28" t="s">
        <v>4983</v>
      </c>
      <c r="B2669" s="29">
        <v>10</v>
      </c>
      <c r="C2669" s="28"/>
      <c r="D2669" s="28" t="s">
        <v>13</v>
      </c>
      <c r="E2669" s="3"/>
      <c r="H2669" s="7"/>
      <c r="K2669" s="30"/>
    </row>
    <row r="2670" spans="1:11" s="2" customFormat="1" x14ac:dyDescent="0.25">
      <c r="A2670" s="28" t="s">
        <v>4984</v>
      </c>
      <c r="B2670" s="29">
        <v>295</v>
      </c>
      <c r="C2670" s="28"/>
      <c r="D2670" s="28" t="s">
        <v>13</v>
      </c>
      <c r="E2670" s="3"/>
      <c r="H2670" s="7"/>
      <c r="K2670" s="30"/>
    </row>
    <row r="2671" spans="1:11" s="2" customFormat="1" x14ac:dyDescent="0.25">
      <c r="A2671" s="28" t="s">
        <v>4985</v>
      </c>
      <c r="B2671" s="29">
        <v>665</v>
      </c>
      <c r="C2671" s="28"/>
      <c r="D2671" s="28" t="s">
        <v>13</v>
      </c>
      <c r="E2671" s="3"/>
      <c r="H2671" s="7"/>
      <c r="K2671" s="30"/>
    </row>
    <row r="2672" spans="1:11" s="2" customFormat="1" x14ac:dyDescent="0.25">
      <c r="A2672" s="28" t="s">
        <v>2299</v>
      </c>
      <c r="B2672" s="29">
        <v>18</v>
      </c>
      <c r="C2672" s="28"/>
      <c r="D2672" s="28" t="s">
        <v>13</v>
      </c>
      <c r="E2672" s="3"/>
      <c r="H2672" s="7"/>
      <c r="K2672" s="30"/>
    </row>
    <row r="2673" spans="1:11" s="2" customFormat="1" x14ac:dyDescent="0.25">
      <c r="A2673" s="28" t="s">
        <v>2686</v>
      </c>
      <c r="B2673" s="29">
        <v>16</v>
      </c>
      <c r="C2673" s="28"/>
      <c r="D2673" s="28" t="s">
        <v>13</v>
      </c>
      <c r="E2673" s="3"/>
      <c r="H2673" s="7"/>
      <c r="K2673" s="30"/>
    </row>
    <row r="2674" spans="1:11" s="2" customFormat="1" x14ac:dyDescent="0.25">
      <c r="A2674" s="28" t="s">
        <v>4986</v>
      </c>
      <c r="B2674" s="29">
        <v>172</v>
      </c>
      <c r="C2674" s="28"/>
      <c r="D2674" s="28" t="s">
        <v>13</v>
      </c>
      <c r="E2674" s="3"/>
      <c r="H2674" s="7"/>
      <c r="K2674" s="30"/>
    </row>
    <row r="2675" spans="1:11" s="2" customFormat="1" x14ac:dyDescent="0.25">
      <c r="A2675" s="28" t="s">
        <v>4987</v>
      </c>
      <c r="B2675" s="29">
        <v>41</v>
      </c>
      <c r="C2675" s="28"/>
      <c r="D2675" s="28" t="s">
        <v>13</v>
      </c>
      <c r="E2675" s="3"/>
      <c r="H2675" s="7"/>
      <c r="K2675" s="30"/>
    </row>
    <row r="2676" spans="1:11" s="2" customFormat="1" x14ac:dyDescent="0.25">
      <c r="A2676" s="28" t="s">
        <v>4988</v>
      </c>
      <c r="B2676" s="29">
        <v>41</v>
      </c>
      <c r="C2676" s="28"/>
      <c r="D2676" s="28" t="s">
        <v>13</v>
      </c>
      <c r="E2676" s="3"/>
      <c r="H2676" s="7"/>
      <c r="K2676" s="30"/>
    </row>
    <row r="2677" spans="1:11" s="2" customFormat="1" x14ac:dyDescent="0.25">
      <c r="A2677" s="28" t="s">
        <v>3461</v>
      </c>
      <c r="B2677" s="29">
        <v>10</v>
      </c>
      <c r="C2677" s="28"/>
      <c r="D2677" s="28" t="s">
        <v>13</v>
      </c>
      <c r="E2677" s="3"/>
      <c r="H2677" s="7"/>
      <c r="K2677" s="30"/>
    </row>
    <row r="2678" spans="1:11" s="2" customFormat="1" x14ac:dyDescent="0.25">
      <c r="A2678" s="28" t="s">
        <v>4989</v>
      </c>
      <c r="B2678" s="29">
        <v>34</v>
      </c>
      <c r="C2678" s="28"/>
      <c r="D2678" s="28" t="s">
        <v>13</v>
      </c>
      <c r="E2678" s="3"/>
      <c r="H2678" s="7"/>
      <c r="K2678" s="30"/>
    </row>
    <row r="2679" spans="1:11" s="2" customFormat="1" x14ac:dyDescent="0.25">
      <c r="A2679" s="28" t="s">
        <v>4990</v>
      </c>
      <c r="B2679" s="29">
        <v>12</v>
      </c>
      <c r="C2679" s="28"/>
      <c r="D2679" s="28" t="s">
        <v>13</v>
      </c>
      <c r="E2679" s="3"/>
      <c r="H2679" s="7"/>
      <c r="K2679" s="30"/>
    </row>
    <row r="2680" spans="1:11" s="2" customFormat="1" x14ac:dyDescent="0.25">
      <c r="A2680" s="28" t="s">
        <v>4991</v>
      </c>
      <c r="B2680" s="29">
        <v>40</v>
      </c>
      <c r="C2680" s="28"/>
      <c r="D2680" s="28" t="s">
        <v>13</v>
      </c>
      <c r="E2680" s="3"/>
      <c r="H2680" s="7"/>
      <c r="K2680" s="30"/>
    </row>
    <row r="2681" spans="1:11" s="2" customFormat="1" x14ac:dyDescent="0.25">
      <c r="A2681" s="28" t="s">
        <v>4992</v>
      </c>
      <c r="B2681" s="29">
        <v>47</v>
      </c>
      <c r="C2681" s="28"/>
      <c r="D2681" s="28" t="s">
        <v>13</v>
      </c>
      <c r="E2681" s="3"/>
      <c r="H2681" s="7"/>
      <c r="K2681" s="30"/>
    </row>
    <row r="2682" spans="1:11" s="2" customFormat="1" x14ac:dyDescent="0.25">
      <c r="A2682" s="28" t="s">
        <v>3442</v>
      </c>
      <c r="B2682" s="29">
        <v>22</v>
      </c>
      <c r="C2682" s="28"/>
      <c r="D2682" s="28" t="s">
        <v>13</v>
      </c>
      <c r="E2682" s="3"/>
      <c r="H2682" s="7"/>
      <c r="K2682" s="30"/>
    </row>
    <row r="2683" spans="1:11" s="2" customFormat="1" x14ac:dyDescent="0.25">
      <c r="A2683" s="28" t="s">
        <v>4993</v>
      </c>
      <c r="B2683" s="29">
        <v>40</v>
      </c>
      <c r="C2683" s="28"/>
      <c r="D2683" s="28" t="s">
        <v>13</v>
      </c>
      <c r="E2683" s="3"/>
      <c r="H2683" s="7"/>
      <c r="K2683" s="30"/>
    </row>
    <row r="2684" spans="1:11" s="2" customFormat="1" x14ac:dyDescent="0.25">
      <c r="A2684" s="28" t="s">
        <v>4994</v>
      </c>
      <c r="B2684" s="29">
        <v>346</v>
      </c>
      <c r="C2684" s="28"/>
      <c r="D2684" s="28" t="s">
        <v>13</v>
      </c>
      <c r="E2684" s="3"/>
      <c r="H2684" s="7"/>
      <c r="K2684" s="30"/>
    </row>
    <row r="2685" spans="1:11" s="2" customFormat="1" x14ac:dyDescent="0.25">
      <c r="A2685" s="28" t="s">
        <v>4995</v>
      </c>
      <c r="B2685" s="29">
        <v>75</v>
      </c>
      <c r="C2685" s="28"/>
      <c r="D2685" s="28" t="s">
        <v>13</v>
      </c>
      <c r="E2685" s="3"/>
      <c r="H2685" s="7"/>
      <c r="K2685" s="30"/>
    </row>
    <row r="2686" spans="1:11" s="2" customFormat="1" x14ac:dyDescent="0.25">
      <c r="A2686" s="28" t="s">
        <v>4996</v>
      </c>
      <c r="B2686" s="29">
        <v>95</v>
      </c>
      <c r="C2686" s="28"/>
      <c r="D2686" s="28" t="s">
        <v>13</v>
      </c>
      <c r="E2686" s="3"/>
      <c r="H2686" s="7"/>
      <c r="K2686" s="30"/>
    </row>
    <row r="2687" spans="1:11" s="2" customFormat="1" x14ac:dyDescent="0.25">
      <c r="A2687" s="28" t="s">
        <v>4997</v>
      </c>
      <c r="B2687" s="29">
        <v>16</v>
      </c>
      <c r="C2687" s="28"/>
      <c r="D2687" s="28" t="s">
        <v>13</v>
      </c>
      <c r="E2687" s="3"/>
      <c r="H2687" s="7"/>
      <c r="K2687" s="30"/>
    </row>
    <row r="2688" spans="1:11" s="2" customFormat="1" x14ac:dyDescent="0.25">
      <c r="A2688" s="28" t="s">
        <v>4998</v>
      </c>
      <c r="B2688" s="29">
        <v>46</v>
      </c>
      <c r="C2688" s="28"/>
      <c r="D2688" s="28" t="s">
        <v>13</v>
      </c>
      <c r="E2688" s="3"/>
      <c r="H2688" s="7"/>
      <c r="K2688" s="30"/>
    </row>
    <row r="2689" spans="1:11" s="2" customFormat="1" x14ac:dyDescent="0.25">
      <c r="A2689" s="28" t="s">
        <v>4999</v>
      </c>
      <c r="B2689" s="29">
        <v>97</v>
      </c>
      <c r="C2689" s="28"/>
      <c r="D2689" s="28" t="s">
        <v>13</v>
      </c>
      <c r="E2689" s="3"/>
      <c r="H2689" s="7"/>
      <c r="K2689" s="30"/>
    </row>
    <row r="2690" spans="1:11" s="2" customFormat="1" x14ac:dyDescent="0.25">
      <c r="A2690" s="28" t="s">
        <v>5000</v>
      </c>
      <c r="B2690" s="29">
        <v>44</v>
      </c>
      <c r="C2690" s="28"/>
      <c r="D2690" s="28" t="s">
        <v>13</v>
      </c>
      <c r="E2690" s="3"/>
      <c r="H2690" s="7"/>
      <c r="K2690" s="30"/>
    </row>
    <row r="2691" spans="1:11" s="2" customFormat="1" x14ac:dyDescent="0.25">
      <c r="A2691" s="28" t="s">
        <v>5001</v>
      </c>
      <c r="B2691" s="29">
        <v>12</v>
      </c>
      <c r="C2691" s="28"/>
      <c r="D2691" s="28" t="s">
        <v>13</v>
      </c>
      <c r="E2691" s="3"/>
      <c r="H2691" s="7"/>
      <c r="K2691" s="30"/>
    </row>
    <row r="2692" spans="1:11" s="2" customFormat="1" x14ac:dyDescent="0.25">
      <c r="A2692" s="28" t="s">
        <v>5002</v>
      </c>
      <c r="B2692" s="29">
        <v>3</v>
      </c>
      <c r="C2692" s="28"/>
      <c r="D2692" s="28" t="s">
        <v>13</v>
      </c>
      <c r="E2692" s="3"/>
      <c r="H2692" s="7"/>
      <c r="K2692" s="30"/>
    </row>
    <row r="2693" spans="1:11" s="2" customFormat="1" x14ac:dyDescent="0.25">
      <c r="A2693" s="28" t="s">
        <v>5003</v>
      </c>
      <c r="B2693" s="29">
        <v>29</v>
      </c>
      <c r="C2693" s="28"/>
      <c r="D2693" s="28" t="s">
        <v>13</v>
      </c>
      <c r="E2693" s="3"/>
      <c r="H2693" s="7"/>
      <c r="K2693" s="30"/>
    </row>
    <row r="2694" spans="1:11" s="2" customFormat="1" x14ac:dyDescent="0.25">
      <c r="A2694" s="28" t="s">
        <v>5004</v>
      </c>
      <c r="B2694" s="29">
        <v>16</v>
      </c>
      <c r="C2694" s="28"/>
      <c r="D2694" s="28" t="s">
        <v>13</v>
      </c>
      <c r="E2694" s="3"/>
      <c r="H2694" s="7"/>
      <c r="K2694" s="30"/>
    </row>
    <row r="2695" spans="1:11" s="2" customFormat="1" x14ac:dyDescent="0.25">
      <c r="A2695" s="28" t="s">
        <v>5005</v>
      </c>
      <c r="B2695" s="29">
        <v>12</v>
      </c>
      <c r="C2695" s="28"/>
      <c r="D2695" s="28" t="s">
        <v>13</v>
      </c>
      <c r="E2695" s="3"/>
      <c r="H2695" s="7"/>
      <c r="K2695" s="30"/>
    </row>
    <row r="2696" spans="1:11" s="2" customFormat="1" x14ac:dyDescent="0.25">
      <c r="A2696" s="28" t="s">
        <v>5006</v>
      </c>
      <c r="B2696" s="29">
        <v>23</v>
      </c>
      <c r="C2696" s="28"/>
      <c r="D2696" s="28" t="s">
        <v>13</v>
      </c>
      <c r="E2696" s="3"/>
      <c r="H2696" s="7"/>
      <c r="K2696" s="30"/>
    </row>
    <row r="2697" spans="1:11" s="2" customFormat="1" x14ac:dyDescent="0.25">
      <c r="A2697" s="28" t="s">
        <v>5007</v>
      </c>
      <c r="B2697" s="29">
        <v>62</v>
      </c>
      <c r="C2697" s="28"/>
      <c r="D2697" s="28" t="s">
        <v>13</v>
      </c>
      <c r="E2697" s="3"/>
      <c r="H2697" s="7"/>
      <c r="K2697" s="30"/>
    </row>
    <row r="2698" spans="1:11" s="2" customFormat="1" x14ac:dyDescent="0.25">
      <c r="A2698" s="28" t="s">
        <v>5008</v>
      </c>
      <c r="B2698" s="29">
        <v>3</v>
      </c>
      <c r="C2698" s="28"/>
      <c r="D2698" s="28" t="s">
        <v>13</v>
      </c>
      <c r="E2698" s="3"/>
      <c r="H2698" s="7"/>
      <c r="K2698" s="30"/>
    </row>
    <row r="2699" spans="1:11" s="2" customFormat="1" x14ac:dyDescent="0.25">
      <c r="A2699" s="28" t="s">
        <v>5009</v>
      </c>
      <c r="B2699" s="29">
        <v>10</v>
      </c>
      <c r="C2699" s="28"/>
      <c r="D2699" s="28" t="s">
        <v>13</v>
      </c>
      <c r="E2699" s="3"/>
      <c r="H2699" s="7"/>
      <c r="K2699" s="30"/>
    </row>
    <row r="2700" spans="1:11" s="2" customFormat="1" x14ac:dyDescent="0.25">
      <c r="A2700" s="28" t="s">
        <v>5010</v>
      </c>
      <c r="B2700" s="29">
        <v>18</v>
      </c>
      <c r="C2700" s="28"/>
      <c r="D2700" s="28" t="s">
        <v>13</v>
      </c>
      <c r="E2700" s="3"/>
      <c r="H2700" s="7"/>
      <c r="K2700" s="30"/>
    </row>
    <row r="2701" spans="1:11" s="2" customFormat="1" x14ac:dyDescent="0.25">
      <c r="A2701" s="28" t="s">
        <v>5011</v>
      </c>
      <c r="B2701" s="29">
        <v>25</v>
      </c>
      <c r="C2701" s="28"/>
      <c r="D2701" s="28" t="s">
        <v>13</v>
      </c>
      <c r="E2701" s="3"/>
      <c r="H2701" s="7"/>
      <c r="K2701" s="30"/>
    </row>
    <row r="2702" spans="1:11" s="2" customFormat="1" x14ac:dyDescent="0.25">
      <c r="A2702" s="28" t="s">
        <v>5012</v>
      </c>
      <c r="B2702" s="29">
        <v>2</v>
      </c>
      <c r="C2702" s="28"/>
      <c r="D2702" s="28" t="s">
        <v>13</v>
      </c>
      <c r="E2702" s="3"/>
      <c r="H2702" s="7"/>
      <c r="K2702" s="30"/>
    </row>
    <row r="2703" spans="1:11" s="2" customFormat="1" x14ac:dyDescent="0.25">
      <c r="A2703" s="28" t="s">
        <v>5013</v>
      </c>
      <c r="B2703" s="29">
        <v>25</v>
      </c>
      <c r="C2703" s="28"/>
      <c r="D2703" s="28" t="s">
        <v>13</v>
      </c>
      <c r="E2703" s="3"/>
      <c r="H2703" s="7"/>
      <c r="K2703" s="30"/>
    </row>
    <row r="2704" spans="1:11" s="2" customFormat="1" x14ac:dyDescent="0.25">
      <c r="A2704" s="28" t="s">
        <v>5014</v>
      </c>
      <c r="B2704" s="29">
        <v>10</v>
      </c>
      <c r="C2704" s="28"/>
      <c r="D2704" s="28" t="s">
        <v>13</v>
      </c>
      <c r="E2704" s="3"/>
      <c r="H2704" s="7"/>
      <c r="K2704" s="30"/>
    </row>
    <row r="2705" spans="1:11" s="2" customFormat="1" x14ac:dyDescent="0.25">
      <c r="A2705" s="28" t="s">
        <v>5015</v>
      </c>
      <c r="B2705" s="29">
        <v>6</v>
      </c>
      <c r="C2705" s="28"/>
      <c r="D2705" s="28" t="s">
        <v>13</v>
      </c>
      <c r="E2705" s="3"/>
      <c r="H2705" s="7"/>
      <c r="K2705" s="30"/>
    </row>
    <row r="2706" spans="1:11" s="2" customFormat="1" x14ac:dyDescent="0.25">
      <c r="A2706" s="28" t="s">
        <v>5016</v>
      </c>
      <c r="B2706" s="29">
        <v>10</v>
      </c>
      <c r="C2706" s="28"/>
      <c r="D2706" s="28" t="s">
        <v>13</v>
      </c>
      <c r="E2706" s="3"/>
      <c r="H2706" s="7"/>
      <c r="K2706" s="30"/>
    </row>
    <row r="2707" spans="1:11" s="2" customFormat="1" x14ac:dyDescent="0.25">
      <c r="A2707" s="28" t="s">
        <v>5017</v>
      </c>
      <c r="B2707" s="29">
        <v>6</v>
      </c>
      <c r="C2707" s="28"/>
      <c r="D2707" s="28" t="s">
        <v>13</v>
      </c>
      <c r="E2707" s="3"/>
      <c r="H2707" s="7"/>
      <c r="K2707" s="30"/>
    </row>
    <row r="2708" spans="1:11" s="2" customFormat="1" x14ac:dyDescent="0.25">
      <c r="A2708" s="28" t="s">
        <v>5018</v>
      </c>
      <c r="B2708" s="29">
        <v>6</v>
      </c>
      <c r="C2708" s="28"/>
      <c r="D2708" s="28" t="s">
        <v>13</v>
      </c>
      <c r="E2708" s="3"/>
      <c r="H2708" s="7"/>
      <c r="K2708" s="30"/>
    </row>
    <row r="2709" spans="1:11" s="2" customFormat="1" x14ac:dyDescent="0.25">
      <c r="A2709" s="28" t="s">
        <v>5019</v>
      </c>
      <c r="B2709" s="29">
        <v>36</v>
      </c>
      <c r="C2709" s="28"/>
      <c r="D2709" s="28" t="s">
        <v>13</v>
      </c>
      <c r="E2709" s="3"/>
      <c r="H2709" s="7"/>
      <c r="K2709" s="30"/>
    </row>
    <row r="2710" spans="1:11" s="2" customFormat="1" x14ac:dyDescent="0.25">
      <c r="A2710" s="28" t="s">
        <v>5020</v>
      </c>
      <c r="B2710" s="29">
        <v>113</v>
      </c>
      <c r="C2710" s="28"/>
      <c r="D2710" s="28" t="s">
        <v>13</v>
      </c>
      <c r="E2710" s="3"/>
      <c r="H2710" s="7"/>
      <c r="K2710" s="30"/>
    </row>
    <row r="2711" spans="1:11" s="2" customFormat="1" x14ac:dyDescent="0.25">
      <c r="A2711" s="28" t="s">
        <v>5021</v>
      </c>
      <c r="B2711" s="29">
        <v>4</v>
      </c>
      <c r="C2711" s="28"/>
      <c r="D2711" s="28" t="s">
        <v>13</v>
      </c>
      <c r="E2711" s="3"/>
      <c r="H2711" s="7"/>
      <c r="K2711" s="30"/>
    </row>
    <row r="2712" spans="1:11" s="2" customFormat="1" x14ac:dyDescent="0.25">
      <c r="A2712" s="28" t="s">
        <v>5022</v>
      </c>
      <c r="B2712" s="29">
        <v>100</v>
      </c>
      <c r="C2712" s="28"/>
      <c r="D2712" s="28" t="s">
        <v>13</v>
      </c>
      <c r="E2712" s="3"/>
      <c r="H2712" s="7"/>
      <c r="K2712" s="30"/>
    </row>
    <row r="2713" spans="1:11" s="2" customFormat="1" x14ac:dyDescent="0.25">
      <c r="A2713" s="28" t="s">
        <v>5023</v>
      </c>
      <c r="B2713" s="29">
        <v>8</v>
      </c>
      <c r="C2713" s="28"/>
      <c r="D2713" s="28" t="s">
        <v>13</v>
      </c>
      <c r="E2713" s="3"/>
      <c r="H2713" s="7"/>
      <c r="K2713" s="30"/>
    </row>
    <row r="2714" spans="1:11" s="2" customFormat="1" x14ac:dyDescent="0.25">
      <c r="A2714" s="28" t="s">
        <v>5024</v>
      </c>
      <c r="B2714" s="29">
        <v>50</v>
      </c>
      <c r="C2714" s="28"/>
      <c r="D2714" s="28" t="s">
        <v>13</v>
      </c>
      <c r="E2714" s="3"/>
      <c r="H2714" s="7"/>
      <c r="K2714" s="30"/>
    </row>
    <row r="2715" spans="1:11" s="2" customFormat="1" x14ac:dyDescent="0.25">
      <c r="A2715" s="28" t="s">
        <v>5025</v>
      </c>
      <c r="B2715" s="29">
        <v>5</v>
      </c>
      <c r="C2715" s="28"/>
      <c r="D2715" s="28" t="s">
        <v>13</v>
      </c>
      <c r="E2715" s="3"/>
      <c r="H2715" s="7"/>
      <c r="K2715" s="30"/>
    </row>
    <row r="2716" spans="1:11" s="2" customFormat="1" x14ac:dyDescent="0.25">
      <c r="A2716" s="28" t="s">
        <v>5026</v>
      </c>
      <c r="B2716" s="29">
        <v>7</v>
      </c>
      <c r="C2716" s="28"/>
      <c r="D2716" s="28" t="s">
        <v>13</v>
      </c>
      <c r="E2716" s="3"/>
      <c r="H2716" s="7"/>
      <c r="K2716" s="30"/>
    </row>
    <row r="2717" spans="1:11" s="2" customFormat="1" x14ac:dyDescent="0.25">
      <c r="A2717" s="28" t="s">
        <v>5027</v>
      </c>
      <c r="B2717" s="29">
        <v>6</v>
      </c>
      <c r="C2717" s="28"/>
      <c r="D2717" s="28" t="s">
        <v>13</v>
      </c>
      <c r="E2717" s="3"/>
      <c r="H2717" s="7"/>
      <c r="K2717" s="30"/>
    </row>
    <row r="2718" spans="1:11" s="2" customFormat="1" x14ac:dyDescent="0.25">
      <c r="A2718" s="28" t="s">
        <v>5028</v>
      </c>
      <c r="B2718" s="29">
        <v>104</v>
      </c>
      <c r="C2718" s="28"/>
      <c r="D2718" s="28" t="s">
        <v>13</v>
      </c>
      <c r="E2718" s="3"/>
      <c r="H2718" s="7"/>
      <c r="K2718" s="30"/>
    </row>
    <row r="2719" spans="1:11" s="2" customFormat="1" x14ac:dyDescent="0.25">
      <c r="A2719" s="28" t="s">
        <v>5029</v>
      </c>
      <c r="B2719" s="29">
        <v>1</v>
      </c>
      <c r="C2719" s="28"/>
      <c r="D2719" s="28" t="s">
        <v>13</v>
      </c>
      <c r="E2719" s="3"/>
      <c r="H2719" s="7"/>
      <c r="K2719" s="30"/>
    </row>
    <row r="2720" spans="1:11" s="2" customFormat="1" x14ac:dyDescent="0.25">
      <c r="A2720" s="28" t="s">
        <v>5030</v>
      </c>
      <c r="B2720" s="29">
        <v>5</v>
      </c>
      <c r="C2720" s="28"/>
      <c r="D2720" s="28" t="s">
        <v>13</v>
      </c>
      <c r="E2720" s="3"/>
      <c r="H2720" s="7"/>
      <c r="K2720" s="30"/>
    </row>
    <row r="2721" spans="1:11" s="2" customFormat="1" x14ac:dyDescent="0.25">
      <c r="A2721" s="28" t="s">
        <v>5031</v>
      </c>
      <c r="B2721" s="29">
        <v>4</v>
      </c>
      <c r="C2721" s="28"/>
      <c r="D2721" s="28" t="s">
        <v>13</v>
      </c>
      <c r="E2721" s="3"/>
      <c r="H2721" s="7"/>
      <c r="K2721" s="30"/>
    </row>
    <row r="2722" spans="1:11" s="2" customFormat="1" x14ac:dyDescent="0.25">
      <c r="A2722" s="28" t="s">
        <v>5032</v>
      </c>
      <c r="B2722" s="29">
        <v>24</v>
      </c>
      <c r="C2722" s="28"/>
      <c r="D2722" s="28" t="s">
        <v>13</v>
      </c>
      <c r="E2722" s="3"/>
      <c r="H2722" s="7"/>
      <c r="K2722" s="30"/>
    </row>
    <row r="2723" spans="1:11" s="2" customFormat="1" x14ac:dyDescent="0.25">
      <c r="A2723" s="28" t="s">
        <v>5033</v>
      </c>
      <c r="B2723" s="29">
        <v>5</v>
      </c>
      <c r="C2723" s="28"/>
      <c r="D2723" s="28" t="s">
        <v>13</v>
      </c>
      <c r="E2723" s="3"/>
      <c r="H2723" s="7"/>
      <c r="K2723" s="30"/>
    </row>
    <row r="2724" spans="1:11" s="2" customFormat="1" x14ac:dyDescent="0.25">
      <c r="A2724" s="28" t="s">
        <v>5034</v>
      </c>
      <c r="B2724" s="29">
        <v>2</v>
      </c>
      <c r="C2724" s="28"/>
      <c r="D2724" s="28" t="s">
        <v>13</v>
      </c>
      <c r="E2724" s="3"/>
      <c r="H2724" s="7"/>
      <c r="K2724" s="30"/>
    </row>
    <row r="2725" spans="1:11" s="2" customFormat="1" x14ac:dyDescent="0.25">
      <c r="A2725" s="28" t="s">
        <v>5035</v>
      </c>
      <c r="B2725" s="29">
        <v>100</v>
      </c>
      <c r="C2725" s="28"/>
      <c r="D2725" s="28" t="s">
        <v>13</v>
      </c>
      <c r="E2725" s="3"/>
      <c r="H2725" s="7"/>
      <c r="K2725" s="30"/>
    </row>
    <row r="2726" spans="1:11" s="2" customFormat="1" x14ac:dyDescent="0.25">
      <c r="A2726" s="28" t="s">
        <v>5036</v>
      </c>
      <c r="B2726" s="29">
        <v>10</v>
      </c>
      <c r="C2726" s="28"/>
      <c r="D2726" s="28" t="s">
        <v>13</v>
      </c>
      <c r="E2726" s="3"/>
      <c r="H2726" s="7"/>
      <c r="K2726" s="30"/>
    </row>
    <row r="2727" spans="1:11" s="2" customFormat="1" x14ac:dyDescent="0.25">
      <c r="A2727" s="28" t="s">
        <v>5037</v>
      </c>
      <c r="B2727" s="29">
        <v>11</v>
      </c>
      <c r="C2727" s="28"/>
      <c r="D2727" s="28" t="s">
        <v>13</v>
      </c>
      <c r="E2727" s="3"/>
      <c r="H2727" s="7"/>
      <c r="K2727" s="30"/>
    </row>
    <row r="2728" spans="1:11" s="2" customFormat="1" x14ac:dyDescent="0.25">
      <c r="A2728" s="28" t="s">
        <v>5038</v>
      </c>
      <c r="B2728" s="29">
        <v>2</v>
      </c>
      <c r="C2728" s="28"/>
      <c r="D2728" s="28" t="s">
        <v>13</v>
      </c>
      <c r="E2728" s="3"/>
      <c r="H2728" s="7"/>
      <c r="K2728" s="30"/>
    </row>
    <row r="2729" spans="1:11" s="2" customFormat="1" x14ac:dyDescent="0.25">
      <c r="A2729" s="28" t="s">
        <v>5039</v>
      </c>
      <c r="B2729" s="29">
        <v>4</v>
      </c>
      <c r="C2729" s="28"/>
      <c r="D2729" s="28" t="s">
        <v>13</v>
      </c>
      <c r="E2729" s="3"/>
      <c r="H2729" s="7"/>
      <c r="K2729" s="30"/>
    </row>
    <row r="2730" spans="1:11" s="2" customFormat="1" x14ac:dyDescent="0.25">
      <c r="A2730" s="28" t="s">
        <v>5040</v>
      </c>
      <c r="B2730" s="29">
        <v>1</v>
      </c>
      <c r="C2730" s="28"/>
      <c r="D2730" s="28" t="s">
        <v>13</v>
      </c>
      <c r="E2730" s="3"/>
      <c r="H2730" s="7"/>
      <c r="K2730" s="30"/>
    </row>
    <row r="2731" spans="1:11" s="2" customFormat="1" x14ac:dyDescent="0.25">
      <c r="A2731" s="28" t="s">
        <v>5041</v>
      </c>
      <c r="B2731" s="29">
        <v>190</v>
      </c>
      <c r="C2731" s="28"/>
      <c r="D2731" s="28" t="s">
        <v>5042</v>
      </c>
      <c r="E2731" s="3"/>
      <c r="H2731" s="7"/>
      <c r="K2731" s="30"/>
    </row>
    <row r="2732" spans="1:11" s="2" customFormat="1" x14ac:dyDescent="0.25">
      <c r="A2732" s="28" t="s">
        <v>5043</v>
      </c>
      <c r="B2732" s="29">
        <v>220</v>
      </c>
      <c r="C2732" s="28"/>
      <c r="D2732" s="28" t="s">
        <v>5042</v>
      </c>
      <c r="E2732" s="3"/>
      <c r="H2732" s="7"/>
      <c r="K2732" s="30"/>
    </row>
    <row r="2733" spans="1:11" s="2" customFormat="1" x14ac:dyDescent="0.25">
      <c r="A2733" s="28" t="s">
        <v>5044</v>
      </c>
      <c r="B2733" s="29">
        <v>25</v>
      </c>
      <c r="C2733" s="28"/>
      <c r="D2733" s="28" t="s">
        <v>5042</v>
      </c>
      <c r="E2733" s="3"/>
      <c r="H2733" s="7"/>
      <c r="K2733" s="30"/>
    </row>
    <row r="2734" spans="1:11" s="2" customFormat="1" x14ac:dyDescent="0.25">
      <c r="A2734" s="28" t="s">
        <v>5045</v>
      </c>
      <c r="B2734" s="29">
        <v>20</v>
      </c>
      <c r="C2734" s="28"/>
      <c r="D2734" s="28" t="s">
        <v>5042</v>
      </c>
      <c r="E2734" s="3"/>
      <c r="H2734" s="7"/>
      <c r="K2734" s="30"/>
    </row>
    <row r="2735" spans="1:11" s="2" customFormat="1" x14ac:dyDescent="0.25">
      <c r="A2735" s="28" t="s">
        <v>5046</v>
      </c>
      <c r="B2735" s="29">
        <v>155</v>
      </c>
      <c r="C2735" s="28"/>
      <c r="D2735" s="28" t="s">
        <v>5042</v>
      </c>
      <c r="E2735" s="3"/>
      <c r="H2735" s="7"/>
      <c r="K2735" s="30"/>
    </row>
    <row r="2736" spans="1:11" s="2" customFormat="1" x14ac:dyDescent="0.25">
      <c r="A2736" s="28" t="s">
        <v>5047</v>
      </c>
      <c r="B2736" s="29">
        <v>155</v>
      </c>
      <c r="C2736" s="28"/>
      <c r="D2736" s="28" t="s">
        <v>5042</v>
      </c>
      <c r="E2736" s="3"/>
      <c r="H2736" s="7"/>
      <c r="K2736" s="30"/>
    </row>
    <row r="2737" spans="1:11" s="2" customFormat="1" x14ac:dyDescent="0.25">
      <c r="A2737" s="28" t="s">
        <v>5048</v>
      </c>
      <c r="B2737" s="29">
        <v>6</v>
      </c>
      <c r="C2737" s="28"/>
      <c r="D2737" s="28" t="s">
        <v>5042</v>
      </c>
      <c r="E2737" s="3"/>
      <c r="H2737" s="7"/>
      <c r="K2737" s="30"/>
    </row>
    <row r="2738" spans="1:11" s="2" customFormat="1" x14ac:dyDescent="0.25">
      <c r="A2738" s="28" t="s">
        <v>5049</v>
      </c>
      <c r="B2738" s="29">
        <v>24</v>
      </c>
      <c r="C2738" s="28"/>
      <c r="D2738" s="28" t="s">
        <v>5042</v>
      </c>
      <c r="E2738" s="3"/>
      <c r="H2738" s="7"/>
      <c r="K2738" s="30"/>
    </row>
    <row r="2739" spans="1:11" s="2" customFormat="1" x14ac:dyDescent="0.25">
      <c r="A2739" s="28" t="s">
        <v>5050</v>
      </c>
      <c r="B2739" s="29">
        <v>47</v>
      </c>
      <c r="C2739" s="28"/>
      <c r="D2739" s="28" t="s">
        <v>5042</v>
      </c>
      <c r="E2739" s="3"/>
      <c r="H2739" s="7"/>
      <c r="K2739" s="30"/>
    </row>
    <row r="2740" spans="1:11" s="2" customFormat="1" x14ac:dyDescent="0.25">
      <c r="A2740" s="28" t="s">
        <v>5051</v>
      </c>
      <c r="B2740" s="29">
        <v>30</v>
      </c>
      <c r="C2740" s="28"/>
      <c r="D2740" s="28" t="s">
        <v>5042</v>
      </c>
      <c r="E2740" s="3"/>
      <c r="H2740" s="7"/>
      <c r="K2740" s="30"/>
    </row>
    <row r="2741" spans="1:11" s="2" customFormat="1" x14ac:dyDescent="0.25">
      <c r="A2741" s="28" t="s">
        <v>5052</v>
      </c>
      <c r="B2741" s="29">
        <v>8</v>
      </c>
      <c r="C2741" s="28"/>
      <c r="D2741" s="28" t="s">
        <v>5042</v>
      </c>
      <c r="E2741" s="3"/>
      <c r="H2741" s="7"/>
      <c r="K2741" s="30"/>
    </row>
    <row r="2742" spans="1:11" s="2" customFormat="1" x14ac:dyDescent="0.25">
      <c r="A2742" s="28" t="s">
        <v>5053</v>
      </c>
      <c r="B2742" s="29">
        <v>3</v>
      </c>
      <c r="C2742" s="28"/>
      <c r="D2742" s="28" t="s">
        <v>5042</v>
      </c>
      <c r="E2742" s="3"/>
      <c r="H2742" s="7"/>
      <c r="K2742" s="30"/>
    </row>
    <row r="2743" spans="1:11" s="2" customFormat="1" x14ac:dyDescent="0.25">
      <c r="A2743" s="28" t="s">
        <v>5054</v>
      </c>
      <c r="B2743" s="29">
        <v>10</v>
      </c>
      <c r="C2743" s="28"/>
      <c r="D2743" s="28" t="s">
        <v>5042</v>
      </c>
      <c r="E2743" s="3"/>
      <c r="H2743" s="7"/>
      <c r="K2743" s="30"/>
    </row>
    <row r="2744" spans="1:11" s="2" customFormat="1" x14ac:dyDescent="0.25">
      <c r="A2744" s="28" t="s">
        <v>5055</v>
      </c>
      <c r="B2744" s="29">
        <v>2</v>
      </c>
      <c r="C2744" s="28"/>
      <c r="D2744" s="28" t="s">
        <v>5042</v>
      </c>
      <c r="E2744" s="3"/>
      <c r="H2744" s="7"/>
      <c r="K2744" s="30"/>
    </row>
    <row r="2745" spans="1:11" s="2" customFormat="1" x14ac:dyDescent="0.25">
      <c r="A2745" s="28" t="s">
        <v>5056</v>
      </c>
      <c r="B2745" s="29">
        <v>10</v>
      </c>
      <c r="C2745" s="28"/>
      <c r="D2745" s="28" t="s">
        <v>5042</v>
      </c>
      <c r="E2745" s="3"/>
      <c r="H2745" s="7"/>
      <c r="K2745" s="30"/>
    </row>
    <row r="2746" spans="1:11" s="2" customFormat="1" x14ac:dyDescent="0.25">
      <c r="A2746" s="28" t="s">
        <v>5057</v>
      </c>
      <c r="B2746" s="29">
        <v>12</v>
      </c>
      <c r="C2746" s="28"/>
      <c r="D2746" s="28" t="s">
        <v>5042</v>
      </c>
      <c r="E2746" s="3"/>
      <c r="H2746" s="7"/>
      <c r="K2746" s="30"/>
    </row>
    <row r="2747" spans="1:11" s="2" customFormat="1" x14ac:dyDescent="0.25">
      <c r="A2747" s="28" t="s">
        <v>5058</v>
      </c>
      <c r="B2747" s="29">
        <v>3</v>
      </c>
      <c r="C2747" s="28"/>
      <c r="D2747" s="28" t="s">
        <v>5042</v>
      </c>
      <c r="E2747" s="3"/>
      <c r="H2747" s="7"/>
      <c r="K2747" s="30"/>
    </row>
    <row r="2748" spans="1:11" s="2" customFormat="1" x14ac:dyDescent="0.25">
      <c r="A2748" s="28" t="s">
        <v>5059</v>
      </c>
      <c r="B2748" s="29">
        <v>1</v>
      </c>
      <c r="C2748" s="28"/>
      <c r="D2748" s="28" t="s">
        <v>5042</v>
      </c>
      <c r="E2748" s="3"/>
      <c r="H2748" s="7"/>
      <c r="K2748" s="30"/>
    </row>
    <row r="2749" spans="1:11" s="2" customFormat="1" x14ac:dyDescent="0.25">
      <c r="A2749" s="28" t="s">
        <v>2798</v>
      </c>
      <c r="B2749" s="29">
        <v>1</v>
      </c>
      <c r="C2749" s="28"/>
      <c r="D2749" s="28" t="s">
        <v>5042</v>
      </c>
      <c r="E2749" s="3"/>
      <c r="H2749" s="7"/>
      <c r="K2749" s="30"/>
    </row>
    <row r="2750" spans="1:11" s="2" customFormat="1" x14ac:dyDescent="0.25">
      <c r="A2750" s="28" t="s">
        <v>5060</v>
      </c>
      <c r="B2750" s="29">
        <v>5</v>
      </c>
      <c r="C2750" s="28"/>
      <c r="D2750" s="28" t="s">
        <v>5061</v>
      </c>
      <c r="E2750" s="3"/>
      <c r="H2750" s="7"/>
      <c r="K2750" s="30"/>
    </row>
    <row r="2751" spans="1:11" s="2" customFormat="1" x14ac:dyDescent="0.25">
      <c r="A2751" s="28" t="s">
        <v>5062</v>
      </c>
      <c r="B2751" s="29">
        <v>1</v>
      </c>
      <c r="C2751" s="28"/>
      <c r="D2751" s="28" t="s">
        <v>744</v>
      </c>
      <c r="E2751" s="3"/>
      <c r="H2751" s="7"/>
      <c r="K2751" s="30"/>
    </row>
    <row r="2752" spans="1:11" s="2" customFormat="1" x14ac:dyDescent="0.25">
      <c r="A2752" s="28" t="s">
        <v>5063</v>
      </c>
      <c r="B2752" s="29">
        <v>3</v>
      </c>
      <c r="C2752" s="28"/>
      <c r="D2752" s="28" t="s">
        <v>5064</v>
      </c>
      <c r="E2752" s="3"/>
      <c r="H2752" s="7"/>
      <c r="K2752" s="30"/>
    </row>
    <row r="2753" spans="1:11" s="2" customFormat="1" x14ac:dyDescent="0.25">
      <c r="A2753" s="28" t="s">
        <v>5065</v>
      </c>
      <c r="B2753" s="29">
        <v>2</v>
      </c>
      <c r="C2753" s="28"/>
      <c r="D2753" s="28" t="s">
        <v>5066</v>
      </c>
      <c r="E2753" s="3"/>
      <c r="H2753" s="7"/>
      <c r="K2753" s="30"/>
    </row>
    <row r="2754" spans="1:11" s="2" customFormat="1" x14ac:dyDescent="0.25">
      <c r="A2754" s="28" t="s">
        <v>5067</v>
      </c>
      <c r="B2754" s="29">
        <v>60</v>
      </c>
      <c r="C2754" s="28"/>
      <c r="D2754" s="28" t="s">
        <v>5068</v>
      </c>
      <c r="E2754" s="3"/>
      <c r="H2754" s="7"/>
      <c r="K2754" s="30"/>
    </row>
    <row r="2755" spans="1:11" s="2" customFormat="1" x14ac:dyDescent="0.25">
      <c r="A2755" s="28" t="s">
        <v>5069</v>
      </c>
      <c r="B2755" s="29">
        <v>166</v>
      </c>
      <c r="C2755" s="28"/>
      <c r="D2755" s="28" t="s">
        <v>5068</v>
      </c>
      <c r="E2755" s="3"/>
      <c r="H2755" s="7"/>
      <c r="K2755" s="30"/>
    </row>
    <row r="2756" spans="1:11" s="2" customFormat="1" x14ac:dyDescent="0.25">
      <c r="A2756" s="28" t="s">
        <v>5070</v>
      </c>
      <c r="B2756" s="29">
        <v>96</v>
      </c>
      <c r="C2756" s="28"/>
      <c r="D2756" s="28" t="s">
        <v>5071</v>
      </c>
      <c r="E2756" s="3"/>
      <c r="H2756" s="7"/>
      <c r="K2756" s="30"/>
    </row>
    <row r="2757" spans="1:11" s="2" customFormat="1" x14ac:dyDescent="0.25">
      <c r="A2757" s="28" t="s">
        <v>5072</v>
      </c>
      <c r="B2757" s="29">
        <v>197</v>
      </c>
      <c r="C2757" s="28"/>
      <c r="D2757" s="28" t="s">
        <v>5071</v>
      </c>
      <c r="E2757" s="3"/>
      <c r="H2757" s="7"/>
      <c r="K2757" s="30"/>
    </row>
    <row r="2758" spans="1:11" s="2" customFormat="1" x14ac:dyDescent="0.25">
      <c r="A2758" s="28" t="s">
        <v>5073</v>
      </c>
      <c r="B2758" s="29">
        <v>3</v>
      </c>
      <c r="C2758" s="28"/>
      <c r="D2758" s="28" t="s">
        <v>5074</v>
      </c>
      <c r="E2758" s="3"/>
      <c r="H2758" s="7"/>
      <c r="K2758" s="30"/>
    </row>
    <row r="2759" spans="1:11" s="2" customFormat="1" x14ac:dyDescent="0.25">
      <c r="A2759" s="28" t="s">
        <v>5075</v>
      </c>
      <c r="B2759" s="29">
        <v>27</v>
      </c>
      <c r="C2759" s="28"/>
      <c r="D2759" s="28" t="s">
        <v>5074</v>
      </c>
      <c r="E2759" s="3"/>
      <c r="H2759" s="7"/>
      <c r="K2759" s="30"/>
    </row>
    <row r="2760" spans="1:11" s="2" customFormat="1" x14ac:dyDescent="0.25">
      <c r="A2760" s="28" t="s">
        <v>5076</v>
      </c>
      <c r="B2760" s="29">
        <v>3</v>
      </c>
      <c r="C2760" s="28"/>
      <c r="D2760" s="28" t="s">
        <v>5074</v>
      </c>
      <c r="E2760" s="3"/>
      <c r="H2760" s="7"/>
      <c r="K2760" s="30"/>
    </row>
    <row r="2761" spans="1:11" s="2" customFormat="1" x14ac:dyDescent="0.25">
      <c r="A2761" s="28" t="s">
        <v>5077</v>
      </c>
      <c r="B2761" s="29">
        <v>59</v>
      </c>
      <c r="C2761" s="28"/>
      <c r="D2761" s="28" t="s">
        <v>5078</v>
      </c>
      <c r="E2761" s="3"/>
      <c r="H2761" s="7"/>
      <c r="K2761" s="30"/>
    </row>
    <row r="2762" spans="1:11" s="2" customFormat="1" x14ac:dyDescent="0.25">
      <c r="A2762" s="28" t="s">
        <v>5079</v>
      </c>
      <c r="B2762" s="29">
        <v>7</v>
      </c>
      <c r="C2762" s="28"/>
      <c r="D2762" s="28" t="s">
        <v>5078</v>
      </c>
      <c r="E2762" s="3"/>
      <c r="H2762" s="7"/>
      <c r="K2762" s="30"/>
    </row>
    <row r="2763" spans="1:11" s="2" customFormat="1" x14ac:dyDescent="0.25">
      <c r="A2763" s="28" t="s">
        <v>5080</v>
      </c>
      <c r="B2763" s="29">
        <v>9</v>
      </c>
      <c r="C2763" s="28"/>
      <c r="D2763" s="28" t="s">
        <v>5078</v>
      </c>
      <c r="E2763" s="3"/>
      <c r="H2763" s="7"/>
      <c r="K2763" s="30"/>
    </row>
    <row r="2764" spans="1:11" s="2" customFormat="1" x14ac:dyDescent="0.25">
      <c r="A2764" s="28" t="s">
        <v>5081</v>
      </c>
      <c r="B2764" s="29">
        <v>16</v>
      </c>
      <c r="C2764" s="28"/>
      <c r="D2764" s="28" t="s">
        <v>5078</v>
      </c>
      <c r="E2764" s="3"/>
      <c r="H2764" s="7"/>
      <c r="K2764" s="30"/>
    </row>
    <row r="2765" spans="1:11" s="2" customFormat="1" x14ac:dyDescent="0.25">
      <c r="A2765" s="28" t="s">
        <v>5082</v>
      </c>
      <c r="B2765" s="29">
        <v>331</v>
      </c>
      <c r="C2765" s="28"/>
      <c r="D2765" s="28" t="s">
        <v>5083</v>
      </c>
      <c r="E2765" s="3"/>
      <c r="H2765" s="7"/>
      <c r="K2765" s="30"/>
    </row>
    <row r="2766" spans="1:11" s="2" customFormat="1" x14ac:dyDescent="0.25">
      <c r="A2766" s="28" t="s">
        <v>5084</v>
      </c>
      <c r="B2766" s="29">
        <v>10</v>
      </c>
      <c r="C2766" s="28"/>
      <c r="D2766" s="28" t="s">
        <v>5083</v>
      </c>
      <c r="E2766" s="3"/>
      <c r="H2766" s="7"/>
      <c r="K2766" s="30"/>
    </row>
    <row r="2767" spans="1:11" s="2" customFormat="1" x14ac:dyDescent="0.25">
      <c r="A2767" s="28" t="s">
        <v>5085</v>
      </c>
      <c r="B2767" s="29">
        <v>2</v>
      </c>
      <c r="C2767" s="28"/>
      <c r="D2767" s="28" t="s">
        <v>5083</v>
      </c>
      <c r="E2767" s="3"/>
      <c r="H2767" s="7"/>
      <c r="K2767" s="30"/>
    </row>
    <row r="2768" spans="1:11" s="2" customFormat="1" x14ac:dyDescent="0.25">
      <c r="A2768" s="28" t="s">
        <v>5086</v>
      </c>
      <c r="B2768" s="29">
        <v>9</v>
      </c>
      <c r="C2768" s="28"/>
      <c r="D2768" s="28" t="s">
        <v>5083</v>
      </c>
      <c r="E2768" s="3"/>
      <c r="H2768" s="7"/>
      <c r="K2768" s="30"/>
    </row>
    <row r="2769" spans="1:11" s="2" customFormat="1" x14ac:dyDescent="0.25">
      <c r="A2769" s="28" t="s">
        <v>5087</v>
      </c>
      <c r="B2769" s="29">
        <v>12</v>
      </c>
      <c r="C2769" s="28"/>
      <c r="D2769" s="28" t="s">
        <v>5083</v>
      </c>
      <c r="E2769" s="3"/>
      <c r="H2769" s="7"/>
      <c r="K2769" s="30"/>
    </row>
    <row r="2770" spans="1:11" s="2" customFormat="1" x14ac:dyDescent="0.25">
      <c r="A2770" s="28" t="s">
        <v>5088</v>
      </c>
      <c r="B2770" s="29">
        <v>1</v>
      </c>
      <c r="C2770" s="28"/>
      <c r="D2770" s="28" t="s">
        <v>5083</v>
      </c>
      <c r="E2770" s="3"/>
      <c r="H2770" s="7"/>
      <c r="K2770" s="30"/>
    </row>
    <row r="2771" spans="1:11" s="2" customFormat="1" x14ac:dyDescent="0.25">
      <c r="A2771" s="28" t="s">
        <v>5089</v>
      </c>
      <c r="B2771" s="29">
        <v>9</v>
      </c>
      <c r="C2771" s="28"/>
      <c r="D2771" s="28" t="s">
        <v>5083</v>
      </c>
      <c r="E2771" s="3"/>
      <c r="H2771" s="7"/>
      <c r="K2771" s="30"/>
    </row>
    <row r="2772" spans="1:11" s="2" customFormat="1" x14ac:dyDescent="0.25">
      <c r="A2772" s="28" t="s">
        <v>5090</v>
      </c>
      <c r="B2772" s="29">
        <v>2</v>
      </c>
      <c r="C2772" s="28"/>
      <c r="D2772" s="28" t="s">
        <v>5083</v>
      </c>
      <c r="E2772" s="3"/>
      <c r="H2772" s="7"/>
      <c r="K2772" s="30"/>
    </row>
    <row r="2773" spans="1:11" s="2" customFormat="1" x14ac:dyDescent="0.25">
      <c r="A2773" s="28" t="s">
        <v>5091</v>
      </c>
      <c r="B2773" s="29">
        <v>2</v>
      </c>
      <c r="C2773" s="28"/>
      <c r="D2773" s="28" t="s">
        <v>5083</v>
      </c>
      <c r="E2773" s="3"/>
      <c r="H2773" s="7"/>
      <c r="K2773" s="30"/>
    </row>
    <row r="2774" spans="1:11" s="2" customFormat="1" x14ac:dyDescent="0.25">
      <c r="A2774" s="28" t="s">
        <v>5092</v>
      </c>
      <c r="B2774" s="29">
        <v>6</v>
      </c>
      <c r="C2774" s="28"/>
      <c r="D2774" s="28" t="s">
        <v>5083</v>
      </c>
      <c r="E2774" s="3"/>
      <c r="H2774" s="7"/>
      <c r="K2774" s="30"/>
    </row>
    <row r="2775" spans="1:11" s="2" customFormat="1" x14ac:dyDescent="0.25">
      <c r="A2775" s="28" t="s">
        <v>5093</v>
      </c>
      <c r="B2775" s="29">
        <v>3</v>
      </c>
      <c r="C2775" s="28"/>
      <c r="D2775" s="28" t="s">
        <v>5083</v>
      </c>
      <c r="E2775" s="3"/>
      <c r="H2775" s="7"/>
      <c r="K2775" s="30"/>
    </row>
    <row r="2776" spans="1:11" s="2" customFormat="1" x14ac:dyDescent="0.25">
      <c r="A2776" s="28" t="s">
        <v>5094</v>
      </c>
      <c r="B2776" s="29">
        <v>14</v>
      </c>
      <c r="C2776" s="28"/>
      <c r="D2776" s="28" t="s">
        <v>5083</v>
      </c>
      <c r="E2776" s="3"/>
      <c r="H2776" s="7"/>
      <c r="K2776" s="30"/>
    </row>
    <row r="2777" spans="1:11" s="2" customFormat="1" x14ac:dyDescent="0.25">
      <c r="A2777" s="28" t="s">
        <v>5095</v>
      </c>
      <c r="B2777" s="29">
        <v>3</v>
      </c>
      <c r="C2777" s="28"/>
      <c r="D2777" s="28" t="s">
        <v>5083</v>
      </c>
      <c r="E2777" s="3"/>
      <c r="H2777" s="7"/>
      <c r="K2777" s="30"/>
    </row>
    <row r="2778" spans="1:11" s="2" customFormat="1" x14ac:dyDescent="0.25">
      <c r="A2778" s="28" t="s">
        <v>5096</v>
      </c>
      <c r="B2778" s="29">
        <v>3</v>
      </c>
      <c r="C2778" s="28"/>
      <c r="D2778" s="28" t="s">
        <v>5083</v>
      </c>
      <c r="E2778" s="3"/>
      <c r="H2778" s="7"/>
      <c r="K2778" s="30"/>
    </row>
    <row r="2779" spans="1:11" s="2" customFormat="1" x14ac:dyDescent="0.25">
      <c r="A2779" s="28" t="s">
        <v>5097</v>
      </c>
      <c r="B2779" s="29">
        <v>1</v>
      </c>
      <c r="C2779" s="28"/>
      <c r="D2779" s="28" t="s">
        <v>5098</v>
      </c>
      <c r="E2779" s="3"/>
      <c r="H2779" s="7"/>
      <c r="K2779" s="30"/>
    </row>
    <row r="2780" spans="1:11" s="2" customFormat="1" x14ac:dyDescent="0.25">
      <c r="A2780" s="28" t="s">
        <v>5099</v>
      </c>
      <c r="B2780" s="29">
        <v>120</v>
      </c>
      <c r="C2780" s="28"/>
      <c r="D2780" s="28" t="s">
        <v>134</v>
      </c>
      <c r="E2780" s="3"/>
      <c r="H2780" s="7"/>
      <c r="K2780" s="30"/>
    </row>
    <row r="2781" spans="1:11" s="2" customFormat="1" x14ac:dyDescent="0.25">
      <c r="A2781" s="28" t="s">
        <v>5100</v>
      </c>
      <c r="B2781" s="29">
        <v>250</v>
      </c>
      <c r="C2781" s="28"/>
      <c r="D2781" s="28" t="s">
        <v>134</v>
      </c>
      <c r="E2781" s="3"/>
      <c r="H2781" s="7"/>
      <c r="K2781" s="30"/>
    </row>
    <row r="2782" spans="1:11" s="2" customFormat="1" x14ac:dyDescent="0.25">
      <c r="A2782" s="28" t="s">
        <v>5101</v>
      </c>
      <c r="B2782" s="29">
        <v>392</v>
      </c>
      <c r="C2782" s="28"/>
      <c r="D2782" s="28" t="s">
        <v>134</v>
      </c>
      <c r="E2782" s="3"/>
      <c r="H2782" s="7"/>
      <c r="K2782" s="30"/>
    </row>
    <row r="2783" spans="1:11" s="2" customFormat="1" x14ac:dyDescent="0.25">
      <c r="A2783" s="28" t="s">
        <v>5102</v>
      </c>
      <c r="B2783" s="29">
        <v>25</v>
      </c>
      <c r="C2783" s="28"/>
      <c r="D2783" s="28" t="s">
        <v>134</v>
      </c>
      <c r="E2783" s="3"/>
      <c r="H2783" s="7"/>
      <c r="K2783" s="30"/>
    </row>
    <row r="2784" spans="1:11" s="2" customFormat="1" x14ac:dyDescent="0.25">
      <c r="A2784" s="28" t="s">
        <v>466</v>
      </c>
      <c r="B2784" s="29">
        <v>120</v>
      </c>
      <c r="C2784" s="28"/>
      <c r="D2784" s="28" t="s">
        <v>134</v>
      </c>
      <c r="E2784" s="3"/>
      <c r="H2784" s="7"/>
      <c r="K2784" s="30"/>
    </row>
    <row r="2785" spans="1:11" s="2" customFormat="1" x14ac:dyDescent="0.25">
      <c r="A2785" s="28" t="s">
        <v>5103</v>
      </c>
      <c r="B2785" s="29">
        <v>8</v>
      </c>
      <c r="C2785" s="28"/>
      <c r="D2785" s="28" t="s">
        <v>134</v>
      </c>
      <c r="E2785" s="3"/>
      <c r="H2785" s="7"/>
      <c r="K2785" s="30"/>
    </row>
    <row r="2786" spans="1:11" s="2" customFormat="1" x14ac:dyDescent="0.25">
      <c r="A2786" s="28" t="s">
        <v>5104</v>
      </c>
      <c r="B2786" s="29">
        <v>100</v>
      </c>
      <c r="C2786" s="28"/>
      <c r="D2786" s="28" t="s">
        <v>134</v>
      </c>
      <c r="E2786" s="3"/>
      <c r="H2786" s="7"/>
      <c r="K2786" s="30"/>
    </row>
    <row r="2787" spans="1:11" s="2" customFormat="1" x14ac:dyDescent="0.25">
      <c r="A2787" s="28" t="s">
        <v>5105</v>
      </c>
      <c r="B2787" s="29">
        <v>10</v>
      </c>
      <c r="C2787" s="28"/>
      <c r="D2787" s="28" t="s">
        <v>134</v>
      </c>
      <c r="E2787" s="3"/>
      <c r="H2787" s="7"/>
      <c r="K2787" s="30"/>
    </row>
    <row r="2788" spans="1:11" s="2" customFormat="1" x14ac:dyDescent="0.25">
      <c r="A2788" s="28" t="s">
        <v>5106</v>
      </c>
      <c r="B2788" s="29">
        <v>22</v>
      </c>
      <c r="C2788" s="28"/>
      <c r="D2788" s="28" t="s">
        <v>134</v>
      </c>
      <c r="E2788" s="3"/>
      <c r="H2788" s="7"/>
      <c r="K2788" s="30"/>
    </row>
    <row r="2789" spans="1:11" s="2" customFormat="1" x14ac:dyDescent="0.25">
      <c r="A2789" s="28" t="s">
        <v>5107</v>
      </c>
      <c r="B2789" s="29">
        <v>4</v>
      </c>
      <c r="C2789" s="28"/>
      <c r="D2789" s="28" t="s">
        <v>134</v>
      </c>
      <c r="E2789" s="3"/>
      <c r="H2789" s="7"/>
      <c r="K2789" s="30"/>
    </row>
    <row r="2790" spans="1:11" s="2" customFormat="1" x14ac:dyDescent="0.25">
      <c r="A2790" s="28" t="s">
        <v>5108</v>
      </c>
      <c r="B2790" s="29">
        <v>1</v>
      </c>
      <c r="C2790" s="28"/>
      <c r="D2790" s="28" t="s">
        <v>134</v>
      </c>
      <c r="E2790" s="3"/>
      <c r="H2790" s="7"/>
      <c r="K2790" s="30"/>
    </row>
    <row r="2791" spans="1:11" s="2" customFormat="1" x14ac:dyDescent="0.25">
      <c r="A2791" s="28" t="s">
        <v>5109</v>
      </c>
      <c r="B2791" s="29">
        <v>3</v>
      </c>
      <c r="C2791" s="28"/>
      <c r="D2791" s="28" t="s">
        <v>134</v>
      </c>
      <c r="E2791" s="3"/>
      <c r="H2791" s="7"/>
      <c r="K2791" s="30"/>
    </row>
    <row r="2792" spans="1:11" s="2" customFormat="1" x14ac:dyDescent="0.25">
      <c r="A2792" s="28" t="s">
        <v>5110</v>
      </c>
      <c r="B2792" s="29">
        <v>3</v>
      </c>
      <c r="C2792" s="28"/>
      <c r="D2792" s="28" t="s">
        <v>134</v>
      </c>
      <c r="E2792" s="3"/>
      <c r="H2792" s="7"/>
      <c r="K2792" s="30"/>
    </row>
    <row r="2793" spans="1:11" s="2" customFormat="1" x14ac:dyDescent="0.25">
      <c r="A2793" s="28" t="s">
        <v>5111</v>
      </c>
      <c r="B2793" s="29">
        <v>4</v>
      </c>
      <c r="C2793" s="28"/>
      <c r="D2793" s="28" t="s">
        <v>134</v>
      </c>
      <c r="E2793" s="3"/>
      <c r="H2793" s="7"/>
      <c r="K2793" s="30"/>
    </row>
    <row r="2794" spans="1:11" s="2" customFormat="1" x14ac:dyDescent="0.25">
      <c r="A2794" s="28" t="s">
        <v>5112</v>
      </c>
      <c r="B2794" s="29">
        <v>100</v>
      </c>
      <c r="C2794" s="28"/>
      <c r="D2794" s="28" t="s">
        <v>5113</v>
      </c>
      <c r="E2794" s="3"/>
      <c r="H2794" s="7"/>
      <c r="K2794" s="30"/>
    </row>
    <row r="2795" spans="1:11" s="2" customFormat="1" x14ac:dyDescent="0.25">
      <c r="A2795" s="28" t="s">
        <v>5114</v>
      </c>
      <c r="B2795" s="29">
        <v>5</v>
      </c>
      <c r="C2795" s="28"/>
      <c r="D2795" s="28" t="s">
        <v>5115</v>
      </c>
      <c r="E2795" s="3"/>
      <c r="H2795" s="7"/>
      <c r="K2795" s="30"/>
    </row>
    <row r="2796" spans="1:11" s="2" customFormat="1" x14ac:dyDescent="0.25">
      <c r="A2796" s="28" t="s">
        <v>5116</v>
      </c>
      <c r="B2796" s="29">
        <v>1</v>
      </c>
      <c r="C2796" s="28"/>
      <c r="D2796" s="28" t="s">
        <v>5115</v>
      </c>
      <c r="E2796" s="3"/>
      <c r="H2796" s="7"/>
      <c r="K2796" s="30"/>
    </row>
    <row r="2797" spans="1:11" s="2" customFormat="1" x14ac:dyDescent="0.25">
      <c r="A2797" s="28" t="s">
        <v>5117</v>
      </c>
      <c r="B2797" s="29">
        <v>209</v>
      </c>
      <c r="C2797" s="28"/>
      <c r="D2797" s="28" t="s">
        <v>73</v>
      </c>
      <c r="E2797" s="3"/>
      <c r="H2797" s="7"/>
      <c r="K2797" s="30"/>
    </row>
    <row r="2798" spans="1:11" s="2" customFormat="1" x14ac:dyDescent="0.25">
      <c r="A2798" s="28" t="s">
        <v>5118</v>
      </c>
      <c r="B2798" s="29">
        <v>52</v>
      </c>
      <c r="C2798" s="28"/>
      <c r="D2798" s="28" t="s">
        <v>73</v>
      </c>
      <c r="E2798" s="3"/>
      <c r="H2798" s="7"/>
      <c r="K2798" s="30"/>
    </row>
    <row r="2799" spans="1:11" s="2" customFormat="1" x14ac:dyDescent="0.25">
      <c r="A2799" s="28" t="s">
        <v>5119</v>
      </c>
      <c r="B2799" s="29">
        <v>20</v>
      </c>
      <c r="C2799" s="28"/>
      <c r="D2799" s="28" t="s">
        <v>73</v>
      </c>
      <c r="E2799" s="3"/>
      <c r="H2799" s="7"/>
      <c r="K2799" s="30"/>
    </row>
    <row r="2800" spans="1:11" s="2" customFormat="1" x14ac:dyDescent="0.25">
      <c r="A2800" s="28" t="s">
        <v>5120</v>
      </c>
      <c r="B2800" s="29">
        <v>14</v>
      </c>
      <c r="C2800" s="28"/>
      <c r="D2800" s="28" t="s">
        <v>73</v>
      </c>
      <c r="E2800" s="3"/>
      <c r="H2800" s="7"/>
      <c r="K2800" s="30"/>
    </row>
    <row r="2801" spans="1:11" s="2" customFormat="1" x14ac:dyDescent="0.25">
      <c r="A2801" s="28" t="s">
        <v>5121</v>
      </c>
      <c r="B2801" s="29">
        <v>14</v>
      </c>
      <c r="C2801" s="28"/>
      <c r="D2801" s="28" t="s">
        <v>73</v>
      </c>
      <c r="E2801" s="3"/>
      <c r="H2801" s="7"/>
      <c r="K2801" s="30"/>
    </row>
    <row r="2802" spans="1:11" s="2" customFormat="1" x14ac:dyDescent="0.25">
      <c r="A2802" s="28" t="s">
        <v>5122</v>
      </c>
      <c r="B2802" s="29">
        <v>13</v>
      </c>
      <c r="C2802" s="28"/>
      <c r="D2802" s="28" t="s">
        <v>73</v>
      </c>
      <c r="E2802" s="3"/>
      <c r="H2802" s="7"/>
      <c r="K2802" s="30"/>
    </row>
    <row r="2803" spans="1:11" s="2" customFormat="1" x14ac:dyDescent="0.25">
      <c r="A2803" s="28" t="s">
        <v>5123</v>
      </c>
      <c r="B2803" s="29">
        <v>100</v>
      </c>
      <c r="C2803" s="28"/>
      <c r="D2803" s="28" t="s">
        <v>73</v>
      </c>
      <c r="E2803" s="3"/>
      <c r="H2803" s="7"/>
      <c r="K2803" s="30"/>
    </row>
    <row r="2804" spans="1:11" s="2" customFormat="1" x14ac:dyDescent="0.25">
      <c r="A2804" s="28" t="s">
        <v>5124</v>
      </c>
      <c r="B2804" s="29">
        <v>400</v>
      </c>
      <c r="C2804" s="28"/>
      <c r="D2804" s="28" t="s">
        <v>73</v>
      </c>
      <c r="E2804" s="3"/>
      <c r="H2804" s="7"/>
      <c r="K2804" s="30"/>
    </row>
    <row r="2805" spans="1:11" s="2" customFormat="1" x14ac:dyDescent="0.25">
      <c r="A2805" s="28" t="s">
        <v>5125</v>
      </c>
      <c r="B2805" s="29">
        <v>7</v>
      </c>
      <c r="C2805" s="28"/>
      <c r="D2805" s="28" t="s">
        <v>5126</v>
      </c>
      <c r="E2805" s="3"/>
      <c r="H2805" s="7"/>
      <c r="K2805" s="30"/>
    </row>
    <row r="2806" spans="1:11" s="2" customFormat="1" x14ac:dyDescent="0.25">
      <c r="A2806" s="28" t="s">
        <v>5127</v>
      </c>
      <c r="B2806" s="29">
        <v>4</v>
      </c>
      <c r="C2806" s="28"/>
      <c r="D2806" s="28" t="s">
        <v>5128</v>
      </c>
      <c r="E2806" s="3"/>
      <c r="H2806" s="7"/>
      <c r="K2806" s="30"/>
    </row>
    <row r="2807" spans="1:11" s="2" customFormat="1" x14ac:dyDescent="0.25">
      <c r="A2807" s="28" t="s">
        <v>5129</v>
      </c>
      <c r="B2807" s="29">
        <v>1</v>
      </c>
      <c r="C2807" s="28"/>
      <c r="D2807" s="28" t="s">
        <v>5128</v>
      </c>
      <c r="E2807" s="3"/>
      <c r="H2807" s="7"/>
      <c r="K2807" s="30"/>
    </row>
    <row r="2808" spans="1:11" s="2" customFormat="1" x14ac:dyDescent="0.25">
      <c r="A2808" s="32" t="s">
        <v>5130</v>
      </c>
      <c r="B2808" s="29">
        <v>3</v>
      </c>
      <c r="C2808" s="28"/>
      <c r="D2808" s="28" t="s">
        <v>5131</v>
      </c>
      <c r="E2808" s="3"/>
      <c r="H2808" s="7"/>
      <c r="K2808" s="30"/>
    </row>
    <row r="2809" spans="1:11" s="2" customFormat="1" x14ac:dyDescent="0.25">
      <c r="A2809" s="28" t="s">
        <v>5132</v>
      </c>
      <c r="B2809" s="29">
        <v>16</v>
      </c>
      <c r="C2809" s="28"/>
      <c r="D2809" s="28" t="s">
        <v>92</v>
      </c>
      <c r="E2809" s="3"/>
      <c r="H2809" s="7"/>
      <c r="K2809" s="30"/>
    </row>
    <row r="2810" spans="1:11" s="2" customFormat="1" x14ac:dyDescent="0.25">
      <c r="A2810" s="28" t="s">
        <v>5133</v>
      </c>
      <c r="B2810" s="29">
        <v>13</v>
      </c>
      <c r="C2810" s="28"/>
      <c r="D2810" s="28" t="s">
        <v>92</v>
      </c>
      <c r="E2810" s="3"/>
      <c r="H2810" s="7"/>
      <c r="K2810" s="30"/>
    </row>
    <row r="2811" spans="1:11" s="2" customFormat="1" x14ac:dyDescent="0.25">
      <c r="A2811" s="28" t="s">
        <v>5134</v>
      </c>
      <c r="B2811" s="29">
        <v>6</v>
      </c>
      <c r="C2811" s="28"/>
      <c r="D2811" s="28" t="s">
        <v>92</v>
      </c>
      <c r="E2811" s="3"/>
      <c r="H2811" s="7"/>
      <c r="K2811" s="30"/>
    </row>
    <row r="2812" spans="1:11" s="2" customFormat="1" x14ac:dyDescent="0.25">
      <c r="A2812" s="28" t="s">
        <v>5135</v>
      </c>
      <c r="B2812" s="29">
        <v>17</v>
      </c>
      <c r="C2812" s="28"/>
      <c r="D2812" s="28" t="s">
        <v>92</v>
      </c>
      <c r="E2812" s="3"/>
      <c r="H2812" s="7"/>
      <c r="K2812" s="30"/>
    </row>
    <row r="2813" spans="1:11" s="2" customFormat="1" x14ac:dyDescent="0.25">
      <c r="A2813" s="28" t="s">
        <v>5136</v>
      </c>
      <c r="B2813" s="29">
        <v>1</v>
      </c>
      <c r="C2813" s="28"/>
      <c r="D2813" s="28" t="s">
        <v>92</v>
      </c>
      <c r="E2813" s="3"/>
      <c r="H2813" s="7"/>
      <c r="K2813" s="30"/>
    </row>
    <row r="2814" spans="1:11" s="2" customFormat="1" x14ac:dyDescent="0.25">
      <c r="A2814" s="28" t="s">
        <v>5137</v>
      </c>
      <c r="B2814" s="29">
        <v>6</v>
      </c>
      <c r="C2814" s="28"/>
      <c r="D2814" s="28" t="s">
        <v>92</v>
      </c>
      <c r="E2814" s="3"/>
      <c r="H2814" s="7"/>
      <c r="K2814" s="30"/>
    </row>
    <row r="2815" spans="1:11" s="2" customFormat="1" x14ac:dyDescent="0.25">
      <c r="A2815" s="28" t="s">
        <v>5138</v>
      </c>
      <c r="B2815" s="29">
        <v>2</v>
      </c>
      <c r="C2815" s="28"/>
      <c r="D2815" s="28" t="s">
        <v>92</v>
      </c>
      <c r="E2815" s="3"/>
      <c r="H2815" s="7"/>
      <c r="K2815" s="30"/>
    </row>
    <row r="2816" spans="1:11" s="2" customFormat="1" x14ac:dyDescent="0.25">
      <c r="A2816" s="28" t="s">
        <v>5139</v>
      </c>
      <c r="B2816" s="29">
        <v>5</v>
      </c>
      <c r="C2816" s="28"/>
      <c r="D2816" s="28" t="s">
        <v>92</v>
      </c>
      <c r="E2816" s="3"/>
      <c r="H2816" s="7"/>
      <c r="K2816" s="30"/>
    </row>
    <row r="2817" spans="1:11" s="2" customFormat="1" x14ac:dyDescent="0.25">
      <c r="A2817" s="28" t="s">
        <v>5140</v>
      </c>
      <c r="B2817" s="29">
        <v>10</v>
      </c>
      <c r="C2817" s="28"/>
      <c r="D2817" s="28" t="s">
        <v>92</v>
      </c>
      <c r="E2817" s="3"/>
      <c r="H2817" s="7"/>
      <c r="K2817" s="30"/>
    </row>
    <row r="2818" spans="1:11" s="2" customFormat="1" x14ac:dyDescent="0.25">
      <c r="A2818" s="28" t="s">
        <v>5141</v>
      </c>
      <c r="B2818" s="29">
        <v>2</v>
      </c>
      <c r="C2818" s="28"/>
      <c r="D2818" s="28" t="s">
        <v>92</v>
      </c>
      <c r="E2818" s="3"/>
      <c r="H2818" s="7"/>
      <c r="K2818" s="30"/>
    </row>
    <row r="2819" spans="1:11" s="2" customFormat="1" x14ac:dyDescent="0.25">
      <c r="A2819" s="28" t="s">
        <v>5142</v>
      </c>
      <c r="B2819" s="29">
        <v>6</v>
      </c>
      <c r="C2819" s="28"/>
      <c r="D2819" s="28" t="s">
        <v>92</v>
      </c>
      <c r="E2819" s="3"/>
      <c r="H2819" s="7"/>
      <c r="K2819" s="30"/>
    </row>
    <row r="2820" spans="1:11" s="2" customFormat="1" x14ac:dyDescent="0.25">
      <c r="A2820" s="28" t="s">
        <v>5143</v>
      </c>
      <c r="B2820" s="29">
        <v>3</v>
      </c>
      <c r="C2820" s="28"/>
      <c r="D2820" s="28" t="s">
        <v>92</v>
      </c>
      <c r="E2820" s="3"/>
      <c r="H2820" s="7"/>
      <c r="K2820" s="30"/>
    </row>
    <row r="2821" spans="1:11" s="2" customFormat="1" x14ac:dyDescent="0.25">
      <c r="A2821" s="28" t="s">
        <v>5144</v>
      </c>
      <c r="B2821" s="29">
        <v>5</v>
      </c>
      <c r="C2821" s="28"/>
      <c r="D2821" s="28" t="s">
        <v>92</v>
      </c>
      <c r="E2821" s="3"/>
      <c r="H2821" s="7"/>
      <c r="K2821" s="30"/>
    </row>
    <row r="2822" spans="1:11" s="2" customFormat="1" x14ac:dyDescent="0.25">
      <c r="A2822" s="28" t="s">
        <v>5145</v>
      </c>
      <c r="B2822" s="29">
        <v>1</v>
      </c>
      <c r="C2822" s="28"/>
      <c r="D2822" s="28" t="s">
        <v>92</v>
      </c>
      <c r="E2822" s="3"/>
      <c r="H2822" s="7"/>
      <c r="K2822" s="30"/>
    </row>
    <row r="2823" spans="1:11" s="2" customFormat="1" x14ac:dyDescent="0.25">
      <c r="A2823" s="28" t="s">
        <v>5146</v>
      </c>
      <c r="B2823" s="29">
        <v>1</v>
      </c>
      <c r="C2823" s="28"/>
      <c r="D2823" s="28" t="s">
        <v>92</v>
      </c>
      <c r="E2823" s="3"/>
      <c r="H2823" s="7"/>
      <c r="K2823" s="30"/>
    </row>
    <row r="2824" spans="1:11" s="2" customFormat="1" x14ac:dyDescent="0.25">
      <c r="A2824" s="28" t="s">
        <v>5147</v>
      </c>
      <c r="B2824" s="29">
        <v>4</v>
      </c>
      <c r="C2824" s="28"/>
      <c r="D2824" s="28" t="s">
        <v>5148</v>
      </c>
      <c r="E2824" s="3"/>
      <c r="H2824" s="7"/>
      <c r="K2824" s="30"/>
    </row>
    <row r="2825" spans="1:11" s="2" customFormat="1" x14ac:dyDescent="0.25">
      <c r="A2825" s="28" t="s">
        <v>5149</v>
      </c>
      <c r="B2825" s="29">
        <v>8</v>
      </c>
      <c r="C2825" s="28"/>
      <c r="D2825" s="28" t="s">
        <v>1097</v>
      </c>
      <c r="E2825" s="3"/>
      <c r="H2825" s="7"/>
      <c r="K2825" s="30"/>
    </row>
    <row r="2826" spans="1:11" s="2" customFormat="1" x14ac:dyDescent="0.25">
      <c r="A2826" s="28" t="s">
        <v>5150</v>
      </c>
      <c r="B2826" s="29">
        <v>122</v>
      </c>
      <c r="C2826" s="28"/>
      <c r="D2826" s="28" t="s">
        <v>5151</v>
      </c>
      <c r="E2826" s="3"/>
      <c r="H2826" s="7"/>
      <c r="K2826" s="30"/>
    </row>
    <row r="2827" spans="1:11" s="2" customFormat="1" x14ac:dyDescent="0.25">
      <c r="A2827" s="28" t="s">
        <v>5152</v>
      </c>
      <c r="B2827" s="29">
        <v>122</v>
      </c>
      <c r="C2827" s="28"/>
      <c r="D2827" s="28" t="s">
        <v>5151</v>
      </c>
      <c r="E2827" s="3"/>
      <c r="H2827" s="7"/>
      <c r="K2827" s="30"/>
    </row>
    <row r="2828" spans="1:11" s="2" customFormat="1" x14ac:dyDescent="0.25">
      <c r="A2828" s="28" t="s">
        <v>5153</v>
      </c>
      <c r="B2828" s="29">
        <v>59</v>
      </c>
      <c r="C2828" s="28"/>
      <c r="D2828" s="28" t="s">
        <v>5151</v>
      </c>
      <c r="E2828" s="3"/>
      <c r="H2828" s="7"/>
      <c r="K2828" s="30"/>
    </row>
    <row r="2829" spans="1:11" s="2" customFormat="1" x14ac:dyDescent="0.25">
      <c r="A2829" s="28" t="s">
        <v>5154</v>
      </c>
      <c r="B2829" s="29">
        <v>15</v>
      </c>
      <c r="C2829" s="28"/>
      <c r="D2829" s="28" t="s">
        <v>5155</v>
      </c>
      <c r="E2829" s="3"/>
      <c r="H2829" s="7"/>
      <c r="K2829" s="30"/>
    </row>
    <row r="2830" spans="1:11" s="2" customFormat="1" x14ac:dyDescent="0.25">
      <c r="A2830" s="28" t="s">
        <v>5156</v>
      </c>
      <c r="B2830" s="29">
        <v>22</v>
      </c>
      <c r="C2830" s="28"/>
      <c r="D2830" s="28" t="s">
        <v>5157</v>
      </c>
      <c r="E2830" s="3"/>
      <c r="H2830" s="7"/>
      <c r="K2830" s="30"/>
    </row>
    <row r="2831" spans="1:11" s="2" customFormat="1" x14ac:dyDescent="0.25">
      <c r="A2831" s="28" t="s">
        <v>5158</v>
      </c>
      <c r="B2831" s="29">
        <v>20</v>
      </c>
      <c r="C2831" s="28"/>
      <c r="D2831" s="28" t="s">
        <v>5159</v>
      </c>
      <c r="E2831" s="3"/>
      <c r="H2831" s="7"/>
      <c r="K2831" s="30"/>
    </row>
    <row r="2832" spans="1:11" s="2" customFormat="1" x14ac:dyDescent="0.25">
      <c r="A2832" s="28" t="s">
        <v>5160</v>
      </c>
      <c r="B2832" s="29">
        <v>5</v>
      </c>
      <c r="C2832" s="28"/>
      <c r="D2832" s="28" t="s">
        <v>5161</v>
      </c>
      <c r="E2832" s="3"/>
      <c r="H2832" s="7"/>
      <c r="K2832" s="30"/>
    </row>
    <row r="2833" spans="1:11" s="2" customFormat="1" x14ac:dyDescent="0.25">
      <c r="A2833" s="28" t="s">
        <v>5162</v>
      </c>
      <c r="B2833" s="29">
        <v>1</v>
      </c>
      <c r="C2833" s="28"/>
      <c r="D2833" s="28" t="s">
        <v>5163</v>
      </c>
      <c r="E2833" s="3"/>
      <c r="H2833" s="7"/>
      <c r="K2833" s="30"/>
    </row>
    <row r="2834" spans="1:11" s="2" customFormat="1" x14ac:dyDescent="0.25">
      <c r="A2834" s="28" t="s">
        <v>5164</v>
      </c>
      <c r="B2834" s="29">
        <v>144</v>
      </c>
      <c r="C2834" s="28"/>
      <c r="D2834" s="28" t="s">
        <v>5163</v>
      </c>
      <c r="E2834" s="3"/>
      <c r="H2834" s="7"/>
      <c r="K2834" s="30"/>
    </row>
    <row r="2835" spans="1:11" s="2" customFormat="1" x14ac:dyDescent="0.25">
      <c r="A2835" s="28" t="s">
        <v>5165</v>
      </c>
      <c r="B2835" s="29">
        <v>2</v>
      </c>
      <c r="C2835" s="28"/>
      <c r="D2835" s="28" t="s">
        <v>5163</v>
      </c>
      <c r="E2835" s="3"/>
      <c r="H2835" s="7"/>
      <c r="K2835" s="30"/>
    </row>
    <row r="2836" spans="1:11" s="2" customFormat="1" x14ac:dyDescent="0.25">
      <c r="A2836" s="28" t="s">
        <v>5166</v>
      </c>
      <c r="B2836" s="29">
        <v>20</v>
      </c>
      <c r="C2836" s="28"/>
      <c r="D2836" s="28" t="s">
        <v>5163</v>
      </c>
      <c r="E2836" s="3"/>
      <c r="H2836" s="7"/>
      <c r="K2836" s="30"/>
    </row>
    <row r="2837" spans="1:11" s="2" customFormat="1" x14ac:dyDescent="0.25">
      <c r="A2837" s="28" t="s">
        <v>5167</v>
      </c>
      <c r="B2837" s="29">
        <v>20</v>
      </c>
      <c r="C2837" s="28"/>
      <c r="D2837" s="28" t="s">
        <v>5163</v>
      </c>
      <c r="E2837" s="3"/>
      <c r="H2837" s="7"/>
      <c r="K2837" s="30"/>
    </row>
    <row r="2838" spans="1:11" s="2" customFormat="1" x14ac:dyDescent="0.25">
      <c r="A2838" s="28" t="s">
        <v>5168</v>
      </c>
      <c r="B2838" s="29">
        <v>3</v>
      </c>
      <c r="C2838" s="28"/>
      <c r="D2838" s="28" t="s">
        <v>5163</v>
      </c>
      <c r="E2838" s="3"/>
      <c r="H2838" s="7"/>
      <c r="K2838" s="30"/>
    </row>
    <row r="2839" spans="1:11" s="2" customFormat="1" x14ac:dyDescent="0.25">
      <c r="A2839" s="28" t="s">
        <v>5169</v>
      </c>
      <c r="B2839" s="29">
        <v>2</v>
      </c>
      <c r="C2839" s="28"/>
      <c r="D2839" s="28" t="s">
        <v>5163</v>
      </c>
      <c r="E2839" s="3"/>
      <c r="H2839" s="7"/>
      <c r="K2839" s="30"/>
    </row>
    <row r="2840" spans="1:11" s="2" customFormat="1" x14ac:dyDescent="0.25">
      <c r="A2840" s="28" t="s">
        <v>5170</v>
      </c>
      <c r="B2840" s="29">
        <v>5</v>
      </c>
      <c r="C2840" s="28"/>
      <c r="D2840" s="28" t="s">
        <v>5163</v>
      </c>
      <c r="E2840" s="3"/>
      <c r="H2840" s="7"/>
      <c r="K2840" s="30"/>
    </row>
    <row r="2841" spans="1:11" s="2" customFormat="1" x14ac:dyDescent="0.25">
      <c r="A2841" s="28" t="s">
        <v>5171</v>
      </c>
      <c r="B2841" s="29">
        <v>2</v>
      </c>
      <c r="C2841" s="28"/>
      <c r="D2841" s="28" t="s">
        <v>5163</v>
      </c>
      <c r="E2841" s="3"/>
      <c r="H2841" s="7"/>
      <c r="K2841" s="30"/>
    </row>
    <row r="2842" spans="1:11" s="2" customFormat="1" x14ac:dyDescent="0.25">
      <c r="A2842" s="28" t="s">
        <v>5172</v>
      </c>
      <c r="B2842" s="29">
        <v>1</v>
      </c>
      <c r="C2842" s="28"/>
      <c r="D2842" s="28" t="s">
        <v>5163</v>
      </c>
      <c r="E2842" s="3"/>
      <c r="H2842" s="7"/>
      <c r="K2842" s="30"/>
    </row>
    <row r="2843" spans="1:11" s="2" customFormat="1" x14ac:dyDescent="0.25">
      <c r="A2843" s="28" t="s">
        <v>5173</v>
      </c>
      <c r="B2843" s="29">
        <v>1</v>
      </c>
      <c r="C2843" s="28"/>
      <c r="D2843" s="28" t="s">
        <v>5163</v>
      </c>
      <c r="E2843" s="3"/>
      <c r="H2843" s="7"/>
      <c r="K2843" s="30"/>
    </row>
    <row r="2844" spans="1:11" s="2" customFormat="1" x14ac:dyDescent="0.25">
      <c r="A2844" s="28" t="s">
        <v>5174</v>
      </c>
      <c r="B2844" s="29">
        <v>28</v>
      </c>
      <c r="C2844" s="28"/>
      <c r="D2844" s="28" t="s">
        <v>5175</v>
      </c>
      <c r="E2844" s="3"/>
      <c r="H2844" s="7"/>
      <c r="K2844" s="30"/>
    </row>
    <row r="2845" spans="1:11" s="2" customFormat="1" x14ac:dyDescent="0.25">
      <c r="A2845" s="28" t="s">
        <v>5176</v>
      </c>
      <c r="B2845" s="29">
        <v>16</v>
      </c>
      <c r="C2845" s="28"/>
      <c r="D2845" s="28" t="s">
        <v>5175</v>
      </c>
      <c r="E2845" s="3"/>
      <c r="H2845" s="7"/>
      <c r="K2845" s="30"/>
    </row>
    <row r="2846" spans="1:11" s="2" customFormat="1" x14ac:dyDescent="0.25">
      <c r="A2846" s="28" t="s">
        <v>5177</v>
      </c>
      <c r="B2846" s="29">
        <v>5</v>
      </c>
      <c r="C2846" s="28"/>
      <c r="D2846" s="28" t="s">
        <v>5175</v>
      </c>
      <c r="E2846" s="3"/>
      <c r="H2846" s="7"/>
      <c r="K2846" s="30"/>
    </row>
    <row r="2847" spans="1:11" s="2" customFormat="1" x14ac:dyDescent="0.25">
      <c r="A2847" s="28" t="s">
        <v>5178</v>
      </c>
      <c r="B2847" s="29">
        <v>3</v>
      </c>
      <c r="C2847" s="28"/>
      <c r="D2847" s="28" t="s">
        <v>5175</v>
      </c>
      <c r="E2847" s="3"/>
      <c r="H2847" s="7"/>
      <c r="K2847" s="30"/>
    </row>
    <row r="2848" spans="1:11" s="2" customFormat="1" x14ac:dyDescent="0.25">
      <c r="A2848" s="28" t="s">
        <v>5179</v>
      </c>
      <c r="B2848" s="29">
        <v>1</v>
      </c>
      <c r="C2848" s="28"/>
      <c r="D2848" s="28" t="s">
        <v>5175</v>
      </c>
      <c r="E2848" s="3"/>
      <c r="H2848" s="7"/>
      <c r="K2848" s="30"/>
    </row>
    <row r="2849" spans="1:11" s="2" customFormat="1" x14ac:dyDescent="0.25">
      <c r="A2849" s="28" t="s">
        <v>5180</v>
      </c>
      <c r="B2849" s="29">
        <v>1</v>
      </c>
      <c r="C2849" s="28"/>
      <c r="D2849" s="28" t="s">
        <v>5175</v>
      </c>
      <c r="E2849" s="3"/>
      <c r="H2849" s="7"/>
      <c r="K2849" s="30"/>
    </row>
    <row r="2850" spans="1:11" s="2" customFormat="1" x14ac:dyDescent="0.25">
      <c r="A2850" s="28" t="s">
        <v>5181</v>
      </c>
      <c r="B2850" s="29">
        <v>338</v>
      </c>
      <c r="C2850" s="28"/>
      <c r="D2850" s="28" t="s">
        <v>5182</v>
      </c>
      <c r="E2850" s="3"/>
      <c r="H2850" s="7"/>
      <c r="K2850" s="30"/>
    </row>
    <row r="2851" spans="1:11" s="2" customFormat="1" x14ac:dyDescent="0.25">
      <c r="A2851" s="28" t="s">
        <v>5183</v>
      </c>
      <c r="B2851" s="29">
        <v>8</v>
      </c>
      <c r="C2851" s="28"/>
      <c r="D2851" s="28" t="s">
        <v>5182</v>
      </c>
      <c r="E2851" s="3"/>
      <c r="H2851" s="7"/>
      <c r="K2851" s="30"/>
    </row>
    <row r="2852" spans="1:11" s="2" customFormat="1" x14ac:dyDescent="0.25">
      <c r="A2852" s="28" t="s">
        <v>5184</v>
      </c>
      <c r="B2852" s="29">
        <v>9</v>
      </c>
      <c r="C2852" s="28"/>
      <c r="D2852" s="28" t="s">
        <v>5185</v>
      </c>
      <c r="E2852" s="3"/>
      <c r="H2852" s="7"/>
      <c r="K2852" s="30"/>
    </row>
    <row r="2853" spans="1:11" s="2" customFormat="1" x14ac:dyDescent="0.25">
      <c r="A2853" s="28" t="s">
        <v>5186</v>
      </c>
      <c r="B2853" s="29">
        <v>1</v>
      </c>
      <c r="C2853" s="28"/>
      <c r="D2853" s="28" t="s">
        <v>5187</v>
      </c>
      <c r="E2853" s="3"/>
      <c r="H2853" s="7"/>
      <c r="K2853" s="30"/>
    </row>
    <row r="2854" spans="1:11" s="2" customFormat="1" x14ac:dyDescent="0.25">
      <c r="A2854" s="28" t="s">
        <v>5188</v>
      </c>
      <c r="B2854" s="29">
        <v>3654</v>
      </c>
      <c r="C2854" s="28"/>
      <c r="D2854" s="28" t="s">
        <v>37</v>
      </c>
      <c r="E2854" s="3"/>
      <c r="H2854" s="7"/>
      <c r="K2854" s="30"/>
    </row>
    <row r="2855" spans="1:11" s="2" customFormat="1" x14ac:dyDescent="0.25">
      <c r="A2855" s="28" t="s">
        <v>5189</v>
      </c>
      <c r="B2855" s="29">
        <v>317</v>
      </c>
      <c r="C2855" s="28"/>
      <c r="D2855" s="28" t="s">
        <v>37</v>
      </c>
      <c r="E2855" s="3"/>
      <c r="H2855" s="7"/>
      <c r="K2855" s="30"/>
    </row>
    <row r="2856" spans="1:11" s="2" customFormat="1" x14ac:dyDescent="0.25">
      <c r="A2856" s="28" t="s">
        <v>5190</v>
      </c>
      <c r="B2856" s="29">
        <v>163</v>
      </c>
      <c r="C2856" s="28"/>
      <c r="D2856" s="28" t="s">
        <v>37</v>
      </c>
      <c r="E2856" s="3"/>
      <c r="H2856" s="7"/>
      <c r="K2856" s="30"/>
    </row>
    <row r="2857" spans="1:11" s="2" customFormat="1" x14ac:dyDescent="0.25">
      <c r="A2857" s="28" t="s">
        <v>5191</v>
      </c>
      <c r="B2857" s="29">
        <v>106</v>
      </c>
      <c r="C2857" s="28"/>
      <c r="D2857" s="28" t="s">
        <v>37</v>
      </c>
      <c r="E2857" s="3"/>
      <c r="H2857" s="7"/>
      <c r="K2857" s="30"/>
    </row>
    <row r="2858" spans="1:11" s="2" customFormat="1" x14ac:dyDescent="0.25">
      <c r="A2858" s="28" t="s">
        <v>5192</v>
      </c>
      <c r="B2858" s="29">
        <v>1</v>
      </c>
      <c r="C2858" s="28"/>
      <c r="D2858" s="28" t="s">
        <v>37</v>
      </c>
      <c r="E2858" s="3"/>
      <c r="H2858" s="7"/>
      <c r="K2858" s="30"/>
    </row>
    <row r="2859" spans="1:11" s="2" customFormat="1" x14ac:dyDescent="0.25">
      <c r="A2859" s="28" t="s">
        <v>5193</v>
      </c>
      <c r="B2859" s="29">
        <v>80</v>
      </c>
      <c r="C2859" s="28"/>
      <c r="D2859" s="28" t="s">
        <v>37</v>
      </c>
      <c r="E2859" s="3"/>
      <c r="H2859" s="7"/>
      <c r="K2859" s="30"/>
    </row>
    <row r="2860" spans="1:11" s="2" customFormat="1" x14ac:dyDescent="0.25">
      <c r="A2860" s="28" t="s">
        <v>2189</v>
      </c>
      <c r="B2860" s="29">
        <v>8</v>
      </c>
      <c r="C2860" s="28"/>
      <c r="D2860" s="28" t="s">
        <v>37</v>
      </c>
      <c r="E2860" s="3"/>
      <c r="H2860" s="7"/>
      <c r="K2860" s="30"/>
    </row>
    <row r="2861" spans="1:11" s="2" customFormat="1" x14ac:dyDescent="0.25">
      <c r="A2861" s="28" t="s">
        <v>5194</v>
      </c>
      <c r="B2861" s="29">
        <v>6</v>
      </c>
      <c r="C2861" s="28"/>
      <c r="D2861" s="28" t="s">
        <v>37</v>
      </c>
      <c r="E2861" s="3"/>
      <c r="H2861" s="7"/>
      <c r="K2861" s="30"/>
    </row>
    <row r="2862" spans="1:11" s="2" customFormat="1" x14ac:dyDescent="0.25">
      <c r="A2862" s="28" t="s">
        <v>5195</v>
      </c>
      <c r="B2862" s="29">
        <v>4</v>
      </c>
      <c r="C2862" s="28"/>
      <c r="D2862" s="28" t="s">
        <v>37</v>
      </c>
      <c r="E2862" s="3"/>
      <c r="H2862" s="7"/>
      <c r="K2862" s="30"/>
    </row>
    <row r="2863" spans="1:11" s="2" customFormat="1" x14ac:dyDescent="0.25">
      <c r="A2863" s="28" t="s">
        <v>5196</v>
      </c>
      <c r="B2863" s="29">
        <v>16</v>
      </c>
      <c r="C2863" s="28"/>
      <c r="D2863" s="28" t="s">
        <v>37</v>
      </c>
      <c r="E2863" s="3"/>
      <c r="H2863" s="7"/>
      <c r="K2863" s="30"/>
    </row>
    <row r="2864" spans="1:11" s="2" customFormat="1" x14ac:dyDescent="0.25">
      <c r="A2864" s="28" t="s">
        <v>5197</v>
      </c>
      <c r="B2864" s="29">
        <v>16</v>
      </c>
      <c r="C2864" s="28"/>
      <c r="D2864" s="28" t="s">
        <v>37</v>
      </c>
      <c r="E2864" s="3"/>
      <c r="H2864" s="7"/>
      <c r="K2864" s="30"/>
    </row>
    <row r="2865" spans="1:11" s="2" customFormat="1" x14ac:dyDescent="0.25">
      <c r="A2865" s="28" t="s">
        <v>5198</v>
      </c>
      <c r="B2865" s="29">
        <v>7</v>
      </c>
      <c r="C2865" s="28"/>
      <c r="D2865" s="28" t="s">
        <v>37</v>
      </c>
      <c r="E2865" s="3"/>
      <c r="H2865" s="7"/>
      <c r="K2865" s="30"/>
    </row>
    <row r="2866" spans="1:11" s="2" customFormat="1" x14ac:dyDescent="0.25">
      <c r="A2866" s="28" t="s">
        <v>5199</v>
      </c>
      <c r="B2866" s="29">
        <v>4</v>
      </c>
      <c r="C2866" s="28"/>
      <c r="D2866" s="28" t="s">
        <v>37</v>
      </c>
      <c r="E2866" s="3"/>
      <c r="H2866" s="7"/>
      <c r="K2866" s="30"/>
    </row>
    <row r="2867" spans="1:11" s="2" customFormat="1" x14ac:dyDescent="0.25">
      <c r="A2867" s="28" t="s">
        <v>5200</v>
      </c>
      <c r="B2867" s="29">
        <v>2</v>
      </c>
      <c r="C2867" s="28"/>
      <c r="D2867" s="28" t="s">
        <v>37</v>
      </c>
      <c r="E2867" s="3"/>
      <c r="H2867" s="7"/>
      <c r="K2867" s="30"/>
    </row>
    <row r="2868" spans="1:11" s="2" customFormat="1" x14ac:dyDescent="0.25">
      <c r="A2868" s="28" t="s">
        <v>5201</v>
      </c>
      <c r="B2868" s="29">
        <v>30</v>
      </c>
      <c r="C2868" s="28"/>
      <c r="D2868" s="28" t="s">
        <v>37</v>
      </c>
      <c r="E2868" s="3"/>
      <c r="H2868" s="7"/>
      <c r="K2868" s="30"/>
    </row>
    <row r="2869" spans="1:11" s="2" customFormat="1" x14ac:dyDescent="0.25">
      <c r="A2869" s="28" t="s">
        <v>5202</v>
      </c>
      <c r="B2869" s="29">
        <v>6</v>
      </c>
      <c r="C2869" s="28"/>
      <c r="D2869" s="28" t="s">
        <v>37</v>
      </c>
      <c r="E2869" s="3"/>
      <c r="H2869" s="7"/>
      <c r="K2869" s="30"/>
    </row>
    <row r="2870" spans="1:11" s="2" customFormat="1" x14ac:dyDescent="0.25">
      <c r="A2870" s="28" t="s">
        <v>5203</v>
      </c>
      <c r="B2870" s="29">
        <v>13</v>
      </c>
      <c r="C2870" s="28"/>
      <c r="D2870" s="28" t="s">
        <v>37</v>
      </c>
      <c r="E2870" s="3"/>
      <c r="H2870" s="7"/>
      <c r="K2870" s="30"/>
    </row>
    <row r="2871" spans="1:11" s="2" customFormat="1" x14ac:dyDescent="0.25">
      <c r="A2871" s="28" t="s">
        <v>5204</v>
      </c>
      <c r="B2871" s="29">
        <v>5</v>
      </c>
      <c r="C2871" s="28"/>
      <c r="D2871" s="28" t="s">
        <v>37</v>
      </c>
      <c r="E2871" s="3"/>
      <c r="H2871" s="7"/>
      <c r="K2871" s="30"/>
    </row>
    <row r="2872" spans="1:11" s="2" customFormat="1" x14ac:dyDescent="0.25">
      <c r="A2872" s="28" t="s">
        <v>5205</v>
      </c>
      <c r="B2872" s="29">
        <v>10</v>
      </c>
      <c r="C2872" s="28"/>
      <c r="D2872" s="28" t="s">
        <v>37</v>
      </c>
      <c r="E2872" s="3"/>
      <c r="H2872" s="7"/>
      <c r="K2872" s="30"/>
    </row>
    <row r="2873" spans="1:11" s="2" customFormat="1" x14ac:dyDescent="0.25">
      <c r="A2873" s="28" t="s">
        <v>5206</v>
      </c>
      <c r="B2873" s="29">
        <v>10</v>
      </c>
      <c r="C2873" s="28"/>
      <c r="D2873" s="28" t="s">
        <v>37</v>
      </c>
      <c r="E2873" s="3"/>
      <c r="H2873" s="7"/>
      <c r="K2873" s="30"/>
    </row>
    <row r="2874" spans="1:11" s="2" customFormat="1" x14ac:dyDescent="0.25">
      <c r="A2874" s="28" t="s">
        <v>5207</v>
      </c>
      <c r="B2874" s="29">
        <v>23</v>
      </c>
      <c r="C2874" s="28"/>
      <c r="D2874" s="28" t="s">
        <v>37</v>
      </c>
      <c r="E2874" s="3"/>
      <c r="H2874" s="7"/>
      <c r="K2874" s="30"/>
    </row>
    <row r="2875" spans="1:11" s="2" customFormat="1" x14ac:dyDescent="0.25">
      <c r="A2875" s="28" t="s">
        <v>5208</v>
      </c>
      <c r="B2875" s="29">
        <v>4</v>
      </c>
      <c r="C2875" s="28"/>
      <c r="D2875" s="28" t="s">
        <v>37</v>
      </c>
      <c r="E2875" s="3"/>
      <c r="H2875" s="7"/>
      <c r="K2875" s="30"/>
    </row>
    <row r="2876" spans="1:11" s="2" customFormat="1" x14ac:dyDescent="0.25">
      <c r="A2876" s="28" t="s">
        <v>5209</v>
      </c>
      <c r="B2876" s="29">
        <v>12</v>
      </c>
      <c r="C2876" s="28"/>
      <c r="D2876" s="28" t="s">
        <v>37</v>
      </c>
      <c r="E2876" s="3"/>
      <c r="H2876" s="7"/>
      <c r="K2876" s="30"/>
    </row>
    <row r="2877" spans="1:11" s="2" customFormat="1" x14ac:dyDescent="0.25">
      <c r="A2877" s="28" t="s">
        <v>5210</v>
      </c>
      <c r="B2877" s="29">
        <v>3</v>
      </c>
      <c r="C2877" s="28"/>
      <c r="D2877" s="28" t="s">
        <v>37</v>
      </c>
      <c r="E2877" s="3"/>
      <c r="H2877" s="7"/>
      <c r="K2877" s="30"/>
    </row>
    <row r="2878" spans="1:11" s="2" customFormat="1" x14ac:dyDescent="0.25">
      <c r="A2878" s="28" t="s">
        <v>5211</v>
      </c>
      <c r="B2878" s="29">
        <v>12</v>
      </c>
      <c r="C2878" s="28"/>
      <c r="D2878" s="28" t="s">
        <v>37</v>
      </c>
      <c r="E2878" s="3"/>
      <c r="H2878" s="7"/>
      <c r="K2878" s="30"/>
    </row>
    <row r="2879" spans="1:11" s="2" customFormat="1" x14ac:dyDescent="0.25">
      <c r="A2879" s="28" t="s">
        <v>5212</v>
      </c>
      <c r="B2879" s="29">
        <v>17</v>
      </c>
      <c r="C2879" s="28"/>
      <c r="D2879" s="28" t="s">
        <v>37</v>
      </c>
      <c r="E2879" s="3"/>
      <c r="H2879" s="7"/>
      <c r="K2879" s="30"/>
    </row>
    <row r="2880" spans="1:11" s="2" customFormat="1" x14ac:dyDescent="0.25">
      <c r="A2880" s="28" t="s">
        <v>5213</v>
      </c>
      <c r="B2880" s="29">
        <v>12</v>
      </c>
      <c r="C2880" s="28"/>
      <c r="D2880" s="28" t="s">
        <v>37</v>
      </c>
      <c r="E2880" s="3"/>
      <c r="H2880" s="7"/>
      <c r="K2880" s="30"/>
    </row>
    <row r="2881" spans="1:11" s="2" customFormat="1" x14ac:dyDescent="0.25">
      <c r="A2881" s="28" t="s">
        <v>5214</v>
      </c>
      <c r="B2881" s="29">
        <v>11</v>
      </c>
      <c r="C2881" s="28"/>
      <c r="D2881" s="28" t="s">
        <v>37</v>
      </c>
      <c r="E2881" s="3"/>
      <c r="H2881" s="7"/>
      <c r="K2881" s="30"/>
    </row>
    <row r="2882" spans="1:11" s="2" customFormat="1" x14ac:dyDescent="0.25">
      <c r="A2882" s="28" t="s">
        <v>5215</v>
      </c>
      <c r="B2882" s="29">
        <v>6</v>
      </c>
      <c r="C2882" s="28"/>
      <c r="D2882" s="28" t="s">
        <v>37</v>
      </c>
      <c r="E2882" s="3"/>
      <c r="H2882" s="7"/>
      <c r="K2882" s="30"/>
    </row>
    <row r="2883" spans="1:11" s="2" customFormat="1" x14ac:dyDescent="0.25">
      <c r="A2883" s="28" t="s">
        <v>5216</v>
      </c>
      <c r="B2883" s="29">
        <v>10</v>
      </c>
      <c r="C2883" s="28"/>
      <c r="D2883" s="28" t="s">
        <v>37</v>
      </c>
      <c r="E2883" s="3"/>
      <c r="H2883" s="7"/>
      <c r="K2883" s="30"/>
    </row>
    <row r="2884" spans="1:11" s="2" customFormat="1" x14ac:dyDescent="0.25">
      <c r="A2884" s="28" t="s">
        <v>5217</v>
      </c>
      <c r="B2884" s="29">
        <v>4</v>
      </c>
      <c r="C2884" s="28"/>
      <c r="D2884" s="28" t="s">
        <v>37</v>
      </c>
      <c r="E2884" s="3"/>
      <c r="H2884" s="7"/>
      <c r="K2884" s="30"/>
    </row>
    <row r="2885" spans="1:11" s="2" customFormat="1" x14ac:dyDescent="0.25">
      <c r="A2885" s="28" t="s">
        <v>5218</v>
      </c>
      <c r="B2885" s="29">
        <v>12</v>
      </c>
      <c r="C2885" s="28"/>
      <c r="D2885" s="28" t="s">
        <v>37</v>
      </c>
      <c r="E2885" s="3"/>
      <c r="H2885" s="7"/>
      <c r="K2885" s="30"/>
    </row>
    <row r="2886" spans="1:11" s="2" customFormat="1" x14ac:dyDescent="0.25">
      <c r="A2886" s="28" t="s">
        <v>5219</v>
      </c>
      <c r="B2886" s="29">
        <v>13</v>
      </c>
      <c r="C2886" s="28"/>
      <c r="D2886" s="28" t="s">
        <v>37</v>
      </c>
      <c r="E2886" s="3"/>
      <c r="H2886" s="7"/>
      <c r="K2886" s="30"/>
    </row>
    <row r="2887" spans="1:11" s="2" customFormat="1" x14ac:dyDescent="0.25">
      <c r="A2887" s="28" t="s">
        <v>5220</v>
      </c>
      <c r="B2887" s="29">
        <v>14</v>
      </c>
      <c r="C2887" s="28"/>
      <c r="D2887" s="28" t="s">
        <v>37</v>
      </c>
      <c r="E2887" s="3"/>
      <c r="H2887" s="7"/>
      <c r="K2887" s="30"/>
    </row>
    <row r="2888" spans="1:11" s="2" customFormat="1" x14ac:dyDescent="0.25">
      <c r="A2888" s="28" t="s">
        <v>5221</v>
      </c>
      <c r="B2888" s="29">
        <v>1</v>
      </c>
      <c r="C2888" s="28"/>
      <c r="D2888" s="28" t="s">
        <v>37</v>
      </c>
      <c r="E2888" s="3"/>
      <c r="H2888" s="7"/>
      <c r="K2888" s="30"/>
    </row>
    <row r="2889" spans="1:11" s="2" customFormat="1" x14ac:dyDescent="0.25">
      <c r="A2889" s="28" t="s">
        <v>5222</v>
      </c>
      <c r="B2889" s="29">
        <v>12</v>
      </c>
      <c r="C2889" s="28"/>
      <c r="D2889" s="28" t="s">
        <v>37</v>
      </c>
      <c r="E2889" s="3"/>
      <c r="H2889" s="7"/>
      <c r="K2889" s="30"/>
    </row>
    <row r="2890" spans="1:11" s="2" customFormat="1" x14ac:dyDescent="0.25">
      <c r="A2890" s="28" t="s">
        <v>5223</v>
      </c>
      <c r="B2890" s="29">
        <v>10</v>
      </c>
      <c r="C2890" s="28"/>
      <c r="D2890" s="28" t="s">
        <v>37</v>
      </c>
      <c r="E2890" s="3"/>
      <c r="H2890" s="7"/>
      <c r="K2890" s="30"/>
    </row>
    <row r="2891" spans="1:11" s="2" customFormat="1" x14ac:dyDescent="0.25">
      <c r="A2891" s="28" t="s">
        <v>5224</v>
      </c>
      <c r="B2891" s="29">
        <v>5</v>
      </c>
      <c r="C2891" s="28"/>
      <c r="D2891" s="28" t="s">
        <v>37</v>
      </c>
      <c r="E2891" s="3"/>
      <c r="H2891" s="7"/>
      <c r="K2891" s="30"/>
    </row>
    <row r="2892" spans="1:11" s="2" customFormat="1" x14ac:dyDescent="0.25">
      <c r="A2892" s="28" t="s">
        <v>5225</v>
      </c>
      <c r="B2892" s="29">
        <v>5</v>
      </c>
      <c r="C2892" s="28"/>
      <c r="D2892" s="28" t="s">
        <v>37</v>
      </c>
      <c r="E2892" s="3"/>
      <c r="H2892" s="7"/>
      <c r="K2892" s="30"/>
    </row>
    <row r="2893" spans="1:11" s="2" customFormat="1" x14ac:dyDescent="0.25">
      <c r="A2893" s="28" t="s">
        <v>5226</v>
      </c>
      <c r="B2893" s="29">
        <v>12</v>
      </c>
      <c r="C2893" s="28"/>
      <c r="D2893" s="28" t="s">
        <v>37</v>
      </c>
      <c r="E2893" s="3"/>
      <c r="H2893" s="7"/>
      <c r="K2893" s="30"/>
    </row>
    <row r="2894" spans="1:11" s="2" customFormat="1" x14ac:dyDescent="0.25">
      <c r="A2894" s="28" t="s">
        <v>5227</v>
      </c>
      <c r="B2894" s="29">
        <v>2</v>
      </c>
      <c r="C2894" s="28"/>
      <c r="D2894" s="28" t="s">
        <v>37</v>
      </c>
      <c r="E2894" s="3"/>
      <c r="H2894" s="7"/>
      <c r="K2894" s="30"/>
    </row>
    <row r="2895" spans="1:11" s="2" customFormat="1" x14ac:dyDescent="0.25">
      <c r="A2895" s="28" t="s">
        <v>5228</v>
      </c>
      <c r="B2895" s="29">
        <v>6</v>
      </c>
      <c r="C2895" s="28"/>
      <c r="D2895" s="28" t="s">
        <v>37</v>
      </c>
      <c r="E2895" s="3"/>
      <c r="H2895" s="7"/>
      <c r="K2895" s="30"/>
    </row>
    <row r="2896" spans="1:11" s="2" customFormat="1" x14ac:dyDescent="0.25">
      <c r="A2896" s="28" t="s">
        <v>5229</v>
      </c>
      <c r="B2896" s="29">
        <v>6</v>
      </c>
      <c r="C2896" s="28"/>
      <c r="D2896" s="28" t="s">
        <v>37</v>
      </c>
      <c r="E2896" s="3"/>
      <c r="H2896" s="7"/>
      <c r="K2896" s="30"/>
    </row>
    <row r="2897" spans="1:11" s="2" customFormat="1" x14ac:dyDescent="0.25">
      <c r="A2897" s="28" t="s">
        <v>5230</v>
      </c>
      <c r="B2897" s="29">
        <v>7</v>
      </c>
      <c r="C2897" s="28"/>
      <c r="D2897" s="28" t="s">
        <v>37</v>
      </c>
      <c r="E2897" s="3"/>
      <c r="H2897" s="7"/>
      <c r="K2897" s="30"/>
    </row>
    <row r="2898" spans="1:11" s="2" customFormat="1" x14ac:dyDescent="0.25">
      <c r="A2898" s="28" t="s">
        <v>5231</v>
      </c>
      <c r="B2898" s="29">
        <v>15</v>
      </c>
      <c r="C2898" s="28"/>
      <c r="D2898" s="28" t="s">
        <v>37</v>
      </c>
      <c r="E2898" s="3"/>
      <c r="H2898" s="7"/>
      <c r="K2898" s="30"/>
    </row>
    <row r="2899" spans="1:11" s="2" customFormat="1" x14ac:dyDescent="0.25">
      <c r="A2899" s="28" t="s">
        <v>5232</v>
      </c>
      <c r="B2899" s="29">
        <v>5</v>
      </c>
      <c r="C2899" s="28"/>
      <c r="D2899" s="28" t="s">
        <v>37</v>
      </c>
      <c r="E2899" s="3"/>
      <c r="H2899" s="7"/>
      <c r="K2899" s="30"/>
    </row>
    <row r="2900" spans="1:11" s="2" customFormat="1" x14ac:dyDescent="0.25">
      <c r="A2900" s="28" t="s">
        <v>5233</v>
      </c>
      <c r="B2900" s="29">
        <v>3</v>
      </c>
      <c r="C2900" s="28"/>
      <c r="D2900" s="28" t="s">
        <v>37</v>
      </c>
      <c r="E2900" s="3"/>
      <c r="H2900" s="7"/>
      <c r="K2900" s="30"/>
    </row>
    <row r="2901" spans="1:11" s="2" customFormat="1" x14ac:dyDescent="0.25">
      <c r="A2901" s="28" t="s">
        <v>5234</v>
      </c>
      <c r="B2901" s="29">
        <v>3</v>
      </c>
      <c r="C2901" s="28"/>
      <c r="D2901" s="28" t="s">
        <v>37</v>
      </c>
      <c r="E2901" s="3"/>
      <c r="H2901" s="7"/>
      <c r="K2901" s="30"/>
    </row>
    <row r="2902" spans="1:11" s="2" customFormat="1" x14ac:dyDescent="0.25">
      <c r="A2902" s="28" t="s">
        <v>5235</v>
      </c>
      <c r="B2902" s="29">
        <v>3</v>
      </c>
      <c r="C2902" s="28"/>
      <c r="D2902" s="28" t="s">
        <v>37</v>
      </c>
      <c r="E2902" s="3"/>
      <c r="H2902" s="7"/>
      <c r="K2902" s="30"/>
    </row>
    <row r="2903" spans="1:11" s="2" customFormat="1" x14ac:dyDescent="0.25">
      <c r="A2903" s="28" t="s">
        <v>5236</v>
      </c>
      <c r="B2903" s="29">
        <v>4</v>
      </c>
      <c r="C2903" s="28"/>
      <c r="D2903" s="28" t="s">
        <v>37</v>
      </c>
      <c r="E2903" s="3"/>
      <c r="H2903" s="7"/>
      <c r="K2903" s="30"/>
    </row>
    <row r="2904" spans="1:11" s="2" customFormat="1" x14ac:dyDescent="0.25">
      <c r="A2904" s="28" t="s">
        <v>5237</v>
      </c>
      <c r="B2904" s="29">
        <v>4</v>
      </c>
      <c r="C2904" s="28"/>
      <c r="D2904" s="28" t="s">
        <v>37</v>
      </c>
      <c r="E2904" s="3"/>
      <c r="H2904" s="7"/>
      <c r="K2904" s="30"/>
    </row>
    <row r="2905" spans="1:11" s="2" customFormat="1" x14ac:dyDescent="0.25">
      <c r="A2905" s="28" t="s">
        <v>5238</v>
      </c>
      <c r="B2905" s="29">
        <v>3</v>
      </c>
      <c r="C2905" s="28"/>
      <c r="D2905" s="28" t="s">
        <v>37</v>
      </c>
      <c r="E2905" s="3"/>
      <c r="H2905" s="7"/>
      <c r="K2905" s="30"/>
    </row>
    <row r="2906" spans="1:11" s="2" customFormat="1" x14ac:dyDescent="0.25">
      <c r="A2906" s="28" t="s">
        <v>5239</v>
      </c>
      <c r="B2906" s="29">
        <v>8</v>
      </c>
      <c r="C2906" s="28"/>
      <c r="D2906" s="28" t="s">
        <v>37</v>
      </c>
      <c r="E2906" s="3"/>
      <c r="H2906" s="7"/>
      <c r="K2906" s="30"/>
    </row>
    <row r="2907" spans="1:11" s="2" customFormat="1" x14ac:dyDescent="0.25">
      <c r="A2907" s="28" t="s">
        <v>5240</v>
      </c>
      <c r="B2907" s="29">
        <v>2</v>
      </c>
      <c r="C2907" s="28"/>
      <c r="D2907" s="28" t="s">
        <v>37</v>
      </c>
      <c r="E2907" s="3"/>
      <c r="H2907" s="7"/>
      <c r="K2907" s="30"/>
    </row>
    <row r="2908" spans="1:11" s="2" customFormat="1" x14ac:dyDescent="0.25">
      <c r="A2908" s="28" t="s">
        <v>5241</v>
      </c>
      <c r="B2908" s="29">
        <v>3</v>
      </c>
      <c r="C2908" s="28"/>
      <c r="D2908" s="28" t="s">
        <v>37</v>
      </c>
      <c r="E2908" s="3"/>
      <c r="H2908" s="7"/>
      <c r="K2908" s="30"/>
    </row>
    <row r="2909" spans="1:11" s="2" customFormat="1" x14ac:dyDescent="0.25">
      <c r="A2909" s="28" t="s">
        <v>5242</v>
      </c>
      <c r="B2909" s="29">
        <v>1</v>
      </c>
      <c r="C2909" s="28"/>
      <c r="D2909" s="28" t="s">
        <v>37</v>
      </c>
      <c r="E2909" s="3"/>
      <c r="H2909" s="7"/>
      <c r="K2909" s="30"/>
    </row>
    <row r="2910" spans="1:11" s="2" customFormat="1" x14ac:dyDescent="0.25">
      <c r="A2910" s="28" t="s">
        <v>5243</v>
      </c>
      <c r="B2910" s="29">
        <v>1</v>
      </c>
      <c r="C2910" s="28"/>
      <c r="D2910" s="28" t="s">
        <v>37</v>
      </c>
      <c r="E2910" s="3"/>
      <c r="H2910" s="7"/>
      <c r="K2910" s="30"/>
    </row>
    <row r="2911" spans="1:11" s="2" customFormat="1" x14ac:dyDescent="0.25">
      <c r="A2911" s="28" t="s">
        <v>5244</v>
      </c>
      <c r="B2911" s="29">
        <v>1</v>
      </c>
      <c r="C2911" s="28"/>
      <c r="D2911" s="28" t="s">
        <v>37</v>
      </c>
      <c r="E2911" s="3"/>
      <c r="H2911" s="7"/>
      <c r="K2911" s="30"/>
    </row>
    <row r="2912" spans="1:11" s="2" customFormat="1" x14ac:dyDescent="0.25">
      <c r="A2912" s="28" t="s">
        <v>5245</v>
      </c>
      <c r="B2912" s="29">
        <v>1</v>
      </c>
      <c r="C2912" s="28"/>
      <c r="D2912" s="28" t="s">
        <v>37</v>
      </c>
      <c r="E2912" s="3"/>
      <c r="H2912" s="7"/>
      <c r="K2912" s="30"/>
    </row>
    <row r="2913" spans="1:11" s="2" customFormat="1" x14ac:dyDescent="0.25">
      <c r="A2913" s="28" t="s">
        <v>5246</v>
      </c>
      <c r="B2913" s="29">
        <v>1</v>
      </c>
      <c r="C2913" s="28"/>
      <c r="D2913" s="28" t="s">
        <v>37</v>
      </c>
      <c r="E2913" s="3"/>
      <c r="H2913" s="7"/>
      <c r="K2913" s="30"/>
    </row>
    <row r="2914" spans="1:11" s="2" customFormat="1" x14ac:dyDescent="0.25">
      <c r="A2914" s="31">
        <v>5023520900</v>
      </c>
      <c r="B2914" s="29">
        <v>235</v>
      </c>
      <c r="C2914" s="28"/>
      <c r="D2914" s="28" t="s">
        <v>187</v>
      </c>
      <c r="E2914" s="3"/>
      <c r="H2914" s="7"/>
      <c r="K2914" s="30"/>
    </row>
    <row r="2915" spans="1:11" s="2" customFormat="1" x14ac:dyDescent="0.25">
      <c r="A2915" s="28" t="s">
        <v>5247</v>
      </c>
      <c r="B2915" s="29">
        <v>48</v>
      </c>
      <c r="C2915" s="28"/>
      <c r="D2915" s="28" t="s">
        <v>187</v>
      </c>
      <c r="E2915" s="3"/>
      <c r="H2915" s="7"/>
      <c r="K2915" s="30"/>
    </row>
    <row r="2916" spans="1:11" s="2" customFormat="1" x14ac:dyDescent="0.25">
      <c r="A2916" s="28" t="s">
        <v>5248</v>
      </c>
      <c r="B2916" s="29">
        <v>791</v>
      </c>
      <c r="C2916" s="28"/>
      <c r="D2916" s="28" t="s">
        <v>187</v>
      </c>
      <c r="E2916" s="3"/>
      <c r="H2916" s="7"/>
      <c r="K2916" s="30"/>
    </row>
    <row r="2917" spans="1:11" s="2" customFormat="1" x14ac:dyDescent="0.25">
      <c r="A2917" s="31">
        <v>5023521200</v>
      </c>
      <c r="B2917" s="29">
        <v>58</v>
      </c>
      <c r="C2917" s="28"/>
      <c r="D2917" s="28" t="s">
        <v>187</v>
      </c>
      <c r="E2917" s="3"/>
      <c r="H2917" s="7"/>
      <c r="K2917" s="30"/>
    </row>
    <row r="2918" spans="1:11" s="2" customFormat="1" x14ac:dyDescent="0.25">
      <c r="A2918" s="28" t="s">
        <v>5249</v>
      </c>
      <c r="B2918" s="29">
        <v>8</v>
      </c>
      <c r="C2918" s="28"/>
      <c r="D2918" s="28" t="s">
        <v>187</v>
      </c>
      <c r="E2918" s="3"/>
      <c r="H2918" s="7"/>
      <c r="K2918" s="30"/>
    </row>
    <row r="2919" spans="1:11" s="2" customFormat="1" x14ac:dyDescent="0.25">
      <c r="A2919" s="28" t="s">
        <v>5250</v>
      </c>
      <c r="B2919" s="29">
        <v>58</v>
      </c>
      <c r="C2919" s="28"/>
      <c r="D2919" s="28" t="s">
        <v>187</v>
      </c>
      <c r="E2919" s="3"/>
      <c r="H2919" s="7"/>
      <c r="K2919" s="30"/>
    </row>
    <row r="2920" spans="1:11" s="2" customFormat="1" x14ac:dyDescent="0.25">
      <c r="A2920" s="28" t="s">
        <v>5251</v>
      </c>
      <c r="B2920" s="29">
        <v>10</v>
      </c>
      <c r="C2920" s="28"/>
      <c r="D2920" s="28" t="s">
        <v>187</v>
      </c>
      <c r="E2920" s="3"/>
      <c r="H2920" s="7"/>
      <c r="K2920" s="30"/>
    </row>
    <row r="2921" spans="1:11" s="2" customFormat="1" x14ac:dyDescent="0.25">
      <c r="A2921" s="31">
        <v>901361304</v>
      </c>
      <c r="B2921" s="29">
        <v>56</v>
      </c>
      <c r="C2921" s="28"/>
      <c r="D2921" s="28" t="s">
        <v>187</v>
      </c>
      <c r="E2921" s="3"/>
      <c r="H2921" s="7"/>
      <c r="K2921" s="30"/>
    </row>
    <row r="2922" spans="1:11" s="2" customFormat="1" x14ac:dyDescent="0.25">
      <c r="A2922" s="28" t="s">
        <v>5252</v>
      </c>
      <c r="B2922" s="29">
        <v>5</v>
      </c>
      <c r="C2922" s="28"/>
      <c r="D2922" s="28" t="s">
        <v>187</v>
      </c>
      <c r="E2922" s="3"/>
      <c r="H2922" s="7"/>
      <c r="K2922" s="30"/>
    </row>
    <row r="2923" spans="1:11" s="2" customFormat="1" x14ac:dyDescent="0.25">
      <c r="A2923" s="28" t="s">
        <v>1200</v>
      </c>
      <c r="B2923" s="29">
        <v>58</v>
      </c>
      <c r="C2923" s="28"/>
      <c r="D2923" s="28" t="s">
        <v>187</v>
      </c>
      <c r="E2923" s="3"/>
      <c r="H2923" s="7"/>
      <c r="K2923" s="30"/>
    </row>
    <row r="2924" spans="1:11" s="2" customFormat="1" x14ac:dyDescent="0.25">
      <c r="A2924" s="28" t="s">
        <v>5253</v>
      </c>
      <c r="B2924" s="29">
        <v>88</v>
      </c>
      <c r="C2924" s="28"/>
      <c r="D2924" s="28" t="s">
        <v>187</v>
      </c>
      <c r="E2924" s="3"/>
      <c r="H2924" s="7"/>
      <c r="K2924" s="30"/>
    </row>
    <row r="2925" spans="1:11" s="2" customFormat="1" x14ac:dyDescent="0.25">
      <c r="A2925" s="28" t="s">
        <v>5254</v>
      </c>
      <c r="B2925" s="29">
        <v>294</v>
      </c>
      <c r="C2925" s="28"/>
      <c r="D2925" s="28" t="s">
        <v>187</v>
      </c>
      <c r="E2925" s="3"/>
      <c r="H2925" s="7"/>
      <c r="K2925" s="30"/>
    </row>
    <row r="2926" spans="1:11" s="2" customFormat="1" x14ac:dyDescent="0.25">
      <c r="A2926" s="31">
        <v>830000083</v>
      </c>
      <c r="B2926" s="29">
        <v>18</v>
      </c>
      <c r="C2926" s="28"/>
      <c r="D2926" s="28" t="s">
        <v>187</v>
      </c>
      <c r="E2926" s="3"/>
      <c r="H2926" s="7"/>
      <c r="K2926" s="30"/>
    </row>
    <row r="2927" spans="1:11" s="2" customFormat="1" x14ac:dyDescent="0.25">
      <c r="A2927" s="31">
        <v>733660030</v>
      </c>
      <c r="B2927" s="29">
        <v>6</v>
      </c>
      <c r="C2927" s="28"/>
      <c r="D2927" s="28" t="s">
        <v>187</v>
      </c>
      <c r="E2927" s="3"/>
      <c r="H2927" s="7"/>
      <c r="K2927" s="30"/>
    </row>
    <row r="2928" spans="1:11" s="2" customFormat="1" x14ac:dyDescent="0.25">
      <c r="A2928" s="28" t="s">
        <v>5255</v>
      </c>
      <c r="B2928" s="29">
        <v>15</v>
      </c>
      <c r="C2928" s="28"/>
      <c r="D2928" s="28" t="s">
        <v>187</v>
      </c>
      <c r="E2928" s="3"/>
      <c r="H2928" s="7"/>
      <c r="K2928" s="30"/>
    </row>
    <row r="2929" spans="1:11" s="2" customFormat="1" x14ac:dyDescent="0.25">
      <c r="A2929" s="28" t="s">
        <v>5256</v>
      </c>
      <c r="B2929" s="29">
        <v>17</v>
      </c>
      <c r="C2929" s="28"/>
      <c r="D2929" s="28" t="s">
        <v>187</v>
      </c>
      <c r="E2929" s="3"/>
      <c r="H2929" s="7"/>
      <c r="K2929" s="30"/>
    </row>
    <row r="2930" spans="1:11" s="2" customFormat="1" x14ac:dyDescent="0.25">
      <c r="A2930" s="28" t="s">
        <v>5257</v>
      </c>
      <c r="B2930" s="29">
        <v>6</v>
      </c>
      <c r="C2930" s="28"/>
      <c r="D2930" s="28" t="s">
        <v>187</v>
      </c>
      <c r="E2930" s="3"/>
      <c r="H2930" s="7"/>
      <c r="K2930" s="30"/>
    </row>
    <row r="2931" spans="1:11" s="2" customFormat="1" x14ac:dyDescent="0.25">
      <c r="A2931" s="31">
        <v>430200601</v>
      </c>
      <c r="B2931" s="29">
        <v>56</v>
      </c>
      <c r="C2931" s="28"/>
      <c r="D2931" s="28" t="s">
        <v>187</v>
      </c>
      <c r="E2931" s="3"/>
      <c r="H2931" s="7"/>
      <c r="K2931" s="30"/>
    </row>
    <row r="2932" spans="1:11" s="2" customFormat="1" x14ac:dyDescent="0.25">
      <c r="A2932" s="28" t="s">
        <v>5258</v>
      </c>
      <c r="B2932" s="29">
        <v>10</v>
      </c>
      <c r="C2932" s="28"/>
      <c r="D2932" s="28" t="s">
        <v>187</v>
      </c>
      <c r="E2932" s="3"/>
      <c r="H2932" s="7"/>
      <c r="K2932" s="30"/>
    </row>
    <row r="2933" spans="1:11" s="2" customFormat="1" x14ac:dyDescent="0.25">
      <c r="A2933" s="28" t="s">
        <v>5259</v>
      </c>
      <c r="B2933" s="29">
        <v>7</v>
      </c>
      <c r="C2933" s="28"/>
      <c r="D2933" s="28" t="s">
        <v>187</v>
      </c>
      <c r="E2933" s="3"/>
      <c r="H2933" s="7"/>
      <c r="K2933" s="30"/>
    </row>
    <row r="2934" spans="1:11" s="2" customFormat="1" x14ac:dyDescent="0.25">
      <c r="A2934" s="28" t="s">
        <v>5260</v>
      </c>
      <c r="B2934" s="29">
        <v>13</v>
      </c>
      <c r="C2934" s="28"/>
      <c r="D2934" s="28" t="s">
        <v>187</v>
      </c>
      <c r="E2934" s="3"/>
      <c r="H2934" s="7"/>
      <c r="K2934" s="30"/>
    </row>
    <row r="2935" spans="1:11" s="2" customFormat="1" x14ac:dyDescent="0.25">
      <c r="A2935" s="28" t="s">
        <v>5261</v>
      </c>
      <c r="B2935" s="29">
        <v>2</v>
      </c>
      <c r="C2935" s="28"/>
      <c r="D2935" s="28" t="s">
        <v>187</v>
      </c>
      <c r="E2935" s="3"/>
      <c r="H2935" s="7"/>
      <c r="K2935" s="30"/>
    </row>
    <row r="2936" spans="1:11" s="2" customFormat="1" x14ac:dyDescent="0.25">
      <c r="A2936" s="28" t="s">
        <v>5262</v>
      </c>
      <c r="B2936" s="29">
        <v>8</v>
      </c>
      <c r="C2936" s="28"/>
      <c r="D2936" s="28" t="s">
        <v>187</v>
      </c>
      <c r="E2936" s="3"/>
      <c r="H2936" s="7"/>
      <c r="K2936" s="30"/>
    </row>
    <row r="2937" spans="1:11" s="2" customFormat="1" x14ac:dyDescent="0.25">
      <c r="A2937" s="28" t="s">
        <v>5263</v>
      </c>
      <c r="B2937" s="29">
        <v>70</v>
      </c>
      <c r="C2937" s="28"/>
      <c r="D2937" s="28" t="s">
        <v>187</v>
      </c>
      <c r="E2937" s="3"/>
      <c r="H2937" s="7"/>
      <c r="K2937" s="30"/>
    </row>
    <row r="2938" spans="1:11" s="2" customFormat="1" x14ac:dyDescent="0.25">
      <c r="A2938" s="28" t="s">
        <v>5264</v>
      </c>
      <c r="B2938" s="29">
        <v>212</v>
      </c>
      <c r="C2938" s="28"/>
      <c r="D2938" s="28" t="s">
        <v>187</v>
      </c>
      <c r="E2938" s="3"/>
      <c r="H2938" s="7"/>
      <c r="K2938" s="30"/>
    </row>
    <row r="2939" spans="1:11" s="2" customFormat="1" x14ac:dyDescent="0.25">
      <c r="A2939" s="31">
        <v>755860011</v>
      </c>
      <c r="B2939" s="29">
        <v>1</v>
      </c>
      <c r="C2939" s="28"/>
      <c r="D2939" s="28" t="s">
        <v>187</v>
      </c>
      <c r="E2939" s="3"/>
      <c r="H2939" s="7"/>
      <c r="K2939" s="30"/>
    </row>
    <row r="2940" spans="1:11" s="2" customFormat="1" x14ac:dyDescent="0.25">
      <c r="A2940" s="28" t="s">
        <v>5265</v>
      </c>
      <c r="B2940" s="29">
        <v>148</v>
      </c>
      <c r="C2940" s="28"/>
      <c r="D2940" s="28" t="s">
        <v>187</v>
      </c>
      <c r="E2940" s="3"/>
      <c r="H2940" s="7"/>
      <c r="K2940" s="30"/>
    </row>
    <row r="2941" spans="1:11" s="2" customFormat="1" x14ac:dyDescent="0.25">
      <c r="A2941" s="28" t="s">
        <v>5266</v>
      </c>
      <c r="B2941" s="29">
        <v>3</v>
      </c>
      <c r="C2941" s="28"/>
      <c r="D2941" s="28" t="s">
        <v>187</v>
      </c>
      <c r="E2941" s="3"/>
      <c r="H2941" s="7"/>
      <c r="K2941" s="30"/>
    </row>
    <row r="2942" spans="1:11" s="2" customFormat="1" x14ac:dyDescent="0.25">
      <c r="A2942" s="28" t="s">
        <v>5267</v>
      </c>
      <c r="B2942" s="29">
        <v>47</v>
      </c>
      <c r="C2942" s="28"/>
      <c r="D2942" s="28" t="s">
        <v>187</v>
      </c>
      <c r="E2942" s="3"/>
      <c r="H2942" s="7"/>
      <c r="K2942" s="30"/>
    </row>
    <row r="2943" spans="1:11" s="2" customFormat="1" x14ac:dyDescent="0.25">
      <c r="A2943" s="28" t="s">
        <v>5268</v>
      </c>
      <c r="B2943" s="29">
        <v>3</v>
      </c>
      <c r="C2943" s="28"/>
      <c r="D2943" s="28" t="s">
        <v>187</v>
      </c>
      <c r="E2943" s="3"/>
      <c r="H2943" s="7"/>
      <c r="K2943" s="30"/>
    </row>
    <row r="2944" spans="1:11" s="2" customFormat="1" x14ac:dyDescent="0.25">
      <c r="A2944" s="31">
        <v>878311420</v>
      </c>
      <c r="B2944" s="29">
        <v>2</v>
      </c>
      <c r="C2944" s="28"/>
      <c r="D2944" s="28" t="s">
        <v>187</v>
      </c>
      <c r="E2944" s="3"/>
      <c r="H2944" s="7"/>
      <c r="K2944" s="30"/>
    </row>
    <row r="2945" spans="1:11" s="2" customFormat="1" x14ac:dyDescent="0.25">
      <c r="A2945" s="31">
        <v>8700102</v>
      </c>
      <c r="B2945" s="29">
        <v>88</v>
      </c>
      <c r="C2945" s="28"/>
      <c r="D2945" s="28" t="s">
        <v>187</v>
      </c>
      <c r="E2945" s="3"/>
      <c r="H2945" s="7"/>
      <c r="K2945" s="30"/>
    </row>
    <row r="2946" spans="1:11" s="2" customFormat="1" x14ac:dyDescent="0.25">
      <c r="A2946" s="28" t="s">
        <v>5269</v>
      </c>
      <c r="B2946" s="29">
        <v>18</v>
      </c>
      <c r="C2946" s="28"/>
      <c r="D2946" s="28" t="s">
        <v>187</v>
      </c>
      <c r="E2946" s="3"/>
      <c r="H2946" s="7"/>
      <c r="K2946" s="30"/>
    </row>
    <row r="2947" spans="1:11" s="2" customFormat="1" x14ac:dyDescent="0.25">
      <c r="A2947" s="28" t="s">
        <v>5270</v>
      </c>
      <c r="B2947" s="29">
        <v>3</v>
      </c>
      <c r="C2947" s="28"/>
      <c r="D2947" s="28" t="s">
        <v>187</v>
      </c>
      <c r="E2947" s="3"/>
      <c r="H2947" s="7"/>
      <c r="K2947" s="30"/>
    </row>
    <row r="2948" spans="1:11" s="2" customFormat="1" x14ac:dyDescent="0.25">
      <c r="A2948" s="28" t="s">
        <v>5271</v>
      </c>
      <c r="B2948" s="29">
        <v>26</v>
      </c>
      <c r="C2948" s="28"/>
      <c r="D2948" s="28" t="s">
        <v>187</v>
      </c>
      <c r="E2948" s="3"/>
      <c r="H2948" s="7"/>
      <c r="K2948" s="30"/>
    </row>
    <row r="2949" spans="1:11" s="2" customFormat="1" x14ac:dyDescent="0.25">
      <c r="A2949" s="28" t="s">
        <v>5272</v>
      </c>
      <c r="B2949" s="29">
        <v>4</v>
      </c>
      <c r="C2949" s="28"/>
      <c r="D2949" s="28" t="s">
        <v>187</v>
      </c>
      <c r="E2949" s="3"/>
      <c r="H2949" s="7"/>
      <c r="K2949" s="30"/>
    </row>
    <row r="2950" spans="1:11" s="2" customFormat="1" x14ac:dyDescent="0.25">
      <c r="A2950" s="28" t="s">
        <v>5273</v>
      </c>
      <c r="B2950" s="29">
        <v>4</v>
      </c>
      <c r="C2950" s="28"/>
      <c r="D2950" s="28" t="s">
        <v>187</v>
      </c>
      <c r="E2950" s="3"/>
      <c r="H2950" s="7"/>
      <c r="K2950" s="30"/>
    </row>
    <row r="2951" spans="1:11" s="2" customFormat="1" x14ac:dyDescent="0.25">
      <c r="A2951" s="31">
        <v>430310001</v>
      </c>
      <c r="B2951" s="29">
        <v>190</v>
      </c>
      <c r="C2951" s="28"/>
      <c r="D2951" s="28" t="s">
        <v>187</v>
      </c>
      <c r="E2951" s="3"/>
      <c r="H2951" s="7"/>
      <c r="K2951" s="30"/>
    </row>
    <row r="2952" spans="1:11" s="2" customFormat="1" x14ac:dyDescent="0.25">
      <c r="A2952" s="31">
        <v>733910083</v>
      </c>
      <c r="B2952" s="29">
        <v>1</v>
      </c>
      <c r="C2952" s="28"/>
      <c r="D2952" s="28" t="s">
        <v>187</v>
      </c>
      <c r="E2952" s="3"/>
      <c r="H2952" s="7"/>
      <c r="K2952" s="30"/>
    </row>
    <row r="2953" spans="1:11" s="2" customFormat="1" x14ac:dyDescent="0.25">
      <c r="A2953" s="28" t="s">
        <v>5274</v>
      </c>
      <c r="B2953" s="29">
        <v>100</v>
      </c>
      <c r="C2953" s="28"/>
      <c r="D2953" s="28" t="s">
        <v>187</v>
      </c>
      <c r="E2953" s="3"/>
      <c r="H2953" s="7"/>
      <c r="K2953" s="30"/>
    </row>
    <row r="2954" spans="1:11" s="2" customFormat="1" x14ac:dyDescent="0.25">
      <c r="A2954" s="31">
        <v>901361208</v>
      </c>
      <c r="B2954" s="29">
        <v>4</v>
      </c>
      <c r="C2954" s="28"/>
      <c r="D2954" s="28" t="s">
        <v>187</v>
      </c>
      <c r="E2954" s="3"/>
      <c r="H2954" s="7"/>
      <c r="K2954" s="30"/>
    </row>
    <row r="2955" spans="1:11" s="2" customFormat="1" x14ac:dyDescent="0.25">
      <c r="A2955" s="31">
        <v>39012200</v>
      </c>
      <c r="B2955" s="29">
        <v>6</v>
      </c>
      <c r="C2955" s="28"/>
      <c r="D2955" s="28" t="s">
        <v>187</v>
      </c>
      <c r="E2955" s="3"/>
      <c r="H2955" s="7"/>
      <c r="K2955" s="30"/>
    </row>
    <row r="2956" spans="1:11" s="2" customFormat="1" x14ac:dyDescent="0.25">
      <c r="A2956" s="31">
        <v>530470310</v>
      </c>
      <c r="B2956" s="29">
        <v>21</v>
      </c>
      <c r="C2956" s="28"/>
      <c r="D2956" s="28" t="s">
        <v>187</v>
      </c>
      <c r="E2956" s="3"/>
      <c r="H2956" s="7"/>
      <c r="K2956" s="30"/>
    </row>
    <row r="2957" spans="1:11" s="2" customFormat="1" x14ac:dyDescent="0.25">
      <c r="A2957" s="28" t="s">
        <v>5275</v>
      </c>
      <c r="B2957" s="29">
        <v>97</v>
      </c>
      <c r="C2957" s="28"/>
      <c r="D2957" s="28" t="s">
        <v>187</v>
      </c>
      <c r="E2957" s="3"/>
      <c r="H2957" s="7"/>
      <c r="K2957" s="30"/>
    </row>
    <row r="2958" spans="1:11" s="2" customFormat="1" x14ac:dyDescent="0.25">
      <c r="A2958" s="31">
        <v>436500200</v>
      </c>
      <c r="B2958" s="29">
        <v>3</v>
      </c>
      <c r="C2958" s="28"/>
      <c r="D2958" s="28" t="s">
        <v>187</v>
      </c>
      <c r="E2958" s="3"/>
      <c r="H2958" s="7"/>
      <c r="K2958" s="30"/>
    </row>
    <row r="2959" spans="1:11" s="2" customFormat="1" x14ac:dyDescent="0.25">
      <c r="A2959" s="28" t="s">
        <v>5276</v>
      </c>
      <c r="B2959" s="29">
        <v>18</v>
      </c>
      <c r="C2959" s="28"/>
      <c r="D2959" s="28" t="s">
        <v>187</v>
      </c>
      <c r="E2959" s="3"/>
      <c r="H2959" s="7"/>
      <c r="K2959" s="30"/>
    </row>
    <row r="2960" spans="1:11" s="2" customFormat="1" x14ac:dyDescent="0.25">
      <c r="A2960" s="31">
        <v>29110023</v>
      </c>
      <c r="B2960" s="29">
        <v>4</v>
      </c>
      <c r="C2960" s="28"/>
      <c r="D2960" s="28" t="s">
        <v>187</v>
      </c>
      <c r="E2960" s="3"/>
      <c r="H2960" s="7"/>
      <c r="K2960" s="30"/>
    </row>
    <row r="2961" spans="1:11" s="2" customFormat="1" x14ac:dyDescent="0.25">
      <c r="A2961" s="28" t="s">
        <v>5277</v>
      </c>
      <c r="B2961" s="29">
        <v>2</v>
      </c>
      <c r="C2961" s="28"/>
      <c r="D2961" s="28" t="s">
        <v>187</v>
      </c>
      <c r="E2961" s="3"/>
      <c r="H2961" s="7"/>
      <c r="K2961" s="30"/>
    </row>
    <row r="2962" spans="1:11" s="2" customFormat="1" x14ac:dyDescent="0.25">
      <c r="A2962" s="31">
        <v>901361302</v>
      </c>
      <c r="B2962" s="29">
        <v>2</v>
      </c>
      <c r="C2962" s="28"/>
      <c r="D2962" s="28" t="s">
        <v>187</v>
      </c>
      <c r="E2962" s="3"/>
      <c r="H2962" s="7"/>
      <c r="K2962" s="30"/>
    </row>
    <row r="2963" spans="1:11" s="2" customFormat="1" x14ac:dyDescent="0.25">
      <c r="A2963" s="31">
        <v>430451014</v>
      </c>
      <c r="B2963" s="29">
        <v>1</v>
      </c>
      <c r="C2963" s="28"/>
      <c r="D2963" s="28" t="s">
        <v>187</v>
      </c>
      <c r="E2963" s="3"/>
      <c r="H2963" s="7"/>
      <c r="K2963" s="30"/>
    </row>
    <row r="2964" spans="1:11" s="2" customFormat="1" x14ac:dyDescent="0.25">
      <c r="A2964" s="31">
        <v>430450613</v>
      </c>
      <c r="B2964" s="29">
        <v>1</v>
      </c>
      <c r="C2964" s="28"/>
      <c r="D2964" s="28" t="s">
        <v>187</v>
      </c>
      <c r="E2964" s="3"/>
      <c r="H2964" s="7"/>
      <c r="K2964" s="30"/>
    </row>
    <row r="2965" spans="1:11" s="2" customFormat="1" x14ac:dyDescent="0.25">
      <c r="A2965" s="28" t="s">
        <v>5278</v>
      </c>
      <c r="B2965" s="29">
        <v>5</v>
      </c>
      <c r="C2965" s="28"/>
      <c r="D2965" s="28" t="s">
        <v>187</v>
      </c>
      <c r="E2965" s="3"/>
      <c r="H2965" s="7"/>
      <c r="K2965" s="30"/>
    </row>
    <row r="2966" spans="1:11" s="2" customFormat="1" x14ac:dyDescent="0.25">
      <c r="A2966" s="31">
        <v>530470510</v>
      </c>
      <c r="B2966" s="29">
        <v>4</v>
      </c>
      <c r="C2966" s="28"/>
      <c r="D2966" s="28" t="s">
        <v>187</v>
      </c>
      <c r="E2966" s="3"/>
      <c r="H2966" s="7"/>
      <c r="K2966" s="30"/>
    </row>
    <row r="2967" spans="1:11" s="2" customFormat="1" x14ac:dyDescent="0.25">
      <c r="A2967" s="28" t="s">
        <v>5279</v>
      </c>
      <c r="B2967" s="29">
        <v>3</v>
      </c>
      <c r="C2967" s="28"/>
      <c r="D2967" s="28" t="s">
        <v>187</v>
      </c>
      <c r="E2967" s="3"/>
      <c r="H2967" s="7"/>
      <c r="K2967" s="30"/>
    </row>
    <row r="2968" spans="1:11" s="2" customFormat="1" x14ac:dyDescent="0.25">
      <c r="A2968" s="33">
        <v>45446</v>
      </c>
      <c r="B2968" s="29">
        <v>5</v>
      </c>
      <c r="C2968" s="28"/>
      <c r="D2968" s="28" t="s">
        <v>187</v>
      </c>
      <c r="E2968" s="3"/>
      <c r="H2968" s="7"/>
      <c r="K2968" s="30"/>
    </row>
    <row r="2969" spans="1:11" s="2" customFormat="1" x14ac:dyDescent="0.25">
      <c r="A2969" s="31">
        <v>5023510300</v>
      </c>
      <c r="B2969" s="29">
        <v>7</v>
      </c>
      <c r="C2969" s="28"/>
      <c r="D2969" s="28" t="s">
        <v>187</v>
      </c>
      <c r="E2969" s="3"/>
      <c r="H2969" s="7"/>
      <c r="K2969" s="30"/>
    </row>
    <row r="2970" spans="1:11" s="2" customFormat="1" x14ac:dyDescent="0.25">
      <c r="A2970" s="31">
        <v>430250800</v>
      </c>
      <c r="B2970" s="29">
        <v>4</v>
      </c>
      <c r="C2970" s="28"/>
      <c r="D2970" s="28" t="s">
        <v>187</v>
      </c>
      <c r="E2970" s="3"/>
      <c r="H2970" s="7"/>
      <c r="K2970" s="30"/>
    </row>
    <row r="2971" spans="1:11" s="2" customFormat="1" x14ac:dyDescent="0.25">
      <c r="A2971" s="28" t="s">
        <v>5280</v>
      </c>
      <c r="B2971" s="29">
        <v>6</v>
      </c>
      <c r="C2971" s="28"/>
      <c r="D2971" s="28" t="s">
        <v>187</v>
      </c>
      <c r="E2971" s="3"/>
      <c r="H2971" s="7"/>
      <c r="K2971" s="30"/>
    </row>
    <row r="2972" spans="1:11" s="2" customFormat="1" x14ac:dyDescent="0.25">
      <c r="A2972" s="28" t="s">
        <v>5281</v>
      </c>
      <c r="B2972" s="29">
        <v>2</v>
      </c>
      <c r="C2972" s="28"/>
      <c r="D2972" s="28" t="s">
        <v>187</v>
      </c>
      <c r="E2972" s="3"/>
      <c r="H2972" s="7"/>
      <c r="K2972" s="30"/>
    </row>
    <row r="2973" spans="1:11" s="2" customFormat="1" x14ac:dyDescent="0.25">
      <c r="A2973" s="28" t="s">
        <v>5282</v>
      </c>
      <c r="B2973" s="29">
        <v>5</v>
      </c>
      <c r="C2973" s="28"/>
      <c r="D2973" s="28" t="s">
        <v>187</v>
      </c>
      <c r="E2973" s="3"/>
      <c r="H2973" s="7"/>
      <c r="K2973" s="30"/>
    </row>
    <row r="2974" spans="1:11" s="2" customFormat="1" x14ac:dyDescent="0.25">
      <c r="A2974" s="31">
        <v>462355003</v>
      </c>
      <c r="B2974" s="29">
        <v>4</v>
      </c>
      <c r="C2974" s="28"/>
      <c r="D2974" s="28" t="s">
        <v>187</v>
      </c>
      <c r="E2974" s="3"/>
      <c r="H2974" s="7"/>
      <c r="K2974" s="30"/>
    </row>
    <row r="2975" spans="1:11" s="2" customFormat="1" x14ac:dyDescent="0.25">
      <c r="A2975" s="31">
        <v>353630460</v>
      </c>
      <c r="B2975" s="29">
        <v>2</v>
      </c>
      <c r="C2975" s="28"/>
      <c r="D2975" s="28" t="s">
        <v>187</v>
      </c>
      <c r="E2975" s="3"/>
      <c r="H2975" s="7"/>
      <c r="K2975" s="30"/>
    </row>
    <row r="2976" spans="1:11" s="2" customFormat="1" x14ac:dyDescent="0.25">
      <c r="A2976" s="31">
        <v>350220003</v>
      </c>
      <c r="B2976" s="29">
        <v>3</v>
      </c>
      <c r="C2976" s="28"/>
      <c r="D2976" s="28" t="s">
        <v>187</v>
      </c>
      <c r="E2976" s="3"/>
      <c r="H2976" s="7"/>
      <c r="K2976" s="30"/>
    </row>
    <row r="2977" spans="1:11" s="2" customFormat="1" x14ac:dyDescent="0.25">
      <c r="A2977" s="31">
        <v>530470210</v>
      </c>
      <c r="B2977" s="29">
        <v>1</v>
      </c>
      <c r="C2977" s="28"/>
      <c r="D2977" s="28" t="s">
        <v>187</v>
      </c>
      <c r="E2977" s="3"/>
      <c r="H2977" s="7"/>
      <c r="K2977" s="30"/>
    </row>
    <row r="2978" spans="1:11" s="2" customFormat="1" x14ac:dyDescent="0.25">
      <c r="A2978" s="28" t="s">
        <v>5283</v>
      </c>
      <c r="B2978" s="29">
        <v>15</v>
      </c>
      <c r="C2978" s="28"/>
      <c r="D2978" s="28" t="s">
        <v>5284</v>
      </c>
      <c r="E2978" s="3"/>
      <c r="H2978" s="7"/>
      <c r="K2978" s="30"/>
    </row>
    <row r="2979" spans="1:11" s="2" customFormat="1" x14ac:dyDescent="0.25">
      <c r="A2979" s="28" t="s">
        <v>5285</v>
      </c>
      <c r="B2979" s="29">
        <v>3</v>
      </c>
      <c r="C2979" s="28"/>
      <c r="D2979" s="28" t="s">
        <v>5284</v>
      </c>
      <c r="E2979" s="3"/>
      <c r="H2979" s="7"/>
      <c r="K2979" s="30"/>
    </row>
    <row r="2980" spans="1:11" s="2" customFormat="1" x14ac:dyDescent="0.25">
      <c r="A2980" s="28" t="s">
        <v>5286</v>
      </c>
      <c r="B2980" s="29">
        <v>19</v>
      </c>
      <c r="C2980" s="28"/>
      <c r="D2980" s="28" t="s">
        <v>5287</v>
      </c>
      <c r="E2980" s="3"/>
      <c r="H2980" s="7"/>
      <c r="K2980" s="30"/>
    </row>
    <row r="2981" spans="1:11" s="2" customFormat="1" x14ac:dyDescent="0.25">
      <c r="A2981" s="28" t="s">
        <v>5288</v>
      </c>
      <c r="B2981" s="29">
        <v>3</v>
      </c>
      <c r="C2981" s="28"/>
      <c r="D2981" s="28" t="s">
        <v>5289</v>
      </c>
      <c r="E2981" s="3"/>
      <c r="H2981" s="7"/>
      <c r="K2981" s="30"/>
    </row>
    <row r="2982" spans="1:11" s="2" customFormat="1" x14ac:dyDescent="0.25">
      <c r="A2982" s="28" t="s">
        <v>5290</v>
      </c>
      <c r="B2982" s="29">
        <v>1</v>
      </c>
      <c r="C2982" s="28"/>
      <c r="D2982" s="28" t="s">
        <v>5289</v>
      </c>
      <c r="E2982" s="3"/>
      <c r="H2982" s="7"/>
      <c r="K2982" s="30"/>
    </row>
    <row r="2983" spans="1:11" s="2" customFormat="1" x14ac:dyDescent="0.25">
      <c r="A2983" s="31">
        <v>1301650</v>
      </c>
      <c r="B2983" s="29">
        <v>4</v>
      </c>
      <c r="C2983" s="28"/>
      <c r="D2983" s="28" t="s">
        <v>5291</v>
      </c>
      <c r="E2983" s="3"/>
      <c r="H2983" s="7"/>
      <c r="K2983" s="30"/>
    </row>
    <row r="2984" spans="1:11" s="2" customFormat="1" x14ac:dyDescent="0.25">
      <c r="A2984" s="28" t="s">
        <v>5292</v>
      </c>
      <c r="B2984" s="29">
        <v>40</v>
      </c>
      <c r="C2984" s="28"/>
      <c r="D2984" s="28" t="s">
        <v>5293</v>
      </c>
      <c r="E2984" s="3"/>
      <c r="H2984" s="7"/>
      <c r="K2984" s="30"/>
    </row>
    <row r="2985" spans="1:11" s="2" customFormat="1" x14ac:dyDescent="0.25">
      <c r="A2985" s="28" t="s">
        <v>5294</v>
      </c>
      <c r="B2985" s="29">
        <v>2</v>
      </c>
      <c r="C2985" s="28"/>
      <c r="D2985" s="28" t="s">
        <v>5293</v>
      </c>
      <c r="E2985" s="3"/>
      <c r="H2985" s="7"/>
      <c r="K2985" s="30"/>
    </row>
    <row r="2986" spans="1:11" s="2" customFormat="1" x14ac:dyDescent="0.25">
      <c r="A2986" s="28" t="s">
        <v>5295</v>
      </c>
      <c r="B2986" s="29">
        <v>18</v>
      </c>
      <c r="C2986" s="28"/>
      <c r="D2986" s="28" t="s">
        <v>5293</v>
      </c>
      <c r="E2986" s="3"/>
      <c r="H2986" s="7"/>
      <c r="K2986" s="30"/>
    </row>
    <row r="2987" spans="1:11" s="2" customFormat="1" x14ac:dyDescent="0.25">
      <c r="A2987" s="28" t="s">
        <v>5296</v>
      </c>
      <c r="B2987" s="29">
        <v>12</v>
      </c>
      <c r="C2987" s="28"/>
      <c r="D2987" s="28" t="s">
        <v>5293</v>
      </c>
      <c r="E2987" s="3"/>
      <c r="H2987" s="7"/>
      <c r="K2987" s="30"/>
    </row>
    <row r="2988" spans="1:11" s="2" customFormat="1" x14ac:dyDescent="0.25">
      <c r="A2988" s="28" t="s">
        <v>5297</v>
      </c>
      <c r="B2988" s="29">
        <v>10</v>
      </c>
      <c r="C2988" s="28"/>
      <c r="D2988" s="28" t="s">
        <v>5293</v>
      </c>
      <c r="E2988" s="3"/>
      <c r="H2988" s="7"/>
      <c r="K2988" s="30"/>
    </row>
    <row r="2989" spans="1:11" s="2" customFormat="1" x14ac:dyDescent="0.25">
      <c r="A2989" s="28" t="s">
        <v>5298</v>
      </c>
      <c r="B2989" s="29">
        <v>12</v>
      </c>
      <c r="C2989" s="28"/>
      <c r="D2989" s="28" t="s">
        <v>5293</v>
      </c>
      <c r="E2989" s="3"/>
      <c r="H2989" s="7"/>
      <c r="K2989" s="30"/>
    </row>
    <row r="2990" spans="1:11" s="2" customFormat="1" x14ac:dyDescent="0.25">
      <c r="A2990" s="28" t="s">
        <v>5299</v>
      </c>
      <c r="B2990" s="29">
        <v>11</v>
      </c>
      <c r="C2990" s="28"/>
      <c r="D2990" s="28" t="s">
        <v>5293</v>
      </c>
      <c r="E2990" s="3"/>
      <c r="H2990" s="7"/>
      <c r="K2990" s="30"/>
    </row>
    <row r="2991" spans="1:11" s="2" customFormat="1" x14ac:dyDescent="0.25">
      <c r="A2991" s="28" t="s">
        <v>5300</v>
      </c>
      <c r="B2991" s="29">
        <v>5</v>
      </c>
      <c r="C2991" s="28"/>
      <c r="D2991" s="28" t="s">
        <v>5293</v>
      </c>
      <c r="E2991" s="3"/>
      <c r="H2991" s="7"/>
      <c r="K2991" s="30"/>
    </row>
    <row r="2992" spans="1:11" s="2" customFormat="1" x14ac:dyDescent="0.25">
      <c r="A2992" s="28" t="s">
        <v>5301</v>
      </c>
      <c r="B2992" s="29">
        <v>4</v>
      </c>
      <c r="C2992" s="28"/>
      <c r="D2992" s="28" t="s">
        <v>5293</v>
      </c>
      <c r="E2992" s="3"/>
      <c r="H2992" s="7"/>
      <c r="K2992" s="30"/>
    </row>
    <row r="2993" spans="1:11" s="2" customFormat="1" x14ac:dyDescent="0.25">
      <c r="A2993" s="28" t="s">
        <v>5302</v>
      </c>
      <c r="B2993" s="29">
        <v>4</v>
      </c>
      <c r="C2993" s="28"/>
      <c r="D2993" s="28" t="s">
        <v>5293</v>
      </c>
      <c r="E2993" s="3"/>
      <c r="H2993" s="7"/>
      <c r="K2993" s="30"/>
    </row>
    <row r="2994" spans="1:11" s="2" customFormat="1" x14ac:dyDescent="0.25">
      <c r="A2994" s="28" t="s">
        <v>5303</v>
      </c>
      <c r="B2994" s="29">
        <v>2</v>
      </c>
      <c r="C2994" s="28"/>
      <c r="D2994" s="28" t="s">
        <v>5293</v>
      </c>
      <c r="E2994" s="3"/>
      <c r="H2994" s="7"/>
      <c r="K2994" s="30"/>
    </row>
    <row r="2995" spans="1:11" s="2" customFormat="1" x14ac:dyDescent="0.25">
      <c r="A2995" s="28" t="s">
        <v>5304</v>
      </c>
      <c r="B2995" s="29">
        <v>19</v>
      </c>
      <c r="C2995" s="28"/>
      <c r="D2995" s="28" t="s">
        <v>5293</v>
      </c>
      <c r="E2995" s="3"/>
      <c r="H2995" s="7"/>
      <c r="K2995" s="30"/>
    </row>
    <row r="2996" spans="1:11" s="2" customFormat="1" x14ac:dyDescent="0.25">
      <c r="A2996" s="28" t="s">
        <v>5305</v>
      </c>
      <c r="B2996" s="29">
        <v>9</v>
      </c>
      <c r="C2996" s="28"/>
      <c r="D2996" s="28" t="s">
        <v>5293</v>
      </c>
      <c r="E2996" s="3"/>
      <c r="H2996" s="7"/>
      <c r="K2996" s="30"/>
    </row>
    <row r="2997" spans="1:11" s="2" customFormat="1" x14ac:dyDescent="0.25">
      <c r="A2997" s="28" t="s">
        <v>5306</v>
      </c>
      <c r="B2997" s="29">
        <v>1</v>
      </c>
      <c r="C2997" s="28"/>
      <c r="D2997" s="28" t="s">
        <v>5293</v>
      </c>
      <c r="E2997" s="3"/>
      <c r="H2997" s="7"/>
      <c r="K2997" s="30"/>
    </row>
    <row r="2998" spans="1:11" s="2" customFormat="1" x14ac:dyDescent="0.25">
      <c r="A2998" s="28" t="s">
        <v>5307</v>
      </c>
      <c r="B2998" s="29">
        <v>40</v>
      </c>
      <c r="C2998" s="28"/>
      <c r="D2998" s="28" t="s">
        <v>5308</v>
      </c>
      <c r="E2998" s="3"/>
      <c r="H2998" s="7"/>
      <c r="K2998" s="30"/>
    </row>
    <row r="2999" spans="1:11" s="2" customFormat="1" x14ac:dyDescent="0.25">
      <c r="A2999" s="28" t="s">
        <v>5309</v>
      </c>
      <c r="B2999" s="29">
        <v>24</v>
      </c>
      <c r="C2999" s="28"/>
      <c r="D2999" s="28" t="s">
        <v>5308</v>
      </c>
      <c r="E2999" s="3"/>
      <c r="H2999" s="7"/>
      <c r="K2999" s="30"/>
    </row>
    <row r="3000" spans="1:11" s="2" customFormat="1" x14ac:dyDescent="0.25">
      <c r="A3000" s="28" t="s">
        <v>1112</v>
      </c>
      <c r="B3000" s="29">
        <v>24</v>
      </c>
      <c r="C3000" s="28"/>
      <c r="D3000" s="28" t="s">
        <v>1217</v>
      </c>
      <c r="E3000" s="3"/>
      <c r="H3000" s="7"/>
      <c r="K3000" s="30"/>
    </row>
    <row r="3001" spans="1:11" s="2" customFormat="1" x14ac:dyDescent="0.25">
      <c r="A3001" s="28" t="s">
        <v>5310</v>
      </c>
      <c r="B3001" s="29">
        <v>268</v>
      </c>
      <c r="C3001" s="28"/>
      <c r="D3001" s="28" t="s">
        <v>1217</v>
      </c>
      <c r="E3001" s="3"/>
      <c r="H3001" s="7"/>
      <c r="K3001" s="30"/>
    </row>
    <row r="3002" spans="1:11" s="2" customFormat="1" x14ac:dyDescent="0.25">
      <c r="A3002" s="28" t="s">
        <v>5311</v>
      </c>
      <c r="B3002" s="29">
        <v>176</v>
      </c>
      <c r="C3002" s="28"/>
      <c r="D3002" s="28" t="s">
        <v>1217</v>
      </c>
      <c r="E3002" s="3"/>
      <c r="H3002" s="7"/>
      <c r="K3002" s="30"/>
    </row>
    <row r="3003" spans="1:11" s="2" customFormat="1" x14ac:dyDescent="0.25">
      <c r="A3003" s="28" t="s">
        <v>5312</v>
      </c>
      <c r="B3003" s="29">
        <v>107</v>
      </c>
      <c r="C3003" s="28"/>
      <c r="D3003" s="28" t="s">
        <v>1217</v>
      </c>
      <c r="E3003" s="3"/>
      <c r="H3003" s="7"/>
      <c r="K3003" s="30"/>
    </row>
    <row r="3004" spans="1:11" s="2" customFormat="1" x14ac:dyDescent="0.25">
      <c r="A3004" s="28" t="s">
        <v>5313</v>
      </c>
      <c r="B3004" s="29">
        <v>832</v>
      </c>
      <c r="C3004" s="28"/>
      <c r="D3004" s="28" t="s">
        <v>1217</v>
      </c>
      <c r="E3004" s="3"/>
      <c r="H3004" s="7"/>
      <c r="K3004" s="30"/>
    </row>
    <row r="3005" spans="1:11" s="2" customFormat="1" x14ac:dyDescent="0.25">
      <c r="A3005" s="28" t="s">
        <v>5314</v>
      </c>
      <c r="B3005" s="29">
        <v>832</v>
      </c>
      <c r="C3005" s="28"/>
      <c r="D3005" s="28" t="s">
        <v>1217</v>
      </c>
      <c r="E3005" s="3"/>
      <c r="H3005" s="7"/>
      <c r="K3005" s="30"/>
    </row>
    <row r="3006" spans="1:11" s="2" customFormat="1" x14ac:dyDescent="0.25">
      <c r="A3006" s="28" t="s">
        <v>5315</v>
      </c>
      <c r="B3006" s="29">
        <v>80</v>
      </c>
      <c r="C3006" s="28"/>
      <c r="D3006" s="28" t="s">
        <v>1217</v>
      </c>
      <c r="E3006" s="3"/>
      <c r="H3006" s="7"/>
      <c r="K3006" s="30"/>
    </row>
    <row r="3007" spans="1:11" s="2" customFormat="1" x14ac:dyDescent="0.25">
      <c r="A3007" s="28" t="s">
        <v>5316</v>
      </c>
      <c r="B3007" s="29">
        <v>150</v>
      </c>
      <c r="C3007" s="28"/>
      <c r="D3007" s="28" t="s">
        <v>1217</v>
      </c>
      <c r="E3007" s="3"/>
      <c r="H3007" s="7"/>
      <c r="K3007" s="30"/>
    </row>
    <row r="3008" spans="1:11" s="2" customFormat="1" x14ac:dyDescent="0.25">
      <c r="A3008" s="28" t="s">
        <v>5317</v>
      </c>
      <c r="B3008" s="29">
        <v>150</v>
      </c>
      <c r="C3008" s="28"/>
      <c r="D3008" s="28" t="s">
        <v>1217</v>
      </c>
      <c r="E3008" s="3"/>
      <c r="H3008" s="7"/>
      <c r="K3008" s="30"/>
    </row>
    <row r="3009" spans="1:11" s="2" customFormat="1" x14ac:dyDescent="0.25">
      <c r="A3009" s="28" t="s">
        <v>5318</v>
      </c>
      <c r="B3009" s="29">
        <v>236</v>
      </c>
      <c r="C3009" s="28"/>
      <c r="D3009" s="28" t="s">
        <v>1217</v>
      </c>
      <c r="E3009" s="3"/>
      <c r="H3009" s="7"/>
      <c r="K3009" s="30"/>
    </row>
    <row r="3010" spans="1:11" s="2" customFormat="1" x14ac:dyDescent="0.25">
      <c r="A3010" s="28" t="s">
        <v>5319</v>
      </c>
      <c r="B3010" s="29">
        <v>70</v>
      </c>
      <c r="C3010" s="28"/>
      <c r="D3010" s="28" t="s">
        <v>1217</v>
      </c>
      <c r="E3010" s="3"/>
      <c r="H3010" s="7"/>
      <c r="K3010" s="30"/>
    </row>
    <row r="3011" spans="1:11" s="2" customFormat="1" x14ac:dyDescent="0.25">
      <c r="A3011" s="28" t="s">
        <v>5320</v>
      </c>
      <c r="B3011" s="29">
        <v>3</v>
      </c>
      <c r="C3011" s="28"/>
      <c r="D3011" s="28" t="s">
        <v>1217</v>
      </c>
      <c r="E3011" s="3"/>
      <c r="H3011" s="7"/>
      <c r="K3011" s="30"/>
    </row>
    <row r="3012" spans="1:11" s="2" customFormat="1" x14ac:dyDescent="0.25">
      <c r="A3012" s="28" t="s">
        <v>5321</v>
      </c>
      <c r="B3012" s="29">
        <v>263</v>
      </c>
      <c r="C3012" s="28"/>
      <c r="D3012" s="28" t="s">
        <v>1217</v>
      </c>
      <c r="E3012" s="3"/>
      <c r="H3012" s="7"/>
      <c r="K3012" s="30"/>
    </row>
    <row r="3013" spans="1:11" s="2" customFormat="1" x14ac:dyDescent="0.25">
      <c r="A3013" s="28" t="s">
        <v>5322</v>
      </c>
      <c r="B3013" s="29">
        <v>530</v>
      </c>
      <c r="C3013" s="28"/>
      <c r="D3013" s="28" t="s">
        <v>1217</v>
      </c>
      <c r="E3013" s="3"/>
      <c r="H3013" s="7"/>
      <c r="K3013" s="30"/>
    </row>
    <row r="3014" spans="1:11" s="2" customFormat="1" x14ac:dyDescent="0.25">
      <c r="A3014" s="28" t="s">
        <v>5323</v>
      </c>
      <c r="B3014" s="29">
        <v>85</v>
      </c>
      <c r="C3014" s="28"/>
      <c r="D3014" s="28" t="s">
        <v>1217</v>
      </c>
      <c r="E3014" s="3"/>
      <c r="H3014" s="7"/>
      <c r="K3014" s="30"/>
    </row>
    <row r="3015" spans="1:11" s="2" customFormat="1" x14ac:dyDescent="0.25">
      <c r="A3015" s="28" t="s">
        <v>5324</v>
      </c>
      <c r="B3015" s="29">
        <v>536</v>
      </c>
      <c r="C3015" s="28"/>
      <c r="D3015" s="28" t="s">
        <v>1217</v>
      </c>
      <c r="E3015" s="3"/>
      <c r="H3015" s="7"/>
      <c r="K3015" s="30"/>
    </row>
    <row r="3016" spans="1:11" s="2" customFormat="1" x14ac:dyDescent="0.25">
      <c r="A3016" s="28" t="s">
        <v>5325</v>
      </c>
      <c r="B3016" s="29">
        <v>286</v>
      </c>
      <c r="C3016" s="28"/>
      <c r="D3016" s="28" t="s">
        <v>1217</v>
      </c>
      <c r="E3016" s="3"/>
      <c r="H3016" s="7"/>
      <c r="K3016" s="30"/>
    </row>
    <row r="3017" spans="1:11" s="2" customFormat="1" x14ac:dyDescent="0.25">
      <c r="A3017" s="28" t="s">
        <v>5326</v>
      </c>
      <c r="B3017" s="29">
        <v>38</v>
      </c>
      <c r="C3017" s="28"/>
      <c r="D3017" s="28" t="s">
        <v>1217</v>
      </c>
      <c r="E3017" s="3"/>
      <c r="H3017" s="7"/>
      <c r="K3017" s="30"/>
    </row>
    <row r="3018" spans="1:11" s="2" customFormat="1" x14ac:dyDescent="0.25">
      <c r="A3018" s="28" t="s">
        <v>5327</v>
      </c>
      <c r="B3018" s="29">
        <v>848</v>
      </c>
      <c r="C3018" s="28"/>
      <c r="D3018" s="28" t="s">
        <v>1217</v>
      </c>
      <c r="E3018" s="3"/>
      <c r="H3018" s="7"/>
      <c r="K3018" s="30"/>
    </row>
    <row r="3019" spans="1:11" s="2" customFormat="1" x14ac:dyDescent="0.25">
      <c r="A3019" s="28" t="s">
        <v>5328</v>
      </c>
      <c r="B3019" s="29">
        <v>200</v>
      </c>
      <c r="C3019" s="28"/>
      <c r="D3019" s="28" t="s">
        <v>1217</v>
      </c>
      <c r="E3019" s="3"/>
      <c r="H3019" s="7"/>
      <c r="K3019" s="30"/>
    </row>
    <row r="3020" spans="1:11" s="2" customFormat="1" x14ac:dyDescent="0.25">
      <c r="A3020" s="28" t="s">
        <v>5329</v>
      </c>
      <c r="B3020" s="29">
        <v>657</v>
      </c>
      <c r="C3020" s="28"/>
      <c r="D3020" s="28" t="s">
        <v>1217</v>
      </c>
      <c r="E3020" s="3"/>
      <c r="H3020" s="7"/>
      <c r="K3020" s="30"/>
    </row>
    <row r="3021" spans="1:11" s="2" customFormat="1" x14ac:dyDescent="0.25">
      <c r="A3021" s="28" t="s">
        <v>5330</v>
      </c>
      <c r="B3021" s="29">
        <v>45</v>
      </c>
      <c r="C3021" s="28"/>
      <c r="D3021" s="28" t="s">
        <v>1217</v>
      </c>
      <c r="E3021" s="3"/>
      <c r="H3021" s="7"/>
      <c r="K3021" s="30"/>
    </row>
    <row r="3022" spans="1:11" s="2" customFormat="1" x14ac:dyDescent="0.25">
      <c r="A3022" s="28" t="s">
        <v>5331</v>
      </c>
      <c r="B3022" s="29">
        <v>50</v>
      </c>
      <c r="C3022" s="28"/>
      <c r="D3022" s="28" t="s">
        <v>1217</v>
      </c>
      <c r="E3022" s="3"/>
      <c r="H3022" s="7"/>
      <c r="K3022" s="30"/>
    </row>
    <row r="3023" spans="1:11" s="2" customFormat="1" x14ac:dyDescent="0.25">
      <c r="A3023" s="28" t="s">
        <v>5332</v>
      </c>
      <c r="B3023" s="29">
        <v>860</v>
      </c>
      <c r="C3023" s="28"/>
      <c r="D3023" s="28" t="s">
        <v>1217</v>
      </c>
      <c r="E3023" s="3"/>
      <c r="H3023" s="7"/>
      <c r="K3023" s="30"/>
    </row>
    <row r="3024" spans="1:11" s="2" customFormat="1" x14ac:dyDescent="0.25">
      <c r="A3024" s="28" t="s">
        <v>5333</v>
      </c>
      <c r="B3024" s="29">
        <v>100</v>
      </c>
      <c r="C3024" s="28"/>
      <c r="D3024" s="28" t="s">
        <v>1217</v>
      </c>
      <c r="E3024" s="3"/>
      <c r="H3024" s="7"/>
      <c r="K3024" s="30"/>
    </row>
    <row r="3025" spans="1:11" s="2" customFormat="1" x14ac:dyDescent="0.25">
      <c r="A3025" s="28" t="s">
        <v>5334</v>
      </c>
      <c r="B3025" s="29">
        <v>54</v>
      </c>
      <c r="C3025" s="28"/>
      <c r="D3025" s="28" t="s">
        <v>1217</v>
      </c>
      <c r="E3025" s="3"/>
      <c r="H3025" s="7"/>
      <c r="K3025" s="30"/>
    </row>
    <row r="3026" spans="1:11" s="2" customFormat="1" x14ac:dyDescent="0.25">
      <c r="A3026" s="28" t="s">
        <v>5335</v>
      </c>
      <c r="B3026" s="29">
        <v>43</v>
      </c>
      <c r="C3026" s="28"/>
      <c r="D3026" s="28" t="s">
        <v>1217</v>
      </c>
      <c r="E3026" s="3"/>
      <c r="H3026" s="7"/>
      <c r="K3026" s="30"/>
    </row>
    <row r="3027" spans="1:11" s="2" customFormat="1" x14ac:dyDescent="0.25">
      <c r="A3027" s="28" t="s">
        <v>5336</v>
      </c>
      <c r="B3027" s="29">
        <v>20</v>
      </c>
      <c r="C3027" s="28"/>
      <c r="D3027" s="28" t="s">
        <v>1217</v>
      </c>
      <c r="E3027" s="3"/>
      <c r="H3027" s="7"/>
      <c r="K3027" s="30"/>
    </row>
    <row r="3028" spans="1:11" s="2" customFormat="1" x14ac:dyDescent="0.25">
      <c r="A3028" s="28" t="s">
        <v>5337</v>
      </c>
      <c r="B3028" s="29">
        <v>412</v>
      </c>
      <c r="C3028" s="28"/>
      <c r="D3028" s="28" t="s">
        <v>1217</v>
      </c>
      <c r="E3028" s="3"/>
      <c r="H3028" s="7"/>
      <c r="K3028" s="30"/>
    </row>
    <row r="3029" spans="1:11" s="2" customFormat="1" x14ac:dyDescent="0.25">
      <c r="A3029" s="28" t="s">
        <v>5338</v>
      </c>
      <c r="B3029" s="29">
        <v>99</v>
      </c>
      <c r="C3029" s="28"/>
      <c r="D3029" s="28" t="s">
        <v>1217</v>
      </c>
      <c r="E3029" s="3"/>
      <c r="H3029" s="7"/>
      <c r="K3029" s="30"/>
    </row>
    <row r="3030" spans="1:11" s="2" customFormat="1" x14ac:dyDescent="0.25">
      <c r="A3030" s="28" t="s">
        <v>5339</v>
      </c>
      <c r="B3030" s="29">
        <v>178</v>
      </c>
      <c r="C3030" s="28"/>
      <c r="D3030" s="28" t="s">
        <v>1217</v>
      </c>
      <c r="E3030" s="3"/>
      <c r="H3030" s="7"/>
      <c r="K3030" s="30"/>
    </row>
    <row r="3031" spans="1:11" s="2" customFormat="1" x14ac:dyDescent="0.25">
      <c r="A3031" s="28" t="s">
        <v>5340</v>
      </c>
      <c r="B3031" s="29">
        <v>84</v>
      </c>
      <c r="C3031" s="28"/>
      <c r="D3031" s="28" t="s">
        <v>1217</v>
      </c>
      <c r="E3031" s="3"/>
      <c r="H3031" s="7"/>
      <c r="K3031" s="30"/>
    </row>
    <row r="3032" spans="1:11" s="2" customFormat="1" x14ac:dyDescent="0.25">
      <c r="A3032" s="28" t="s">
        <v>5341</v>
      </c>
      <c r="B3032" s="29">
        <v>31</v>
      </c>
      <c r="C3032" s="28"/>
      <c r="D3032" s="28" t="s">
        <v>1217</v>
      </c>
      <c r="E3032" s="3"/>
      <c r="H3032" s="7"/>
      <c r="K3032" s="30"/>
    </row>
    <row r="3033" spans="1:11" s="2" customFormat="1" x14ac:dyDescent="0.25">
      <c r="A3033" s="28" t="s">
        <v>5342</v>
      </c>
      <c r="B3033" s="29">
        <v>32</v>
      </c>
      <c r="C3033" s="28"/>
      <c r="D3033" s="28" t="s">
        <v>1217</v>
      </c>
      <c r="E3033" s="3"/>
      <c r="H3033" s="7"/>
      <c r="K3033" s="30"/>
    </row>
    <row r="3034" spans="1:11" s="2" customFormat="1" x14ac:dyDescent="0.25">
      <c r="A3034" s="28" t="s">
        <v>5343</v>
      </c>
      <c r="B3034" s="29">
        <v>29</v>
      </c>
      <c r="C3034" s="28"/>
      <c r="D3034" s="28" t="s">
        <v>1217</v>
      </c>
      <c r="E3034" s="3"/>
      <c r="H3034" s="7"/>
      <c r="K3034" s="30"/>
    </row>
    <row r="3035" spans="1:11" s="2" customFormat="1" x14ac:dyDescent="0.25">
      <c r="A3035" s="28" t="s">
        <v>5344</v>
      </c>
      <c r="B3035" s="29">
        <v>196</v>
      </c>
      <c r="C3035" s="28"/>
      <c r="D3035" s="28" t="s">
        <v>1217</v>
      </c>
      <c r="E3035" s="3"/>
      <c r="H3035" s="7"/>
      <c r="K3035" s="30"/>
    </row>
    <row r="3036" spans="1:11" s="2" customFormat="1" x14ac:dyDescent="0.25">
      <c r="A3036" s="28" t="s">
        <v>5345</v>
      </c>
      <c r="B3036" s="29">
        <v>19</v>
      </c>
      <c r="C3036" s="28"/>
      <c r="D3036" s="28" t="s">
        <v>1217</v>
      </c>
      <c r="E3036" s="3"/>
      <c r="H3036" s="7"/>
      <c r="K3036" s="30"/>
    </row>
    <row r="3037" spans="1:11" s="2" customFormat="1" x14ac:dyDescent="0.25">
      <c r="A3037" s="28" t="s">
        <v>5346</v>
      </c>
      <c r="B3037" s="29">
        <v>140</v>
      </c>
      <c r="C3037" s="28"/>
      <c r="D3037" s="28" t="s">
        <v>1217</v>
      </c>
      <c r="E3037" s="3"/>
      <c r="H3037" s="7"/>
      <c r="K3037" s="30"/>
    </row>
    <row r="3038" spans="1:11" s="2" customFormat="1" x14ac:dyDescent="0.25">
      <c r="A3038" s="28" t="s">
        <v>5347</v>
      </c>
      <c r="B3038" s="29">
        <v>100</v>
      </c>
      <c r="C3038" s="28"/>
      <c r="D3038" s="28" t="s">
        <v>1217</v>
      </c>
      <c r="E3038" s="3"/>
      <c r="H3038" s="7"/>
      <c r="K3038" s="30"/>
    </row>
    <row r="3039" spans="1:11" s="2" customFormat="1" x14ac:dyDescent="0.25">
      <c r="A3039" s="28" t="s">
        <v>5348</v>
      </c>
      <c r="B3039" s="29">
        <v>70</v>
      </c>
      <c r="C3039" s="28"/>
      <c r="D3039" s="28" t="s">
        <v>1217</v>
      </c>
      <c r="E3039" s="3"/>
      <c r="H3039" s="7"/>
      <c r="K3039" s="30"/>
    </row>
    <row r="3040" spans="1:11" s="2" customFormat="1" x14ac:dyDescent="0.25">
      <c r="A3040" s="28" t="s">
        <v>5349</v>
      </c>
      <c r="B3040" s="29">
        <v>2</v>
      </c>
      <c r="C3040" s="28"/>
      <c r="D3040" s="28" t="s">
        <v>1217</v>
      </c>
      <c r="E3040" s="3"/>
      <c r="H3040" s="7"/>
      <c r="K3040" s="30"/>
    </row>
    <row r="3041" spans="1:11" s="2" customFormat="1" x14ac:dyDescent="0.25">
      <c r="A3041" s="28" t="s">
        <v>5350</v>
      </c>
      <c r="B3041" s="29">
        <v>100</v>
      </c>
      <c r="C3041" s="28"/>
      <c r="D3041" s="28" t="s">
        <v>1217</v>
      </c>
      <c r="E3041" s="3"/>
      <c r="H3041" s="7"/>
      <c r="K3041" s="30"/>
    </row>
    <row r="3042" spans="1:11" s="2" customFormat="1" x14ac:dyDescent="0.25">
      <c r="A3042" s="28" t="s">
        <v>5351</v>
      </c>
      <c r="B3042" s="29">
        <v>109</v>
      </c>
      <c r="C3042" s="28"/>
      <c r="D3042" s="28" t="s">
        <v>1217</v>
      </c>
      <c r="E3042" s="3"/>
      <c r="H3042" s="7"/>
      <c r="K3042" s="30"/>
    </row>
    <row r="3043" spans="1:11" s="2" customFormat="1" x14ac:dyDescent="0.25">
      <c r="A3043" s="28" t="s">
        <v>5352</v>
      </c>
      <c r="B3043" s="29">
        <v>176</v>
      </c>
      <c r="C3043" s="28"/>
      <c r="D3043" s="28" t="s">
        <v>1217</v>
      </c>
      <c r="E3043" s="3"/>
      <c r="H3043" s="7"/>
      <c r="K3043" s="30"/>
    </row>
    <row r="3044" spans="1:11" s="2" customFormat="1" x14ac:dyDescent="0.25">
      <c r="A3044" s="28" t="s">
        <v>5353</v>
      </c>
      <c r="B3044" s="29">
        <v>40</v>
      </c>
      <c r="C3044" s="28"/>
      <c r="D3044" s="28" t="s">
        <v>1217</v>
      </c>
      <c r="E3044" s="3"/>
      <c r="H3044" s="7"/>
      <c r="K3044" s="30"/>
    </row>
    <row r="3045" spans="1:11" s="2" customFormat="1" x14ac:dyDescent="0.25">
      <c r="A3045" s="28" t="s">
        <v>5354</v>
      </c>
      <c r="B3045" s="29">
        <v>32</v>
      </c>
      <c r="C3045" s="28"/>
      <c r="D3045" s="28" t="s">
        <v>1217</v>
      </c>
      <c r="E3045" s="3"/>
      <c r="H3045" s="7"/>
      <c r="K3045" s="30"/>
    </row>
    <row r="3046" spans="1:11" s="2" customFormat="1" x14ac:dyDescent="0.25">
      <c r="A3046" s="28" t="s">
        <v>5355</v>
      </c>
      <c r="B3046" s="29">
        <v>30</v>
      </c>
      <c r="C3046" s="28"/>
      <c r="D3046" s="28" t="s">
        <v>1217</v>
      </c>
      <c r="E3046" s="3"/>
      <c r="H3046" s="7"/>
      <c r="K3046" s="30"/>
    </row>
    <row r="3047" spans="1:11" s="2" customFormat="1" x14ac:dyDescent="0.25">
      <c r="A3047" s="28" t="s">
        <v>5356</v>
      </c>
      <c r="B3047" s="29">
        <v>8</v>
      </c>
      <c r="C3047" s="28"/>
      <c r="D3047" s="28" t="s">
        <v>1217</v>
      </c>
      <c r="E3047" s="3"/>
      <c r="H3047" s="7"/>
      <c r="K3047" s="30"/>
    </row>
    <row r="3048" spans="1:11" s="2" customFormat="1" x14ac:dyDescent="0.25">
      <c r="A3048" s="28" t="s">
        <v>5357</v>
      </c>
      <c r="B3048" s="29">
        <v>782</v>
      </c>
      <c r="C3048" s="28"/>
      <c r="D3048" s="28" t="s">
        <v>1217</v>
      </c>
      <c r="E3048" s="3"/>
      <c r="H3048" s="7"/>
      <c r="K3048" s="30"/>
    </row>
    <row r="3049" spans="1:11" s="2" customFormat="1" x14ac:dyDescent="0.25">
      <c r="A3049" s="28" t="s">
        <v>5358</v>
      </c>
      <c r="B3049" s="29">
        <v>8</v>
      </c>
      <c r="C3049" s="28"/>
      <c r="D3049" s="28" t="s">
        <v>1217</v>
      </c>
      <c r="E3049" s="3"/>
      <c r="H3049" s="7"/>
      <c r="K3049" s="30"/>
    </row>
    <row r="3050" spans="1:11" s="2" customFormat="1" x14ac:dyDescent="0.25">
      <c r="A3050" s="28" t="s">
        <v>5359</v>
      </c>
      <c r="B3050" s="29">
        <v>80</v>
      </c>
      <c r="C3050" s="28"/>
      <c r="D3050" s="28" t="s">
        <v>1217</v>
      </c>
      <c r="E3050" s="3"/>
      <c r="H3050" s="7"/>
      <c r="K3050" s="30"/>
    </row>
    <row r="3051" spans="1:11" s="2" customFormat="1" x14ac:dyDescent="0.25">
      <c r="A3051" s="28" t="s">
        <v>5360</v>
      </c>
      <c r="B3051" s="29">
        <v>46</v>
      </c>
      <c r="C3051" s="28"/>
      <c r="D3051" s="28" t="s">
        <v>1217</v>
      </c>
      <c r="E3051" s="3"/>
      <c r="H3051" s="7"/>
      <c r="K3051" s="30"/>
    </row>
    <row r="3052" spans="1:11" s="2" customFormat="1" x14ac:dyDescent="0.25">
      <c r="A3052" s="28" t="s">
        <v>5361</v>
      </c>
      <c r="B3052" s="29">
        <v>36</v>
      </c>
      <c r="C3052" s="28"/>
      <c r="D3052" s="28" t="s">
        <v>1217</v>
      </c>
      <c r="E3052" s="3"/>
      <c r="H3052" s="7"/>
      <c r="K3052" s="30"/>
    </row>
    <row r="3053" spans="1:11" s="2" customFormat="1" x14ac:dyDescent="0.25">
      <c r="A3053" s="28" t="s">
        <v>5362</v>
      </c>
      <c r="B3053" s="29">
        <v>2439</v>
      </c>
      <c r="C3053" s="28"/>
      <c r="D3053" s="28" t="s">
        <v>1217</v>
      </c>
      <c r="E3053" s="3"/>
      <c r="H3053" s="7"/>
      <c r="K3053" s="30"/>
    </row>
    <row r="3054" spans="1:11" s="2" customFormat="1" x14ac:dyDescent="0.25">
      <c r="A3054" s="28" t="s">
        <v>5363</v>
      </c>
      <c r="B3054" s="29">
        <v>572</v>
      </c>
      <c r="C3054" s="28"/>
      <c r="D3054" s="28" t="s">
        <v>1217</v>
      </c>
      <c r="E3054" s="3"/>
      <c r="H3054" s="7"/>
      <c r="K3054" s="30"/>
    </row>
    <row r="3055" spans="1:11" s="2" customFormat="1" x14ac:dyDescent="0.25">
      <c r="A3055" s="28" t="s">
        <v>5364</v>
      </c>
      <c r="B3055" s="29">
        <v>206</v>
      </c>
      <c r="C3055" s="28"/>
      <c r="D3055" s="28" t="s">
        <v>1217</v>
      </c>
      <c r="E3055" s="3"/>
      <c r="H3055" s="7"/>
      <c r="K3055" s="30"/>
    </row>
    <row r="3056" spans="1:11" s="2" customFormat="1" x14ac:dyDescent="0.25">
      <c r="A3056" s="28" t="s">
        <v>5365</v>
      </c>
      <c r="B3056" s="29">
        <v>45</v>
      </c>
      <c r="C3056" s="28"/>
      <c r="D3056" s="28" t="s">
        <v>1217</v>
      </c>
      <c r="E3056" s="3"/>
      <c r="H3056" s="7"/>
      <c r="K3056" s="30"/>
    </row>
    <row r="3057" spans="1:11" s="2" customFormat="1" x14ac:dyDescent="0.25">
      <c r="A3057" s="28" t="s">
        <v>5366</v>
      </c>
      <c r="B3057" s="29">
        <v>10</v>
      </c>
      <c r="C3057" s="28"/>
      <c r="D3057" s="28" t="s">
        <v>1217</v>
      </c>
      <c r="E3057" s="3"/>
      <c r="H3057" s="7"/>
      <c r="K3057" s="30"/>
    </row>
    <row r="3058" spans="1:11" s="2" customFormat="1" x14ac:dyDescent="0.25">
      <c r="A3058" s="28" t="s">
        <v>5367</v>
      </c>
      <c r="B3058" s="29">
        <v>92</v>
      </c>
      <c r="C3058" s="28"/>
      <c r="D3058" s="28" t="s">
        <v>1217</v>
      </c>
      <c r="E3058" s="3"/>
      <c r="H3058" s="7"/>
      <c r="K3058" s="30"/>
    </row>
    <row r="3059" spans="1:11" s="2" customFormat="1" x14ac:dyDescent="0.25">
      <c r="A3059" s="28" t="s">
        <v>5368</v>
      </c>
      <c r="B3059" s="29">
        <v>50</v>
      </c>
      <c r="C3059" s="28"/>
      <c r="D3059" s="28" t="s">
        <v>1217</v>
      </c>
      <c r="E3059" s="3"/>
      <c r="H3059" s="7"/>
      <c r="K3059" s="30"/>
    </row>
    <row r="3060" spans="1:11" s="2" customFormat="1" x14ac:dyDescent="0.25">
      <c r="A3060" s="28" t="s">
        <v>5369</v>
      </c>
      <c r="B3060" s="29">
        <v>5</v>
      </c>
      <c r="C3060" s="28"/>
      <c r="D3060" s="28" t="s">
        <v>1217</v>
      </c>
      <c r="E3060" s="3"/>
      <c r="H3060" s="7"/>
      <c r="K3060" s="30"/>
    </row>
    <row r="3061" spans="1:11" s="2" customFormat="1" x14ac:dyDescent="0.25">
      <c r="A3061" s="28" t="s">
        <v>5370</v>
      </c>
      <c r="B3061" s="29">
        <v>39</v>
      </c>
      <c r="C3061" s="28"/>
      <c r="D3061" s="28" t="s">
        <v>1217</v>
      </c>
      <c r="E3061" s="3"/>
      <c r="H3061" s="7"/>
      <c r="K3061" s="30"/>
    </row>
    <row r="3062" spans="1:11" s="2" customFormat="1" x14ac:dyDescent="0.25">
      <c r="A3062" s="28" t="s">
        <v>5371</v>
      </c>
      <c r="B3062" s="29">
        <v>89</v>
      </c>
      <c r="C3062" s="28"/>
      <c r="D3062" s="28" t="s">
        <v>1217</v>
      </c>
      <c r="E3062" s="3"/>
      <c r="H3062" s="7"/>
      <c r="K3062" s="30"/>
    </row>
    <row r="3063" spans="1:11" s="2" customFormat="1" x14ac:dyDescent="0.25">
      <c r="A3063" s="28" t="s">
        <v>5372</v>
      </c>
      <c r="B3063" s="29">
        <v>8</v>
      </c>
      <c r="C3063" s="28"/>
      <c r="D3063" s="28" t="s">
        <v>1217</v>
      </c>
      <c r="E3063" s="3"/>
      <c r="H3063" s="7"/>
      <c r="K3063" s="30"/>
    </row>
    <row r="3064" spans="1:11" s="2" customFormat="1" x14ac:dyDescent="0.25">
      <c r="A3064" s="28" t="s">
        <v>5373</v>
      </c>
      <c r="B3064" s="29">
        <v>42</v>
      </c>
      <c r="C3064" s="28"/>
      <c r="D3064" s="28" t="s">
        <v>1217</v>
      </c>
      <c r="E3064" s="3"/>
      <c r="H3064" s="7"/>
      <c r="K3064" s="30"/>
    </row>
    <row r="3065" spans="1:11" s="2" customFormat="1" x14ac:dyDescent="0.25">
      <c r="A3065" s="28" t="s">
        <v>5374</v>
      </c>
      <c r="B3065" s="29">
        <v>82</v>
      </c>
      <c r="C3065" s="28"/>
      <c r="D3065" s="28" t="s">
        <v>1217</v>
      </c>
      <c r="E3065" s="3"/>
      <c r="H3065" s="7"/>
      <c r="K3065" s="30"/>
    </row>
    <row r="3066" spans="1:11" s="2" customFormat="1" x14ac:dyDescent="0.25">
      <c r="A3066" s="28" t="s">
        <v>5375</v>
      </c>
      <c r="B3066" s="29">
        <v>52</v>
      </c>
      <c r="C3066" s="28"/>
      <c r="D3066" s="28" t="s">
        <v>1217</v>
      </c>
      <c r="E3066" s="3"/>
      <c r="H3066" s="7"/>
      <c r="K3066" s="30"/>
    </row>
    <row r="3067" spans="1:11" s="2" customFormat="1" x14ac:dyDescent="0.25">
      <c r="A3067" s="28" t="s">
        <v>5376</v>
      </c>
      <c r="B3067" s="29">
        <v>42</v>
      </c>
      <c r="C3067" s="28"/>
      <c r="D3067" s="28" t="s">
        <v>1217</v>
      </c>
      <c r="E3067" s="3"/>
      <c r="H3067" s="7"/>
      <c r="K3067" s="30"/>
    </row>
    <row r="3068" spans="1:11" s="2" customFormat="1" x14ac:dyDescent="0.25">
      <c r="A3068" s="28" t="s">
        <v>5377</v>
      </c>
      <c r="B3068" s="29">
        <v>6</v>
      </c>
      <c r="C3068" s="28"/>
      <c r="D3068" s="28" t="s">
        <v>1217</v>
      </c>
      <c r="E3068" s="3"/>
      <c r="H3068" s="7"/>
      <c r="K3068" s="30"/>
    </row>
    <row r="3069" spans="1:11" s="2" customFormat="1" x14ac:dyDescent="0.25">
      <c r="A3069" s="28" t="s">
        <v>5378</v>
      </c>
      <c r="B3069" s="29">
        <v>34</v>
      </c>
      <c r="C3069" s="28"/>
      <c r="D3069" s="28" t="s">
        <v>1217</v>
      </c>
      <c r="E3069" s="3"/>
      <c r="H3069" s="7"/>
      <c r="K3069" s="30"/>
    </row>
    <row r="3070" spans="1:11" s="2" customFormat="1" x14ac:dyDescent="0.25">
      <c r="A3070" s="28" t="s">
        <v>5379</v>
      </c>
      <c r="B3070" s="29">
        <v>10</v>
      </c>
      <c r="C3070" s="28"/>
      <c r="D3070" s="28" t="s">
        <v>1217</v>
      </c>
      <c r="E3070" s="3"/>
      <c r="H3070" s="7"/>
      <c r="K3070" s="30"/>
    </row>
    <row r="3071" spans="1:11" s="2" customFormat="1" x14ac:dyDescent="0.25">
      <c r="A3071" s="28" t="s">
        <v>5380</v>
      </c>
      <c r="B3071" s="29">
        <v>134</v>
      </c>
      <c r="C3071" s="28"/>
      <c r="D3071" s="28" t="s">
        <v>1217</v>
      </c>
      <c r="E3071" s="3"/>
      <c r="H3071" s="7"/>
      <c r="K3071" s="30"/>
    </row>
    <row r="3072" spans="1:11" s="2" customFormat="1" x14ac:dyDescent="0.25">
      <c r="A3072" s="28" t="s">
        <v>5381</v>
      </c>
      <c r="B3072" s="29">
        <v>11</v>
      </c>
      <c r="C3072" s="28"/>
      <c r="D3072" s="28" t="s">
        <v>1217</v>
      </c>
      <c r="E3072" s="3"/>
      <c r="H3072" s="7"/>
      <c r="K3072" s="30"/>
    </row>
    <row r="3073" spans="1:11" s="2" customFormat="1" x14ac:dyDescent="0.25">
      <c r="A3073" s="28" t="s">
        <v>5382</v>
      </c>
      <c r="B3073" s="29">
        <v>4</v>
      </c>
      <c r="C3073" s="28"/>
      <c r="D3073" s="28" t="s">
        <v>1217</v>
      </c>
      <c r="E3073" s="3"/>
      <c r="H3073" s="7"/>
      <c r="K3073" s="30"/>
    </row>
    <row r="3074" spans="1:11" s="2" customFormat="1" x14ac:dyDescent="0.25">
      <c r="A3074" s="28" t="s">
        <v>5383</v>
      </c>
      <c r="B3074" s="29">
        <v>30</v>
      </c>
      <c r="C3074" s="28"/>
      <c r="D3074" s="28" t="s">
        <v>1217</v>
      </c>
      <c r="E3074" s="3"/>
      <c r="H3074" s="7"/>
      <c r="K3074" s="30"/>
    </row>
    <row r="3075" spans="1:11" s="2" customFormat="1" x14ac:dyDescent="0.25">
      <c r="A3075" s="28" t="s">
        <v>5384</v>
      </c>
      <c r="B3075" s="29">
        <v>34</v>
      </c>
      <c r="C3075" s="28"/>
      <c r="D3075" s="28" t="s">
        <v>1217</v>
      </c>
      <c r="E3075" s="3"/>
      <c r="H3075" s="7"/>
      <c r="K3075" s="30"/>
    </row>
    <row r="3076" spans="1:11" s="2" customFormat="1" x14ac:dyDescent="0.25">
      <c r="A3076" s="28" t="s">
        <v>5385</v>
      </c>
      <c r="B3076" s="29">
        <v>180</v>
      </c>
      <c r="C3076" s="28"/>
      <c r="D3076" s="28" t="s">
        <v>1217</v>
      </c>
      <c r="E3076" s="3"/>
      <c r="H3076" s="7"/>
      <c r="K3076" s="30"/>
    </row>
    <row r="3077" spans="1:11" s="2" customFormat="1" x14ac:dyDescent="0.25">
      <c r="A3077" s="28" t="s">
        <v>5386</v>
      </c>
      <c r="B3077" s="29">
        <v>50</v>
      </c>
      <c r="C3077" s="28"/>
      <c r="D3077" s="28" t="s">
        <v>1217</v>
      </c>
      <c r="E3077" s="3"/>
      <c r="H3077" s="7"/>
      <c r="K3077" s="30"/>
    </row>
    <row r="3078" spans="1:11" s="2" customFormat="1" x14ac:dyDescent="0.25">
      <c r="A3078" s="28" t="s">
        <v>5387</v>
      </c>
      <c r="B3078" s="29">
        <v>52</v>
      </c>
      <c r="C3078" s="28"/>
      <c r="D3078" s="28" t="s">
        <v>1217</v>
      </c>
      <c r="E3078" s="3"/>
      <c r="H3078" s="7"/>
      <c r="K3078" s="30"/>
    </row>
    <row r="3079" spans="1:11" s="2" customFormat="1" x14ac:dyDescent="0.25">
      <c r="A3079" s="28" t="s">
        <v>5388</v>
      </c>
      <c r="B3079" s="29">
        <v>4</v>
      </c>
      <c r="C3079" s="28"/>
      <c r="D3079" s="28" t="s">
        <v>1217</v>
      </c>
      <c r="E3079" s="3"/>
      <c r="H3079" s="7"/>
      <c r="K3079" s="30"/>
    </row>
    <row r="3080" spans="1:11" s="2" customFormat="1" x14ac:dyDescent="0.25">
      <c r="A3080" s="28" t="s">
        <v>5389</v>
      </c>
      <c r="B3080" s="29">
        <v>200</v>
      </c>
      <c r="C3080" s="28"/>
      <c r="D3080" s="28" t="s">
        <v>1217</v>
      </c>
      <c r="E3080" s="3"/>
      <c r="H3080" s="7"/>
      <c r="K3080" s="30"/>
    </row>
    <row r="3081" spans="1:11" s="2" customFormat="1" x14ac:dyDescent="0.25">
      <c r="A3081" s="28" t="s">
        <v>5390</v>
      </c>
      <c r="B3081" s="29">
        <v>84</v>
      </c>
      <c r="C3081" s="28"/>
      <c r="D3081" s="28" t="s">
        <v>1217</v>
      </c>
      <c r="E3081" s="3"/>
      <c r="H3081" s="7"/>
      <c r="K3081" s="30"/>
    </row>
    <row r="3082" spans="1:11" s="2" customFormat="1" x14ac:dyDescent="0.25">
      <c r="A3082" s="28" t="s">
        <v>5391</v>
      </c>
      <c r="B3082" s="29">
        <v>7</v>
      </c>
      <c r="C3082" s="28"/>
      <c r="D3082" s="28" t="s">
        <v>1217</v>
      </c>
      <c r="E3082" s="3"/>
      <c r="H3082" s="7"/>
      <c r="K3082" s="30"/>
    </row>
    <row r="3083" spans="1:11" s="2" customFormat="1" x14ac:dyDescent="0.25">
      <c r="A3083" s="28" t="s">
        <v>5392</v>
      </c>
      <c r="B3083" s="29">
        <v>2</v>
      </c>
      <c r="C3083" s="28"/>
      <c r="D3083" s="28" t="s">
        <v>1217</v>
      </c>
      <c r="E3083" s="3"/>
      <c r="H3083" s="7"/>
      <c r="K3083" s="30"/>
    </row>
    <row r="3084" spans="1:11" s="2" customFormat="1" x14ac:dyDescent="0.25">
      <c r="A3084" s="28" t="s">
        <v>5393</v>
      </c>
      <c r="B3084" s="29">
        <v>37</v>
      </c>
      <c r="C3084" s="28"/>
      <c r="D3084" s="28" t="s">
        <v>1217</v>
      </c>
      <c r="E3084" s="3"/>
      <c r="H3084" s="7"/>
      <c r="K3084" s="30"/>
    </row>
    <row r="3085" spans="1:11" s="2" customFormat="1" x14ac:dyDescent="0.25">
      <c r="A3085" s="28" t="s">
        <v>5394</v>
      </c>
      <c r="B3085" s="29">
        <v>34</v>
      </c>
      <c r="C3085" s="28"/>
      <c r="D3085" s="28" t="s">
        <v>1217</v>
      </c>
      <c r="E3085" s="3"/>
      <c r="H3085" s="7"/>
      <c r="K3085" s="30"/>
    </row>
    <row r="3086" spans="1:11" s="2" customFormat="1" x14ac:dyDescent="0.25">
      <c r="A3086" s="28" t="s">
        <v>5395</v>
      </c>
      <c r="B3086" s="29">
        <v>85</v>
      </c>
      <c r="C3086" s="28"/>
      <c r="D3086" s="28" t="s">
        <v>1217</v>
      </c>
      <c r="E3086" s="3"/>
      <c r="H3086" s="7"/>
      <c r="K3086" s="30"/>
    </row>
    <row r="3087" spans="1:11" s="2" customFormat="1" x14ac:dyDescent="0.25">
      <c r="A3087" s="28" t="s">
        <v>5396</v>
      </c>
      <c r="B3087" s="29">
        <v>86</v>
      </c>
      <c r="C3087" s="28"/>
      <c r="D3087" s="28" t="s">
        <v>1217</v>
      </c>
      <c r="E3087" s="3"/>
      <c r="H3087" s="7"/>
      <c r="K3087" s="30"/>
    </row>
    <row r="3088" spans="1:11" s="2" customFormat="1" x14ac:dyDescent="0.25">
      <c r="A3088" s="28" t="s">
        <v>5397</v>
      </c>
      <c r="B3088" s="29">
        <v>10</v>
      </c>
      <c r="C3088" s="28"/>
      <c r="D3088" s="28" t="s">
        <v>1217</v>
      </c>
      <c r="E3088" s="3"/>
      <c r="H3088" s="7"/>
      <c r="K3088" s="30"/>
    </row>
    <row r="3089" spans="1:11" s="2" customFormat="1" x14ac:dyDescent="0.25">
      <c r="A3089" s="28" t="s">
        <v>5398</v>
      </c>
      <c r="B3089" s="29">
        <v>80</v>
      </c>
      <c r="C3089" s="28"/>
      <c r="D3089" s="28" t="s">
        <v>1217</v>
      </c>
      <c r="E3089" s="3"/>
      <c r="H3089" s="7"/>
      <c r="K3089" s="30"/>
    </row>
    <row r="3090" spans="1:11" s="2" customFormat="1" x14ac:dyDescent="0.25">
      <c r="A3090" s="28" t="s">
        <v>5399</v>
      </c>
      <c r="B3090" s="29">
        <v>45</v>
      </c>
      <c r="C3090" s="28"/>
      <c r="D3090" s="28" t="s">
        <v>1217</v>
      </c>
      <c r="E3090" s="3"/>
      <c r="H3090" s="7"/>
      <c r="K3090" s="30"/>
    </row>
    <row r="3091" spans="1:11" s="2" customFormat="1" x14ac:dyDescent="0.25">
      <c r="A3091" s="28" t="s">
        <v>5400</v>
      </c>
      <c r="B3091" s="29">
        <v>5</v>
      </c>
      <c r="C3091" s="28"/>
      <c r="D3091" s="28" t="s">
        <v>1217</v>
      </c>
      <c r="E3091" s="3"/>
      <c r="H3091" s="7"/>
      <c r="K3091" s="30"/>
    </row>
    <row r="3092" spans="1:11" s="2" customFormat="1" x14ac:dyDescent="0.25">
      <c r="A3092" s="28" t="s">
        <v>5401</v>
      </c>
      <c r="B3092" s="29">
        <v>39</v>
      </c>
      <c r="C3092" s="28"/>
      <c r="D3092" s="28" t="s">
        <v>1217</v>
      </c>
      <c r="E3092" s="3"/>
      <c r="H3092" s="7"/>
      <c r="K3092" s="30"/>
    </row>
    <row r="3093" spans="1:11" s="2" customFormat="1" x14ac:dyDescent="0.25">
      <c r="A3093" s="28" t="s">
        <v>5402</v>
      </c>
      <c r="B3093" s="29">
        <v>89</v>
      </c>
      <c r="C3093" s="28"/>
      <c r="D3093" s="28" t="s">
        <v>1217</v>
      </c>
      <c r="E3093" s="3"/>
      <c r="H3093" s="7"/>
      <c r="K3093" s="30"/>
    </row>
    <row r="3094" spans="1:11" s="2" customFormat="1" x14ac:dyDescent="0.25">
      <c r="A3094" s="28" t="s">
        <v>5403</v>
      </c>
      <c r="B3094" s="29">
        <v>212</v>
      </c>
      <c r="C3094" s="28"/>
      <c r="D3094" s="28" t="s">
        <v>1217</v>
      </c>
      <c r="E3094" s="3"/>
      <c r="H3094" s="7"/>
      <c r="K3094" s="30"/>
    </row>
    <row r="3095" spans="1:11" s="2" customFormat="1" x14ac:dyDescent="0.25">
      <c r="A3095" s="28" t="s">
        <v>5404</v>
      </c>
      <c r="B3095" s="29">
        <v>944</v>
      </c>
      <c r="C3095" s="28"/>
      <c r="D3095" s="28" t="s">
        <v>1217</v>
      </c>
      <c r="E3095" s="3"/>
      <c r="H3095" s="7"/>
      <c r="K3095" s="30"/>
    </row>
    <row r="3096" spans="1:11" s="2" customFormat="1" x14ac:dyDescent="0.25">
      <c r="A3096" s="28" t="s">
        <v>5405</v>
      </c>
      <c r="B3096" s="29">
        <v>20</v>
      </c>
      <c r="C3096" s="28"/>
      <c r="D3096" s="28" t="s">
        <v>1217</v>
      </c>
      <c r="E3096" s="3"/>
      <c r="H3096" s="7"/>
      <c r="K3096" s="30"/>
    </row>
    <row r="3097" spans="1:11" s="2" customFormat="1" x14ac:dyDescent="0.25">
      <c r="A3097" s="28" t="s">
        <v>5406</v>
      </c>
      <c r="B3097" s="29">
        <v>7</v>
      </c>
      <c r="C3097" s="28"/>
      <c r="D3097" s="28" t="s">
        <v>1217</v>
      </c>
      <c r="E3097" s="3"/>
      <c r="H3097" s="7"/>
      <c r="K3097" s="30"/>
    </row>
    <row r="3098" spans="1:11" s="2" customFormat="1" x14ac:dyDescent="0.25">
      <c r="A3098" s="28" t="s">
        <v>5407</v>
      </c>
      <c r="B3098" s="29">
        <v>6</v>
      </c>
      <c r="C3098" s="28"/>
      <c r="D3098" s="28" t="s">
        <v>1217</v>
      </c>
      <c r="E3098" s="3"/>
      <c r="H3098" s="7"/>
      <c r="K3098" s="30"/>
    </row>
    <row r="3099" spans="1:11" s="2" customFormat="1" x14ac:dyDescent="0.25">
      <c r="A3099" s="28" t="s">
        <v>5408</v>
      </c>
      <c r="B3099" s="29">
        <v>6</v>
      </c>
      <c r="C3099" s="28"/>
      <c r="D3099" s="28" t="s">
        <v>1217</v>
      </c>
      <c r="E3099" s="3"/>
      <c r="H3099" s="7"/>
      <c r="K3099" s="30"/>
    </row>
    <row r="3100" spans="1:11" s="2" customFormat="1" x14ac:dyDescent="0.25">
      <c r="A3100" s="28" t="s">
        <v>5409</v>
      </c>
      <c r="B3100" s="29">
        <v>36</v>
      </c>
      <c r="C3100" s="28"/>
      <c r="D3100" s="28" t="s">
        <v>1217</v>
      </c>
      <c r="E3100" s="3"/>
      <c r="H3100" s="7"/>
      <c r="K3100" s="30"/>
    </row>
    <row r="3101" spans="1:11" s="2" customFormat="1" x14ac:dyDescent="0.25">
      <c r="A3101" s="28" t="s">
        <v>5410</v>
      </c>
      <c r="B3101" s="29">
        <v>14</v>
      </c>
      <c r="C3101" s="28"/>
      <c r="D3101" s="28" t="s">
        <v>1217</v>
      </c>
      <c r="E3101" s="3"/>
      <c r="H3101" s="7"/>
      <c r="K3101" s="30"/>
    </row>
    <row r="3102" spans="1:11" s="2" customFormat="1" x14ac:dyDescent="0.25">
      <c r="A3102" s="28" t="s">
        <v>5411</v>
      </c>
      <c r="B3102" s="29">
        <v>30</v>
      </c>
      <c r="C3102" s="28"/>
      <c r="D3102" s="28" t="s">
        <v>1217</v>
      </c>
      <c r="E3102" s="3"/>
      <c r="H3102" s="7"/>
      <c r="K3102" s="30"/>
    </row>
    <row r="3103" spans="1:11" s="2" customFormat="1" x14ac:dyDescent="0.25">
      <c r="A3103" s="28" t="s">
        <v>5412</v>
      </c>
      <c r="B3103" s="29">
        <v>8</v>
      </c>
      <c r="C3103" s="28"/>
      <c r="D3103" s="28" t="s">
        <v>1217</v>
      </c>
      <c r="E3103" s="3"/>
      <c r="H3103" s="7"/>
      <c r="K3103" s="30"/>
    </row>
    <row r="3104" spans="1:11" s="2" customFormat="1" x14ac:dyDescent="0.25">
      <c r="A3104" s="28" t="s">
        <v>5413</v>
      </c>
      <c r="B3104" s="29">
        <v>414</v>
      </c>
      <c r="C3104" s="28"/>
      <c r="D3104" s="28" t="s">
        <v>1217</v>
      </c>
      <c r="E3104" s="3"/>
      <c r="H3104" s="7"/>
      <c r="K3104" s="30"/>
    </row>
    <row r="3105" spans="1:11" s="2" customFormat="1" x14ac:dyDescent="0.25">
      <c r="A3105" s="28" t="s">
        <v>5414</v>
      </c>
      <c r="B3105" s="29">
        <v>25</v>
      </c>
      <c r="C3105" s="28"/>
      <c r="D3105" s="28" t="s">
        <v>1217</v>
      </c>
      <c r="E3105" s="3"/>
      <c r="H3105" s="7"/>
      <c r="K3105" s="30"/>
    </row>
    <row r="3106" spans="1:11" s="2" customFormat="1" x14ac:dyDescent="0.25">
      <c r="A3106" s="28" t="s">
        <v>5415</v>
      </c>
      <c r="B3106" s="29">
        <v>90</v>
      </c>
      <c r="C3106" s="28"/>
      <c r="D3106" s="28" t="s">
        <v>1217</v>
      </c>
      <c r="E3106" s="3"/>
      <c r="H3106" s="7"/>
      <c r="K3106" s="30"/>
    </row>
    <row r="3107" spans="1:11" s="2" customFormat="1" x14ac:dyDescent="0.25">
      <c r="A3107" s="28" t="s">
        <v>5416</v>
      </c>
      <c r="B3107" s="29">
        <v>10</v>
      </c>
      <c r="C3107" s="28"/>
      <c r="D3107" s="28" t="s">
        <v>1217</v>
      </c>
      <c r="E3107" s="3"/>
      <c r="H3107" s="7"/>
      <c r="K3107" s="30"/>
    </row>
    <row r="3108" spans="1:11" s="2" customFormat="1" x14ac:dyDescent="0.25">
      <c r="A3108" s="28" t="s">
        <v>5417</v>
      </c>
      <c r="B3108" s="29">
        <v>51</v>
      </c>
      <c r="C3108" s="28"/>
      <c r="D3108" s="28" t="s">
        <v>1217</v>
      </c>
      <c r="E3108" s="3"/>
      <c r="H3108" s="7"/>
      <c r="K3108" s="30"/>
    </row>
    <row r="3109" spans="1:11" s="2" customFormat="1" x14ac:dyDescent="0.25">
      <c r="A3109" s="28" t="s">
        <v>5418</v>
      </c>
      <c r="B3109" s="29">
        <v>42</v>
      </c>
      <c r="C3109" s="28"/>
      <c r="D3109" s="28" t="s">
        <v>1217</v>
      </c>
      <c r="E3109" s="3"/>
      <c r="H3109" s="7"/>
      <c r="K3109" s="30"/>
    </row>
    <row r="3110" spans="1:11" s="2" customFormat="1" x14ac:dyDescent="0.25">
      <c r="A3110" s="28" t="s">
        <v>5419</v>
      </c>
      <c r="B3110" s="29">
        <v>54</v>
      </c>
      <c r="C3110" s="28"/>
      <c r="D3110" s="28" t="s">
        <v>1217</v>
      </c>
      <c r="E3110" s="3"/>
      <c r="H3110" s="7"/>
      <c r="K3110" s="30"/>
    </row>
    <row r="3111" spans="1:11" s="2" customFormat="1" x14ac:dyDescent="0.25">
      <c r="A3111" s="28" t="s">
        <v>5420</v>
      </c>
      <c r="B3111" s="29">
        <v>132</v>
      </c>
      <c r="C3111" s="28"/>
      <c r="D3111" s="28" t="s">
        <v>1217</v>
      </c>
      <c r="E3111" s="3"/>
      <c r="H3111" s="7"/>
      <c r="K3111" s="30"/>
    </row>
    <row r="3112" spans="1:11" s="2" customFormat="1" x14ac:dyDescent="0.25">
      <c r="A3112" s="28" t="s">
        <v>5421</v>
      </c>
      <c r="B3112" s="29">
        <v>120</v>
      </c>
      <c r="C3112" s="28"/>
      <c r="D3112" s="28" t="s">
        <v>1217</v>
      </c>
      <c r="E3112" s="3"/>
      <c r="H3112" s="7"/>
      <c r="K3112" s="30"/>
    </row>
    <row r="3113" spans="1:11" s="2" customFormat="1" x14ac:dyDescent="0.25">
      <c r="A3113" s="28" t="s">
        <v>5422</v>
      </c>
      <c r="B3113" s="29">
        <v>90</v>
      </c>
      <c r="C3113" s="28"/>
      <c r="D3113" s="28" t="s">
        <v>1217</v>
      </c>
      <c r="E3113" s="3"/>
      <c r="H3113" s="7"/>
      <c r="K3113" s="30"/>
    </row>
    <row r="3114" spans="1:11" s="2" customFormat="1" x14ac:dyDescent="0.25">
      <c r="A3114" s="28" t="s">
        <v>5423</v>
      </c>
      <c r="B3114" s="29">
        <v>220</v>
      </c>
      <c r="C3114" s="28"/>
      <c r="D3114" s="28" t="s">
        <v>1217</v>
      </c>
      <c r="E3114" s="3"/>
      <c r="H3114" s="7"/>
      <c r="K3114" s="30"/>
    </row>
    <row r="3115" spans="1:11" s="2" customFormat="1" x14ac:dyDescent="0.25">
      <c r="A3115" s="28" t="s">
        <v>5424</v>
      </c>
      <c r="B3115" s="29">
        <v>10</v>
      </c>
      <c r="C3115" s="28"/>
      <c r="D3115" s="28" t="s">
        <v>1217</v>
      </c>
      <c r="E3115" s="3"/>
      <c r="H3115" s="7"/>
      <c r="K3115" s="30"/>
    </row>
    <row r="3116" spans="1:11" s="2" customFormat="1" x14ac:dyDescent="0.25">
      <c r="A3116" s="28" t="s">
        <v>5425</v>
      </c>
      <c r="B3116" s="29">
        <v>9</v>
      </c>
      <c r="C3116" s="28"/>
      <c r="D3116" s="28" t="s">
        <v>1217</v>
      </c>
      <c r="E3116" s="3"/>
      <c r="H3116" s="7"/>
      <c r="K3116" s="30"/>
    </row>
    <row r="3117" spans="1:11" s="2" customFormat="1" x14ac:dyDescent="0.25">
      <c r="A3117" s="28" t="s">
        <v>5426</v>
      </c>
      <c r="B3117" s="29">
        <v>40</v>
      </c>
      <c r="C3117" s="28"/>
      <c r="D3117" s="28" t="s">
        <v>1217</v>
      </c>
      <c r="E3117" s="3"/>
      <c r="H3117" s="7"/>
      <c r="K3117" s="30"/>
    </row>
    <row r="3118" spans="1:11" s="2" customFormat="1" x14ac:dyDescent="0.25">
      <c r="A3118" s="28" t="s">
        <v>5427</v>
      </c>
      <c r="B3118" s="29">
        <v>46</v>
      </c>
      <c r="C3118" s="28"/>
      <c r="D3118" s="28" t="s">
        <v>1217</v>
      </c>
      <c r="E3118" s="3"/>
      <c r="H3118" s="7"/>
      <c r="K3118" s="30"/>
    </row>
    <row r="3119" spans="1:11" s="2" customFormat="1" x14ac:dyDescent="0.25">
      <c r="A3119" s="28" t="s">
        <v>5428</v>
      </c>
      <c r="B3119" s="29">
        <v>8</v>
      </c>
      <c r="C3119" s="28"/>
      <c r="D3119" s="28" t="s">
        <v>1217</v>
      </c>
      <c r="E3119" s="3"/>
      <c r="H3119" s="7"/>
      <c r="K3119" s="30"/>
    </row>
    <row r="3120" spans="1:11" s="2" customFormat="1" x14ac:dyDescent="0.25">
      <c r="A3120" s="28" t="s">
        <v>5429</v>
      </c>
      <c r="B3120" s="29">
        <v>88</v>
      </c>
      <c r="C3120" s="28"/>
      <c r="D3120" s="28" t="s">
        <v>1217</v>
      </c>
      <c r="E3120" s="3"/>
      <c r="H3120" s="7"/>
      <c r="K3120" s="30"/>
    </row>
    <row r="3121" spans="1:11" s="2" customFormat="1" x14ac:dyDescent="0.25">
      <c r="A3121" s="28" t="s">
        <v>5430</v>
      </c>
      <c r="B3121" s="29">
        <v>12</v>
      </c>
      <c r="C3121" s="28"/>
      <c r="D3121" s="28" t="s">
        <v>1217</v>
      </c>
      <c r="E3121" s="3"/>
      <c r="H3121" s="7"/>
      <c r="K3121" s="30"/>
    </row>
    <row r="3122" spans="1:11" s="2" customFormat="1" x14ac:dyDescent="0.25">
      <c r="A3122" s="28" t="s">
        <v>5431</v>
      </c>
      <c r="B3122" s="29">
        <v>93</v>
      </c>
      <c r="C3122" s="28"/>
      <c r="D3122" s="28" t="s">
        <v>1217</v>
      </c>
      <c r="E3122" s="3"/>
      <c r="H3122" s="7"/>
      <c r="K3122" s="30"/>
    </row>
    <row r="3123" spans="1:11" s="2" customFormat="1" x14ac:dyDescent="0.25">
      <c r="A3123" s="28" t="s">
        <v>5432</v>
      </c>
      <c r="B3123" s="29">
        <v>97</v>
      </c>
      <c r="C3123" s="28"/>
      <c r="D3123" s="28" t="s">
        <v>1217</v>
      </c>
      <c r="E3123" s="3"/>
      <c r="H3123" s="7"/>
      <c r="K3123" s="30"/>
    </row>
    <row r="3124" spans="1:11" s="2" customFormat="1" x14ac:dyDescent="0.25">
      <c r="A3124" s="28" t="s">
        <v>5433</v>
      </c>
      <c r="B3124" s="29">
        <v>9</v>
      </c>
      <c r="C3124" s="28"/>
      <c r="D3124" s="28" t="s">
        <v>1217</v>
      </c>
      <c r="E3124" s="3"/>
      <c r="H3124" s="7"/>
      <c r="K3124" s="30"/>
    </row>
    <row r="3125" spans="1:11" s="2" customFormat="1" x14ac:dyDescent="0.25">
      <c r="A3125" s="28" t="s">
        <v>5434</v>
      </c>
      <c r="B3125" s="29">
        <v>48</v>
      </c>
      <c r="C3125" s="28"/>
      <c r="D3125" s="28" t="s">
        <v>1217</v>
      </c>
      <c r="E3125" s="3"/>
      <c r="H3125" s="7"/>
      <c r="K3125" s="30"/>
    </row>
    <row r="3126" spans="1:11" s="2" customFormat="1" x14ac:dyDescent="0.25">
      <c r="A3126" s="28" t="s">
        <v>5435</v>
      </c>
      <c r="B3126" s="29">
        <v>13</v>
      </c>
      <c r="C3126" s="28"/>
      <c r="D3126" s="28" t="s">
        <v>1217</v>
      </c>
      <c r="E3126" s="3"/>
      <c r="H3126" s="7"/>
      <c r="K3126" s="30"/>
    </row>
    <row r="3127" spans="1:11" s="2" customFormat="1" x14ac:dyDescent="0.25">
      <c r="A3127" s="28" t="s">
        <v>5436</v>
      </c>
      <c r="B3127" s="29">
        <v>14</v>
      </c>
      <c r="C3127" s="28"/>
      <c r="D3127" s="28" t="s">
        <v>1217</v>
      </c>
      <c r="E3127" s="3"/>
      <c r="H3127" s="7"/>
      <c r="K3127" s="30"/>
    </row>
    <row r="3128" spans="1:11" s="2" customFormat="1" x14ac:dyDescent="0.25">
      <c r="A3128" s="28" t="s">
        <v>5437</v>
      </c>
      <c r="B3128" s="29">
        <v>32</v>
      </c>
      <c r="C3128" s="28"/>
      <c r="D3128" s="28" t="s">
        <v>1217</v>
      </c>
      <c r="E3128" s="3"/>
      <c r="H3128" s="7"/>
      <c r="K3128" s="30"/>
    </row>
    <row r="3129" spans="1:11" s="2" customFormat="1" x14ac:dyDescent="0.25">
      <c r="A3129" s="28" t="s">
        <v>5438</v>
      </c>
      <c r="B3129" s="29">
        <v>14</v>
      </c>
      <c r="C3129" s="28"/>
      <c r="D3129" s="28" t="s">
        <v>1217</v>
      </c>
      <c r="E3129" s="3"/>
      <c r="H3129" s="7"/>
      <c r="K3129" s="30"/>
    </row>
    <row r="3130" spans="1:11" s="2" customFormat="1" x14ac:dyDescent="0.25">
      <c r="A3130" s="28" t="s">
        <v>5439</v>
      </c>
      <c r="B3130" s="29">
        <v>5</v>
      </c>
      <c r="C3130" s="28"/>
      <c r="D3130" s="28" t="s">
        <v>1217</v>
      </c>
      <c r="E3130" s="3"/>
      <c r="H3130" s="7"/>
      <c r="K3130" s="30"/>
    </row>
    <row r="3131" spans="1:11" s="2" customFormat="1" x14ac:dyDescent="0.25">
      <c r="A3131" s="28" t="s">
        <v>5440</v>
      </c>
      <c r="B3131" s="29">
        <v>285</v>
      </c>
      <c r="C3131" s="28"/>
      <c r="D3131" s="28" t="s">
        <v>1217</v>
      </c>
      <c r="E3131" s="3"/>
      <c r="H3131" s="7"/>
      <c r="K3131" s="30"/>
    </row>
    <row r="3132" spans="1:11" s="2" customFormat="1" x14ac:dyDescent="0.25">
      <c r="A3132" s="28" t="s">
        <v>5441</v>
      </c>
      <c r="B3132" s="29">
        <v>46</v>
      </c>
      <c r="C3132" s="28"/>
      <c r="D3132" s="28" t="s">
        <v>1217</v>
      </c>
      <c r="E3132" s="3"/>
      <c r="H3132" s="7"/>
      <c r="K3132" s="30"/>
    </row>
    <row r="3133" spans="1:11" s="2" customFormat="1" x14ac:dyDescent="0.25">
      <c r="A3133" s="28" t="s">
        <v>5442</v>
      </c>
      <c r="B3133" s="29">
        <v>24</v>
      </c>
      <c r="C3133" s="28"/>
      <c r="D3133" s="28" t="s">
        <v>1217</v>
      </c>
      <c r="E3133" s="3"/>
      <c r="H3133" s="7"/>
      <c r="K3133" s="30"/>
    </row>
    <row r="3134" spans="1:11" s="2" customFormat="1" x14ac:dyDescent="0.25">
      <c r="A3134" s="28" t="s">
        <v>5443</v>
      </c>
      <c r="B3134" s="29">
        <v>53</v>
      </c>
      <c r="C3134" s="28"/>
      <c r="D3134" s="28" t="s">
        <v>1217</v>
      </c>
      <c r="E3134" s="3"/>
      <c r="H3134" s="7"/>
      <c r="K3134" s="30"/>
    </row>
    <row r="3135" spans="1:11" s="2" customFormat="1" x14ac:dyDescent="0.25">
      <c r="A3135" s="28" t="s">
        <v>5444</v>
      </c>
      <c r="B3135" s="29">
        <v>43</v>
      </c>
      <c r="C3135" s="28"/>
      <c r="D3135" s="28" t="s">
        <v>1217</v>
      </c>
      <c r="E3135" s="3"/>
      <c r="H3135" s="7"/>
      <c r="K3135" s="30"/>
    </row>
    <row r="3136" spans="1:11" s="2" customFormat="1" x14ac:dyDescent="0.25">
      <c r="A3136" s="28" t="s">
        <v>5445</v>
      </c>
      <c r="B3136" s="29">
        <v>45</v>
      </c>
      <c r="C3136" s="28"/>
      <c r="D3136" s="28" t="s">
        <v>1217</v>
      </c>
      <c r="E3136" s="3"/>
      <c r="H3136" s="7"/>
      <c r="K3136" s="30"/>
    </row>
    <row r="3137" spans="1:11" s="2" customFormat="1" x14ac:dyDescent="0.25">
      <c r="A3137" s="28" t="s">
        <v>5446</v>
      </c>
      <c r="B3137" s="29">
        <v>47</v>
      </c>
      <c r="C3137" s="28"/>
      <c r="D3137" s="28" t="s">
        <v>1217</v>
      </c>
      <c r="E3137" s="3"/>
      <c r="H3137" s="7"/>
      <c r="K3137" s="30"/>
    </row>
    <row r="3138" spans="1:11" s="2" customFormat="1" x14ac:dyDescent="0.25">
      <c r="A3138" s="28" t="s">
        <v>5447</v>
      </c>
      <c r="B3138" s="29">
        <v>5</v>
      </c>
      <c r="C3138" s="28"/>
      <c r="D3138" s="28" t="s">
        <v>1217</v>
      </c>
      <c r="E3138" s="3"/>
      <c r="H3138" s="7"/>
      <c r="K3138" s="30"/>
    </row>
    <row r="3139" spans="1:11" s="2" customFormat="1" x14ac:dyDescent="0.25">
      <c r="A3139" s="28" t="s">
        <v>5448</v>
      </c>
      <c r="B3139" s="29">
        <v>44</v>
      </c>
      <c r="C3139" s="28"/>
      <c r="D3139" s="28" t="s">
        <v>1217</v>
      </c>
      <c r="E3139" s="3"/>
      <c r="H3139" s="7"/>
      <c r="K3139" s="30"/>
    </row>
    <row r="3140" spans="1:11" s="2" customFormat="1" x14ac:dyDescent="0.25">
      <c r="A3140" s="28" t="s">
        <v>5449</v>
      </c>
      <c r="B3140" s="29">
        <v>88</v>
      </c>
      <c r="C3140" s="28"/>
      <c r="D3140" s="28" t="s">
        <v>1217</v>
      </c>
      <c r="E3140" s="3"/>
      <c r="H3140" s="7"/>
      <c r="K3140" s="30"/>
    </row>
    <row r="3141" spans="1:11" s="2" customFormat="1" x14ac:dyDescent="0.25">
      <c r="A3141" s="28" t="s">
        <v>5450</v>
      </c>
      <c r="B3141" s="29">
        <v>36</v>
      </c>
      <c r="C3141" s="28"/>
      <c r="D3141" s="28" t="s">
        <v>1217</v>
      </c>
      <c r="E3141" s="3"/>
      <c r="H3141" s="7"/>
      <c r="K3141" s="30"/>
    </row>
    <row r="3142" spans="1:11" s="2" customFormat="1" x14ac:dyDescent="0.25">
      <c r="A3142" s="28" t="s">
        <v>5451</v>
      </c>
      <c r="B3142" s="29">
        <v>101</v>
      </c>
      <c r="C3142" s="28"/>
      <c r="D3142" s="28" t="s">
        <v>1217</v>
      </c>
      <c r="E3142" s="3"/>
      <c r="H3142" s="7"/>
      <c r="K3142" s="30"/>
    </row>
    <row r="3143" spans="1:11" s="2" customFormat="1" x14ac:dyDescent="0.25">
      <c r="A3143" s="28" t="s">
        <v>5452</v>
      </c>
      <c r="B3143" s="29">
        <v>22</v>
      </c>
      <c r="C3143" s="28"/>
      <c r="D3143" s="28" t="s">
        <v>1217</v>
      </c>
      <c r="E3143" s="3"/>
      <c r="H3143" s="7"/>
      <c r="K3143" s="30"/>
    </row>
    <row r="3144" spans="1:11" s="2" customFormat="1" x14ac:dyDescent="0.25">
      <c r="A3144" s="28" t="s">
        <v>5453</v>
      </c>
      <c r="B3144" s="29">
        <v>76</v>
      </c>
      <c r="C3144" s="28"/>
      <c r="D3144" s="28" t="s">
        <v>1217</v>
      </c>
      <c r="E3144" s="3"/>
      <c r="H3144" s="7"/>
      <c r="K3144" s="30"/>
    </row>
    <row r="3145" spans="1:11" s="2" customFormat="1" x14ac:dyDescent="0.25">
      <c r="A3145" s="28" t="s">
        <v>5454</v>
      </c>
      <c r="B3145" s="29">
        <v>76</v>
      </c>
      <c r="C3145" s="28"/>
      <c r="D3145" s="28" t="s">
        <v>1217</v>
      </c>
      <c r="E3145" s="3"/>
      <c r="H3145" s="7"/>
      <c r="K3145" s="30"/>
    </row>
    <row r="3146" spans="1:11" s="2" customFormat="1" x14ac:dyDescent="0.25">
      <c r="A3146" s="28" t="s">
        <v>5455</v>
      </c>
      <c r="B3146" s="29">
        <v>249</v>
      </c>
      <c r="C3146" s="28"/>
      <c r="D3146" s="28" t="s">
        <v>1217</v>
      </c>
      <c r="E3146" s="3"/>
      <c r="H3146" s="7"/>
      <c r="K3146" s="30"/>
    </row>
    <row r="3147" spans="1:11" s="2" customFormat="1" x14ac:dyDescent="0.25">
      <c r="A3147" s="28" t="s">
        <v>5456</v>
      </c>
      <c r="B3147" s="29">
        <v>85</v>
      </c>
      <c r="C3147" s="28"/>
      <c r="D3147" s="28" t="s">
        <v>1217</v>
      </c>
      <c r="E3147" s="3"/>
      <c r="H3147" s="7"/>
      <c r="K3147" s="30"/>
    </row>
    <row r="3148" spans="1:11" s="2" customFormat="1" x14ac:dyDescent="0.25">
      <c r="A3148" s="28" t="s">
        <v>5457</v>
      </c>
      <c r="B3148" s="29">
        <v>10</v>
      </c>
      <c r="C3148" s="28"/>
      <c r="D3148" s="28" t="s">
        <v>1217</v>
      </c>
      <c r="E3148" s="3"/>
      <c r="H3148" s="7"/>
      <c r="K3148" s="30"/>
    </row>
    <row r="3149" spans="1:11" s="2" customFormat="1" x14ac:dyDescent="0.25">
      <c r="A3149" s="28" t="s">
        <v>5458</v>
      </c>
      <c r="B3149" s="29">
        <v>8</v>
      </c>
      <c r="C3149" s="28"/>
      <c r="D3149" s="28" t="s">
        <v>1217</v>
      </c>
      <c r="E3149" s="3"/>
      <c r="H3149" s="7"/>
      <c r="K3149" s="30"/>
    </row>
    <row r="3150" spans="1:11" s="2" customFormat="1" x14ac:dyDescent="0.25">
      <c r="A3150" s="28" t="s">
        <v>5459</v>
      </c>
      <c r="B3150" s="29">
        <v>7</v>
      </c>
      <c r="C3150" s="28"/>
      <c r="D3150" s="28" t="s">
        <v>1217</v>
      </c>
      <c r="E3150" s="3"/>
      <c r="H3150" s="7"/>
      <c r="K3150" s="30"/>
    </row>
    <row r="3151" spans="1:11" s="2" customFormat="1" x14ac:dyDescent="0.25">
      <c r="A3151" s="28" t="s">
        <v>5460</v>
      </c>
      <c r="B3151" s="29">
        <v>100</v>
      </c>
      <c r="C3151" s="28"/>
      <c r="D3151" s="28" t="s">
        <v>1217</v>
      </c>
      <c r="E3151" s="3"/>
      <c r="H3151" s="7"/>
      <c r="K3151" s="30"/>
    </row>
    <row r="3152" spans="1:11" s="2" customFormat="1" x14ac:dyDescent="0.25">
      <c r="A3152" s="28" t="s">
        <v>5461</v>
      </c>
      <c r="B3152" s="29">
        <v>22</v>
      </c>
      <c r="C3152" s="28"/>
      <c r="D3152" s="28" t="s">
        <v>1217</v>
      </c>
      <c r="E3152" s="3"/>
      <c r="H3152" s="7"/>
      <c r="K3152" s="30"/>
    </row>
    <row r="3153" spans="1:11" s="2" customFormat="1" x14ac:dyDescent="0.25">
      <c r="A3153" s="28" t="s">
        <v>5462</v>
      </c>
      <c r="B3153" s="29">
        <v>81</v>
      </c>
      <c r="C3153" s="28"/>
      <c r="D3153" s="28" t="s">
        <v>1217</v>
      </c>
      <c r="E3153" s="3"/>
      <c r="H3153" s="7"/>
      <c r="K3153" s="30"/>
    </row>
    <row r="3154" spans="1:11" s="2" customFormat="1" x14ac:dyDescent="0.25">
      <c r="A3154" s="28" t="s">
        <v>5463</v>
      </c>
      <c r="B3154" s="29">
        <v>15</v>
      </c>
      <c r="C3154" s="28"/>
      <c r="D3154" s="28" t="s">
        <v>1217</v>
      </c>
      <c r="E3154" s="3"/>
      <c r="H3154" s="7"/>
      <c r="K3154" s="30"/>
    </row>
    <row r="3155" spans="1:11" s="2" customFormat="1" x14ac:dyDescent="0.25">
      <c r="A3155" s="28" t="s">
        <v>5464</v>
      </c>
      <c r="B3155" s="29">
        <v>14</v>
      </c>
      <c r="C3155" s="28"/>
      <c r="D3155" s="28" t="s">
        <v>1217</v>
      </c>
      <c r="E3155" s="3"/>
      <c r="H3155" s="7"/>
      <c r="K3155" s="30"/>
    </row>
    <row r="3156" spans="1:11" s="2" customFormat="1" x14ac:dyDescent="0.25">
      <c r="A3156" s="28" t="s">
        <v>5465</v>
      </c>
      <c r="B3156" s="29">
        <v>16</v>
      </c>
      <c r="C3156" s="28"/>
      <c r="D3156" s="28" t="s">
        <v>1217</v>
      </c>
      <c r="E3156" s="3"/>
      <c r="H3156" s="7"/>
      <c r="K3156" s="30"/>
    </row>
    <row r="3157" spans="1:11" s="2" customFormat="1" x14ac:dyDescent="0.25">
      <c r="A3157" s="28" t="s">
        <v>5466</v>
      </c>
      <c r="B3157" s="29">
        <v>99</v>
      </c>
      <c r="C3157" s="28"/>
      <c r="D3157" s="28" t="s">
        <v>1217</v>
      </c>
      <c r="E3157" s="3"/>
      <c r="H3157" s="7"/>
      <c r="K3157" s="30"/>
    </row>
    <row r="3158" spans="1:11" s="2" customFormat="1" x14ac:dyDescent="0.25">
      <c r="A3158" s="28" t="s">
        <v>5467</v>
      </c>
      <c r="B3158" s="29">
        <v>20</v>
      </c>
      <c r="C3158" s="28"/>
      <c r="D3158" s="28" t="s">
        <v>1217</v>
      </c>
      <c r="E3158" s="3"/>
      <c r="H3158" s="7"/>
      <c r="K3158" s="30"/>
    </row>
    <row r="3159" spans="1:11" s="2" customFormat="1" x14ac:dyDescent="0.25">
      <c r="A3159" s="28" t="s">
        <v>5468</v>
      </c>
      <c r="B3159" s="29">
        <v>40</v>
      </c>
      <c r="C3159" s="28"/>
      <c r="D3159" s="28" t="s">
        <v>1217</v>
      </c>
      <c r="E3159" s="3"/>
      <c r="H3159" s="7"/>
      <c r="K3159" s="30"/>
    </row>
    <row r="3160" spans="1:11" s="2" customFormat="1" x14ac:dyDescent="0.25">
      <c r="A3160" s="28" t="s">
        <v>5469</v>
      </c>
      <c r="B3160" s="29">
        <v>66</v>
      </c>
      <c r="C3160" s="28"/>
      <c r="D3160" s="28" t="s">
        <v>1217</v>
      </c>
      <c r="E3160" s="3"/>
      <c r="H3160" s="7"/>
      <c r="K3160" s="30"/>
    </row>
    <row r="3161" spans="1:11" s="2" customFormat="1" x14ac:dyDescent="0.25">
      <c r="A3161" s="28" t="s">
        <v>5470</v>
      </c>
      <c r="B3161" s="29">
        <v>4</v>
      </c>
      <c r="C3161" s="28"/>
      <c r="D3161" s="28" t="s">
        <v>1217</v>
      </c>
      <c r="E3161" s="3"/>
      <c r="H3161" s="7"/>
      <c r="K3161" s="30"/>
    </row>
    <row r="3162" spans="1:11" s="2" customFormat="1" x14ac:dyDescent="0.25">
      <c r="A3162" s="28" t="s">
        <v>5471</v>
      </c>
      <c r="B3162" s="29">
        <v>5</v>
      </c>
      <c r="C3162" s="28"/>
      <c r="D3162" s="28" t="s">
        <v>1217</v>
      </c>
      <c r="E3162" s="3"/>
      <c r="H3162" s="7"/>
      <c r="K3162" s="30"/>
    </row>
    <row r="3163" spans="1:11" s="2" customFormat="1" x14ac:dyDescent="0.25">
      <c r="A3163" s="28" t="s">
        <v>5472</v>
      </c>
      <c r="B3163" s="29">
        <v>6</v>
      </c>
      <c r="C3163" s="28"/>
      <c r="D3163" s="28" t="s">
        <v>1217</v>
      </c>
      <c r="E3163" s="3"/>
      <c r="H3163" s="7"/>
      <c r="K3163" s="30"/>
    </row>
    <row r="3164" spans="1:11" s="2" customFormat="1" x14ac:dyDescent="0.25">
      <c r="A3164" s="28" t="s">
        <v>5473</v>
      </c>
      <c r="B3164" s="29">
        <v>383</v>
      </c>
      <c r="C3164" s="28"/>
      <c r="D3164" s="28" t="s">
        <v>1217</v>
      </c>
      <c r="E3164" s="3"/>
      <c r="H3164" s="7"/>
      <c r="K3164" s="30"/>
    </row>
    <row r="3165" spans="1:11" s="2" customFormat="1" x14ac:dyDescent="0.25">
      <c r="A3165" s="28" t="s">
        <v>5474</v>
      </c>
      <c r="B3165" s="29">
        <v>21</v>
      </c>
      <c r="C3165" s="28"/>
      <c r="D3165" s="28" t="s">
        <v>1217</v>
      </c>
      <c r="E3165" s="3"/>
      <c r="H3165" s="7"/>
      <c r="K3165" s="30"/>
    </row>
    <row r="3166" spans="1:11" s="2" customFormat="1" x14ac:dyDescent="0.25">
      <c r="A3166" s="28" t="s">
        <v>5475</v>
      </c>
      <c r="B3166" s="29">
        <v>10</v>
      </c>
      <c r="C3166" s="28"/>
      <c r="D3166" s="28" t="s">
        <v>1217</v>
      </c>
      <c r="E3166" s="3"/>
      <c r="H3166" s="7"/>
      <c r="K3166" s="30"/>
    </row>
    <row r="3167" spans="1:11" s="2" customFormat="1" x14ac:dyDescent="0.25">
      <c r="A3167" s="28" t="s">
        <v>5476</v>
      </c>
      <c r="B3167" s="29">
        <v>15</v>
      </c>
      <c r="C3167" s="28"/>
      <c r="D3167" s="28" t="s">
        <v>1217</v>
      </c>
      <c r="E3167" s="3"/>
      <c r="H3167" s="7"/>
      <c r="K3167" s="30"/>
    </row>
    <row r="3168" spans="1:11" s="2" customFormat="1" x14ac:dyDescent="0.25">
      <c r="A3168" s="28" t="s">
        <v>5477</v>
      </c>
      <c r="B3168" s="29">
        <v>22</v>
      </c>
      <c r="C3168" s="28"/>
      <c r="D3168" s="28" t="s">
        <v>1217</v>
      </c>
      <c r="E3168" s="3"/>
      <c r="H3168" s="7"/>
      <c r="K3168" s="30"/>
    </row>
    <row r="3169" spans="1:11" s="2" customFormat="1" x14ac:dyDescent="0.25">
      <c r="A3169" s="28" t="s">
        <v>5478</v>
      </c>
      <c r="B3169" s="29">
        <v>5</v>
      </c>
      <c r="C3169" s="28"/>
      <c r="D3169" s="28" t="s">
        <v>1217</v>
      </c>
      <c r="E3169" s="3"/>
      <c r="H3169" s="7"/>
      <c r="K3169" s="30"/>
    </row>
    <row r="3170" spans="1:11" s="2" customFormat="1" x14ac:dyDescent="0.25">
      <c r="A3170" s="28" t="s">
        <v>5479</v>
      </c>
      <c r="B3170" s="29">
        <v>4</v>
      </c>
      <c r="C3170" s="28"/>
      <c r="D3170" s="28" t="s">
        <v>1217</v>
      </c>
      <c r="E3170" s="3"/>
      <c r="H3170" s="7"/>
      <c r="K3170" s="30"/>
    </row>
    <row r="3171" spans="1:11" s="2" customFormat="1" x14ac:dyDescent="0.25">
      <c r="A3171" s="28" t="s">
        <v>5480</v>
      </c>
      <c r="B3171" s="29">
        <v>80</v>
      </c>
      <c r="C3171" s="28"/>
      <c r="D3171" s="28" t="s">
        <v>1217</v>
      </c>
      <c r="E3171" s="3"/>
      <c r="H3171" s="7"/>
      <c r="K3171" s="30"/>
    </row>
    <row r="3172" spans="1:11" s="2" customFormat="1" x14ac:dyDescent="0.25">
      <c r="A3172" s="28" t="s">
        <v>5481</v>
      </c>
      <c r="B3172" s="29">
        <v>20</v>
      </c>
      <c r="C3172" s="28"/>
      <c r="D3172" s="28" t="s">
        <v>1217</v>
      </c>
      <c r="E3172" s="3"/>
      <c r="H3172" s="7"/>
      <c r="K3172" s="30"/>
    </row>
    <row r="3173" spans="1:11" s="2" customFormat="1" x14ac:dyDescent="0.25">
      <c r="A3173" s="28" t="s">
        <v>5482</v>
      </c>
      <c r="B3173" s="29">
        <v>87</v>
      </c>
      <c r="C3173" s="28"/>
      <c r="D3173" s="28" t="s">
        <v>1217</v>
      </c>
      <c r="E3173" s="3"/>
      <c r="H3173" s="7"/>
      <c r="K3173" s="30"/>
    </row>
    <row r="3174" spans="1:11" s="2" customFormat="1" x14ac:dyDescent="0.25">
      <c r="A3174" s="28" t="s">
        <v>5483</v>
      </c>
      <c r="B3174" s="29">
        <v>99</v>
      </c>
      <c r="C3174" s="28"/>
      <c r="D3174" s="28" t="s">
        <v>1217</v>
      </c>
      <c r="E3174" s="3"/>
      <c r="H3174" s="7"/>
      <c r="K3174" s="30"/>
    </row>
    <row r="3175" spans="1:11" s="2" customFormat="1" x14ac:dyDescent="0.25">
      <c r="A3175" s="28" t="s">
        <v>5484</v>
      </c>
      <c r="B3175" s="29">
        <v>20</v>
      </c>
      <c r="C3175" s="28"/>
      <c r="D3175" s="28" t="s">
        <v>1217</v>
      </c>
      <c r="E3175" s="3"/>
      <c r="H3175" s="7"/>
      <c r="K3175" s="30"/>
    </row>
    <row r="3176" spans="1:11" s="2" customFormat="1" x14ac:dyDescent="0.25">
      <c r="A3176" s="28" t="s">
        <v>5485</v>
      </c>
      <c r="B3176" s="29">
        <v>83</v>
      </c>
      <c r="C3176" s="28"/>
      <c r="D3176" s="28" t="s">
        <v>1217</v>
      </c>
      <c r="E3176" s="3"/>
      <c r="H3176" s="7"/>
      <c r="K3176" s="30"/>
    </row>
    <row r="3177" spans="1:11" s="2" customFormat="1" x14ac:dyDescent="0.25">
      <c r="A3177" s="28" t="s">
        <v>5486</v>
      </c>
      <c r="B3177" s="29">
        <v>110</v>
      </c>
      <c r="C3177" s="28"/>
      <c r="D3177" s="28" t="s">
        <v>1217</v>
      </c>
      <c r="E3177" s="3"/>
      <c r="H3177" s="7"/>
      <c r="K3177" s="30"/>
    </row>
    <row r="3178" spans="1:11" s="2" customFormat="1" x14ac:dyDescent="0.25">
      <c r="A3178" s="28" t="s">
        <v>5487</v>
      </c>
      <c r="B3178" s="29">
        <v>12</v>
      </c>
      <c r="C3178" s="28"/>
      <c r="D3178" s="28" t="s">
        <v>1217</v>
      </c>
      <c r="E3178" s="3"/>
      <c r="H3178" s="7"/>
      <c r="K3178" s="30"/>
    </row>
    <row r="3179" spans="1:11" s="2" customFormat="1" x14ac:dyDescent="0.25">
      <c r="A3179" s="28" t="s">
        <v>5488</v>
      </c>
      <c r="B3179" s="29">
        <v>7</v>
      </c>
      <c r="C3179" s="28"/>
      <c r="D3179" s="28" t="s">
        <v>1217</v>
      </c>
      <c r="E3179" s="3"/>
      <c r="H3179" s="7"/>
      <c r="K3179" s="30"/>
    </row>
    <row r="3180" spans="1:11" s="2" customFormat="1" x14ac:dyDescent="0.25">
      <c r="A3180" s="28" t="s">
        <v>5489</v>
      </c>
      <c r="B3180" s="29">
        <v>20</v>
      </c>
      <c r="C3180" s="28"/>
      <c r="D3180" s="28" t="s">
        <v>1217</v>
      </c>
      <c r="E3180" s="3"/>
      <c r="H3180" s="7"/>
      <c r="K3180" s="30"/>
    </row>
    <row r="3181" spans="1:11" s="2" customFormat="1" x14ac:dyDescent="0.25">
      <c r="A3181" s="28" t="s">
        <v>5490</v>
      </c>
      <c r="B3181" s="29">
        <v>4</v>
      </c>
      <c r="C3181" s="28"/>
      <c r="D3181" s="28" t="s">
        <v>1217</v>
      </c>
      <c r="E3181" s="3"/>
      <c r="H3181" s="7"/>
      <c r="K3181" s="30"/>
    </row>
    <row r="3182" spans="1:11" s="2" customFormat="1" x14ac:dyDescent="0.25">
      <c r="A3182" s="28" t="s">
        <v>5491</v>
      </c>
      <c r="B3182" s="29">
        <v>20</v>
      </c>
      <c r="C3182" s="28"/>
      <c r="D3182" s="28" t="s">
        <v>1217</v>
      </c>
      <c r="E3182" s="3"/>
      <c r="H3182" s="7"/>
      <c r="K3182" s="30"/>
    </row>
    <row r="3183" spans="1:11" s="2" customFormat="1" x14ac:dyDescent="0.25">
      <c r="A3183" s="28" t="s">
        <v>5492</v>
      </c>
      <c r="B3183" s="29">
        <v>32</v>
      </c>
      <c r="C3183" s="28"/>
      <c r="D3183" s="28" t="s">
        <v>1217</v>
      </c>
      <c r="E3183" s="3"/>
      <c r="H3183" s="7"/>
      <c r="K3183" s="30"/>
    </row>
    <row r="3184" spans="1:11" s="2" customFormat="1" x14ac:dyDescent="0.25">
      <c r="A3184" s="28" t="s">
        <v>5493</v>
      </c>
      <c r="B3184" s="29">
        <v>10</v>
      </c>
      <c r="C3184" s="28"/>
      <c r="D3184" s="28" t="s">
        <v>1217</v>
      </c>
      <c r="E3184" s="3"/>
      <c r="H3184" s="7"/>
      <c r="K3184" s="30"/>
    </row>
    <row r="3185" spans="1:11" s="2" customFormat="1" x14ac:dyDescent="0.25">
      <c r="A3185" s="28" t="s">
        <v>5494</v>
      </c>
      <c r="B3185" s="29">
        <v>8</v>
      </c>
      <c r="C3185" s="28"/>
      <c r="D3185" s="28" t="s">
        <v>1217</v>
      </c>
      <c r="E3185" s="3"/>
      <c r="H3185" s="7"/>
      <c r="K3185" s="30"/>
    </row>
    <row r="3186" spans="1:11" s="2" customFormat="1" x14ac:dyDescent="0.25">
      <c r="A3186" s="28" t="s">
        <v>5495</v>
      </c>
      <c r="B3186" s="29">
        <v>4</v>
      </c>
      <c r="C3186" s="28"/>
      <c r="D3186" s="28" t="s">
        <v>1217</v>
      </c>
      <c r="E3186" s="3"/>
      <c r="H3186" s="7"/>
      <c r="K3186" s="30"/>
    </row>
    <row r="3187" spans="1:11" s="2" customFormat="1" x14ac:dyDescent="0.25">
      <c r="A3187" s="28" t="s">
        <v>5496</v>
      </c>
      <c r="B3187" s="29">
        <v>8</v>
      </c>
      <c r="C3187" s="28"/>
      <c r="D3187" s="28" t="s">
        <v>1217</v>
      </c>
      <c r="E3187" s="3"/>
      <c r="H3187" s="7"/>
      <c r="K3187" s="30"/>
    </row>
    <row r="3188" spans="1:11" s="2" customFormat="1" x14ac:dyDescent="0.25">
      <c r="A3188" s="28" t="s">
        <v>5497</v>
      </c>
      <c r="B3188" s="29">
        <v>28</v>
      </c>
      <c r="C3188" s="28"/>
      <c r="D3188" s="28" t="s">
        <v>1217</v>
      </c>
      <c r="E3188" s="3"/>
      <c r="H3188" s="7"/>
      <c r="K3188" s="30"/>
    </row>
    <row r="3189" spans="1:11" s="2" customFormat="1" x14ac:dyDescent="0.25">
      <c r="A3189" s="28" t="s">
        <v>5498</v>
      </c>
      <c r="B3189" s="29">
        <v>72</v>
      </c>
      <c r="C3189" s="28"/>
      <c r="D3189" s="28" t="s">
        <v>1217</v>
      </c>
      <c r="E3189" s="3"/>
      <c r="H3189" s="7"/>
      <c r="K3189" s="30"/>
    </row>
    <row r="3190" spans="1:11" s="2" customFormat="1" x14ac:dyDescent="0.25">
      <c r="A3190" s="28" t="s">
        <v>5499</v>
      </c>
      <c r="B3190" s="29">
        <v>48</v>
      </c>
      <c r="C3190" s="28"/>
      <c r="D3190" s="28" t="s">
        <v>1217</v>
      </c>
      <c r="E3190" s="3"/>
      <c r="H3190" s="7"/>
      <c r="K3190" s="30"/>
    </row>
    <row r="3191" spans="1:11" s="2" customFormat="1" x14ac:dyDescent="0.25">
      <c r="A3191" s="28" t="s">
        <v>5500</v>
      </c>
      <c r="B3191" s="29">
        <v>48</v>
      </c>
      <c r="C3191" s="28"/>
      <c r="D3191" s="28" t="s">
        <v>1217</v>
      </c>
      <c r="E3191" s="3"/>
      <c r="H3191" s="7"/>
      <c r="K3191" s="30"/>
    </row>
    <row r="3192" spans="1:11" s="2" customFormat="1" x14ac:dyDescent="0.25">
      <c r="A3192" s="28" t="s">
        <v>5501</v>
      </c>
      <c r="B3192" s="29">
        <v>134</v>
      </c>
      <c r="C3192" s="28"/>
      <c r="D3192" s="28" t="s">
        <v>1217</v>
      </c>
      <c r="E3192" s="3"/>
      <c r="H3192" s="7"/>
      <c r="K3192" s="30"/>
    </row>
    <row r="3193" spans="1:11" s="2" customFormat="1" x14ac:dyDescent="0.25">
      <c r="A3193" s="28" t="s">
        <v>5502</v>
      </c>
      <c r="B3193" s="29">
        <v>45</v>
      </c>
      <c r="C3193" s="28"/>
      <c r="D3193" s="28" t="s">
        <v>1217</v>
      </c>
      <c r="E3193" s="3"/>
      <c r="H3193" s="7"/>
      <c r="K3193" s="30"/>
    </row>
    <row r="3194" spans="1:11" s="2" customFormat="1" x14ac:dyDescent="0.25">
      <c r="A3194" s="28" t="s">
        <v>5503</v>
      </c>
      <c r="B3194" s="29">
        <v>67</v>
      </c>
      <c r="C3194" s="28"/>
      <c r="D3194" s="28" t="s">
        <v>1217</v>
      </c>
      <c r="E3194" s="3"/>
      <c r="H3194" s="7"/>
      <c r="K3194" s="30"/>
    </row>
    <row r="3195" spans="1:11" s="2" customFormat="1" x14ac:dyDescent="0.25">
      <c r="A3195" s="28" t="s">
        <v>5504</v>
      </c>
      <c r="B3195" s="29">
        <v>44</v>
      </c>
      <c r="C3195" s="28"/>
      <c r="D3195" s="28" t="s">
        <v>1217</v>
      </c>
      <c r="E3195" s="3"/>
      <c r="H3195" s="7"/>
      <c r="K3195" s="30"/>
    </row>
    <row r="3196" spans="1:11" s="2" customFormat="1" x14ac:dyDescent="0.25">
      <c r="A3196" s="28" t="s">
        <v>5505</v>
      </c>
      <c r="B3196" s="29">
        <v>50</v>
      </c>
      <c r="C3196" s="28"/>
      <c r="D3196" s="28" t="s">
        <v>1217</v>
      </c>
      <c r="E3196" s="3"/>
      <c r="H3196" s="7"/>
      <c r="K3196" s="30"/>
    </row>
    <row r="3197" spans="1:11" s="2" customFormat="1" x14ac:dyDescent="0.25">
      <c r="A3197" s="28" t="s">
        <v>5506</v>
      </c>
      <c r="B3197" s="29">
        <v>16</v>
      </c>
      <c r="C3197" s="28"/>
      <c r="D3197" s="28" t="s">
        <v>1217</v>
      </c>
      <c r="E3197" s="3"/>
      <c r="H3197" s="7"/>
      <c r="K3197" s="30"/>
    </row>
    <row r="3198" spans="1:11" s="2" customFormat="1" x14ac:dyDescent="0.25">
      <c r="A3198" s="28" t="s">
        <v>5507</v>
      </c>
      <c r="B3198" s="29">
        <v>5</v>
      </c>
      <c r="C3198" s="28"/>
      <c r="D3198" s="28" t="s">
        <v>1217</v>
      </c>
      <c r="E3198" s="3"/>
      <c r="H3198" s="7"/>
      <c r="K3198" s="30"/>
    </row>
    <row r="3199" spans="1:11" s="2" customFormat="1" x14ac:dyDescent="0.25">
      <c r="A3199" s="28" t="s">
        <v>5508</v>
      </c>
      <c r="B3199" s="29">
        <v>30</v>
      </c>
      <c r="C3199" s="28"/>
      <c r="D3199" s="28" t="s">
        <v>1217</v>
      </c>
      <c r="E3199" s="3"/>
      <c r="H3199" s="7"/>
      <c r="K3199" s="30"/>
    </row>
    <row r="3200" spans="1:11" s="2" customFormat="1" x14ac:dyDescent="0.25">
      <c r="A3200" s="28" t="s">
        <v>5509</v>
      </c>
      <c r="B3200" s="29">
        <v>55</v>
      </c>
      <c r="C3200" s="28"/>
      <c r="D3200" s="28" t="s">
        <v>1217</v>
      </c>
      <c r="E3200" s="3"/>
      <c r="H3200" s="7"/>
      <c r="K3200" s="30"/>
    </row>
    <row r="3201" spans="1:11" s="2" customFormat="1" x14ac:dyDescent="0.25">
      <c r="A3201" s="28" t="s">
        <v>5510</v>
      </c>
      <c r="B3201" s="29">
        <v>48</v>
      </c>
      <c r="C3201" s="28"/>
      <c r="D3201" s="28" t="s">
        <v>1217</v>
      </c>
      <c r="E3201" s="3"/>
      <c r="H3201" s="7"/>
      <c r="K3201" s="30"/>
    </row>
    <row r="3202" spans="1:11" s="2" customFormat="1" x14ac:dyDescent="0.25">
      <c r="A3202" s="28" t="s">
        <v>5511</v>
      </c>
      <c r="B3202" s="29">
        <v>35</v>
      </c>
      <c r="C3202" s="28"/>
      <c r="D3202" s="28" t="s">
        <v>1217</v>
      </c>
      <c r="E3202" s="3"/>
      <c r="H3202" s="7"/>
      <c r="K3202" s="30"/>
    </row>
    <row r="3203" spans="1:11" s="2" customFormat="1" x14ac:dyDescent="0.25">
      <c r="A3203" s="28" t="s">
        <v>5512</v>
      </c>
      <c r="B3203" s="29">
        <v>1</v>
      </c>
      <c r="C3203" s="28"/>
      <c r="D3203" s="28" t="s">
        <v>1217</v>
      </c>
      <c r="E3203" s="3"/>
      <c r="H3203" s="7"/>
      <c r="K3203" s="30"/>
    </row>
    <row r="3204" spans="1:11" s="2" customFormat="1" x14ac:dyDescent="0.25">
      <c r="A3204" s="28" t="s">
        <v>5513</v>
      </c>
      <c r="B3204" s="29">
        <v>8</v>
      </c>
      <c r="C3204" s="28"/>
      <c r="D3204" s="28" t="s">
        <v>1217</v>
      </c>
      <c r="E3204" s="3"/>
      <c r="H3204" s="7"/>
      <c r="K3204" s="30"/>
    </row>
    <row r="3205" spans="1:11" s="2" customFormat="1" x14ac:dyDescent="0.25">
      <c r="A3205" s="28" t="s">
        <v>5514</v>
      </c>
      <c r="B3205" s="29">
        <v>8</v>
      </c>
      <c r="C3205" s="28"/>
      <c r="D3205" s="28" t="s">
        <v>1217</v>
      </c>
      <c r="E3205" s="3"/>
      <c r="H3205" s="7"/>
      <c r="K3205" s="30"/>
    </row>
    <row r="3206" spans="1:11" s="2" customFormat="1" x14ac:dyDescent="0.25">
      <c r="A3206" s="28" t="s">
        <v>5515</v>
      </c>
      <c r="B3206" s="29">
        <v>4</v>
      </c>
      <c r="C3206" s="28"/>
      <c r="D3206" s="28" t="s">
        <v>1217</v>
      </c>
      <c r="E3206" s="3"/>
      <c r="H3206" s="7"/>
      <c r="K3206" s="30"/>
    </row>
    <row r="3207" spans="1:11" s="2" customFormat="1" x14ac:dyDescent="0.25">
      <c r="A3207" s="28" t="s">
        <v>5516</v>
      </c>
      <c r="B3207" s="29">
        <v>27</v>
      </c>
      <c r="C3207" s="28"/>
      <c r="D3207" s="28" t="s">
        <v>1217</v>
      </c>
      <c r="E3207" s="3"/>
      <c r="H3207" s="7"/>
      <c r="K3207" s="30"/>
    </row>
    <row r="3208" spans="1:11" s="2" customFormat="1" x14ac:dyDescent="0.25">
      <c r="A3208" s="28" t="s">
        <v>5517</v>
      </c>
      <c r="B3208" s="29">
        <v>21</v>
      </c>
      <c r="C3208" s="28"/>
      <c r="D3208" s="28" t="s">
        <v>1217</v>
      </c>
      <c r="E3208" s="3"/>
      <c r="H3208" s="7"/>
      <c r="K3208" s="30"/>
    </row>
    <row r="3209" spans="1:11" s="2" customFormat="1" x14ac:dyDescent="0.25">
      <c r="A3209" s="28" t="s">
        <v>5518</v>
      </c>
      <c r="B3209" s="29">
        <v>88</v>
      </c>
      <c r="C3209" s="28"/>
      <c r="D3209" s="28" t="s">
        <v>1217</v>
      </c>
      <c r="E3209" s="3"/>
      <c r="H3209" s="7"/>
      <c r="K3209" s="30"/>
    </row>
    <row r="3210" spans="1:11" s="2" customFormat="1" x14ac:dyDescent="0.25">
      <c r="A3210" s="28" t="s">
        <v>5519</v>
      </c>
      <c r="B3210" s="29">
        <v>35</v>
      </c>
      <c r="C3210" s="28"/>
      <c r="D3210" s="28" t="s">
        <v>1217</v>
      </c>
      <c r="E3210" s="3"/>
      <c r="H3210" s="7"/>
      <c r="K3210" s="30"/>
    </row>
    <row r="3211" spans="1:11" s="2" customFormat="1" x14ac:dyDescent="0.25">
      <c r="A3211" s="28" t="s">
        <v>5520</v>
      </c>
      <c r="B3211" s="29">
        <v>84</v>
      </c>
      <c r="C3211" s="28"/>
      <c r="D3211" s="28" t="s">
        <v>1217</v>
      </c>
      <c r="E3211" s="3"/>
      <c r="H3211" s="7"/>
      <c r="K3211" s="30"/>
    </row>
    <row r="3212" spans="1:11" s="2" customFormat="1" x14ac:dyDescent="0.25">
      <c r="A3212" s="28" t="s">
        <v>5521</v>
      </c>
      <c r="B3212" s="29">
        <v>34</v>
      </c>
      <c r="C3212" s="28"/>
      <c r="D3212" s="28" t="s">
        <v>1217</v>
      </c>
      <c r="E3212" s="3"/>
      <c r="H3212" s="7"/>
      <c r="K3212" s="30"/>
    </row>
    <row r="3213" spans="1:11" s="2" customFormat="1" x14ac:dyDescent="0.25">
      <c r="A3213" s="28" t="s">
        <v>5522</v>
      </c>
      <c r="B3213" s="29">
        <v>6</v>
      </c>
      <c r="C3213" s="28"/>
      <c r="D3213" s="28" t="s">
        <v>1217</v>
      </c>
      <c r="E3213" s="3"/>
      <c r="H3213" s="7"/>
      <c r="K3213" s="30"/>
    </row>
    <row r="3214" spans="1:11" s="2" customFormat="1" x14ac:dyDescent="0.25">
      <c r="A3214" s="28" t="s">
        <v>5523</v>
      </c>
      <c r="B3214" s="29">
        <v>12</v>
      </c>
      <c r="C3214" s="28"/>
      <c r="D3214" s="28" t="s">
        <v>1217</v>
      </c>
      <c r="E3214" s="3"/>
      <c r="H3214" s="7"/>
      <c r="K3214" s="30"/>
    </row>
    <row r="3215" spans="1:11" s="2" customFormat="1" x14ac:dyDescent="0.25">
      <c r="A3215" s="28" t="s">
        <v>5524</v>
      </c>
      <c r="B3215" s="29">
        <v>32</v>
      </c>
      <c r="C3215" s="28"/>
      <c r="D3215" s="28" t="s">
        <v>1217</v>
      </c>
      <c r="E3215" s="3"/>
      <c r="H3215" s="7"/>
      <c r="K3215" s="30"/>
    </row>
    <row r="3216" spans="1:11" s="2" customFormat="1" x14ac:dyDescent="0.25">
      <c r="A3216" s="28" t="s">
        <v>5525</v>
      </c>
      <c r="B3216" s="29">
        <v>45</v>
      </c>
      <c r="C3216" s="28"/>
      <c r="D3216" s="28" t="s">
        <v>1217</v>
      </c>
      <c r="E3216" s="3"/>
      <c r="H3216" s="7"/>
      <c r="K3216" s="30"/>
    </row>
    <row r="3217" spans="1:11" s="2" customFormat="1" x14ac:dyDescent="0.25">
      <c r="A3217" s="28" t="s">
        <v>5526</v>
      </c>
      <c r="B3217" s="29">
        <v>14</v>
      </c>
      <c r="C3217" s="28"/>
      <c r="D3217" s="28" t="s">
        <v>1217</v>
      </c>
      <c r="E3217" s="3"/>
      <c r="H3217" s="7"/>
      <c r="K3217" s="30"/>
    </row>
    <row r="3218" spans="1:11" s="2" customFormat="1" x14ac:dyDescent="0.25">
      <c r="A3218" s="28" t="s">
        <v>5527</v>
      </c>
      <c r="B3218" s="29">
        <v>5</v>
      </c>
      <c r="C3218" s="28"/>
      <c r="D3218" s="28" t="s">
        <v>1217</v>
      </c>
      <c r="E3218" s="3"/>
      <c r="H3218" s="7"/>
      <c r="K3218" s="30"/>
    </row>
    <row r="3219" spans="1:11" s="2" customFormat="1" x14ac:dyDescent="0.25">
      <c r="A3219" s="28" t="s">
        <v>5528</v>
      </c>
      <c r="B3219" s="29">
        <v>28</v>
      </c>
      <c r="C3219" s="28"/>
      <c r="D3219" s="28" t="s">
        <v>1217</v>
      </c>
      <c r="E3219" s="3"/>
      <c r="H3219" s="7"/>
      <c r="K3219" s="30"/>
    </row>
    <row r="3220" spans="1:11" s="2" customFormat="1" x14ac:dyDescent="0.25">
      <c r="A3220" s="28" t="s">
        <v>5529</v>
      </c>
      <c r="B3220" s="29">
        <v>15</v>
      </c>
      <c r="C3220" s="28"/>
      <c r="D3220" s="28" t="s">
        <v>1217</v>
      </c>
      <c r="E3220" s="3"/>
      <c r="H3220" s="7"/>
      <c r="K3220" s="30"/>
    </row>
    <row r="3221" spans="1:11" s="2" customFormat="1" x14ac:dyDescent="0.25">
      <c r="A3221" s="28" t="s">
        <v>5530</v>
      </c>
      <c r="B3221" s="29">
        <v>28</v>
      </c>
      <c r="C3221" s="28"/>
      <c r="D3221" s="28" t="s">
        <v>1217</v>
      </c>
      <c r="E3221" s="3"/>
      <c r="H3221" s="7"/>
      <c r="K3221" s="30"/>
    </row>
    <row r="3222" spans="1:11" s="2" customFormat="1" x14ac:dyDescent="0.25">
      <c r="A3222" s="28" t="s">
        <v>5531</v>
      </c>
      <c r="B3222" s="29">
        <v>40</v>
      </c>
      <c r="C3222" s="28"/>
      <c r="D3222" s="28" t="s">
        <v>1217</v>
      </c>
      <c r="E3222" s="3"/>
      <c r="H3222" s="7"/>
      <c r="K3222" s="30"/>
    </row>
    <row r="3223" spans="1:11" s="2" customFormat="1" x14ac:dyDescent="0.25">
      <c r="A3223" s="28" t="s">
        <v>5532</v>
      </c>
      <c r="B3223" s="29">
        <v>8</v>
      </c>
      <c r="C3223" s="28"/>
      <c r="D3223" s="28" t="s">
        <v>1217</v>
      </c>
      <c r="E3223" s="3"/>
      <c r="H3223" s="7"/>
      <c r="K3223" s="30"/>
    </row>
    <row r="3224" spans="1:11" s="2" customFormat="1" x14ac:dyDescent="0.25">
      <c r="A3224" s="28" t="s">
        <v>5533</v>
      </c>
      <c r="B3224" s="29">
        <v>34</v>
      </c>
      <c r="C3224" s="28"/>
      <c r="D3224" s="28" t="s">
        <v>1217</v>
      </c>
      <c r="E3224" s="3"/>
      <c r="H3224" s="7"/>
      <c r="K3224" s="30"/>
    </row>
    <row r="3225" spans="1:11" s="2" customFormat="1" x14ac:dyDescent="0.25">
      <c r="A3225" s="28" t="s">
        <v>5534</v>
      </c>
      <c r="B3225" s="29">
        <v>92</v>
      </c>
      <c r="C3225" s="28"/>
      <c r="D3225" s="28" t="s">
        <v>1217</v>
      </c>
      <c r="E3225" s="3"/>
      <c r="H3225" s="7"/>
      <c r="K3225" s="30"/>
    </row>
    <row r="3226" spans="1:11" s="2" customFormat="1" x14ac:dyDescent="0.25">
      <c r="A3226" s="28" t="s">
        <v>5535</v>
      </c>
      <c r="B3226" s="29">
        <v>14</v>
      </c>
      <c r="C3226" s="28"/>
      <c r="D3226" s="28" t="s">
        <v>1217</v>
      </c>
      <c r="E3226" s="3"/>
      <c r="H3226" s="7"/>
      <c r="K3226" s="30"/>
    </row>
    <row r="3227" spans="1:11" s="2" customFormat="1" x14ac:dyDescent="0.25">
      <c r="A3227" s="28" t="s">
        <v>5536</v>
      </c>
      <c r="B3227" s="29">
        <v>2</v>
      </c>
      <c r="C3227" s="28"/>
      <c r="D3227" s="28" t="s">
        <v>1217</v>
      </c>
      <c r="E3227" s="3"/>
      <c r="H3227" s="7"/>
      <c r="K3227" s="30"/>
    </row>
    <row r="3228" spans="1:11" s="2" customFormat="1" x14ac:dyDescent="0.25">
      <c r="A3228" s="28" t="s">
        <v>5537</v>
      </c>
      <c r="B3228" s="29">
        <v>3</v>
      </c>
      <c r="C3228" s="28"/>
      <c r="D3228" s="28" t="s">
        <v>1217</v>
      </c>
      <c r="E3228" s="3"/>
      <c r="H3228" s="7"/>
      <c r="K3228" s="30"/>
    </row>
    <row r="3229" spans="1:11" s="2" customFormat="1" x14ac:dyDescent="0.25">
      <c r="A3229" s="28" t="s">
        <v>5538</v>
      </c>
      <c r="B3229" s="29">
        <v>21</v>
      </c>
      <c r="C3229" s="28"/>
      <c r="D3229" s="28" t="s">
        <v>1217</v>
      </c>
      <c r="E3229" s="3"/>
      <c r="H3229" s="7"/>
      <c r="K3229" s="30"/>
    </row>
    <row r="3230" spans="1:11" s="2" customFormat="1" x14ac:dyDescent="0.25">
      <c r="A3230" s="28" t="s">
        <v>5539</v>
      </c>
      <c r="B3230" s="29">
        <v>26</v>
      </c>
      <c r="C3230" s="28"/>
      <c r="D3230" s="28" t="s">
        <v>1217</v>
      </c>
      <c r="E3230" s="3"/>
      <c r="H3230" s="7"/>
      <c r="K3230" s="30"/>
    </row>
    <row r="3231" spans="1:11" s="2" customFormat="1" x14ac:dyDescent="0.25">
      <c r="A3231" s="28" t="s">
        <v>5540</v>
      </c>
      <c r="B3231" s="29">
        <v>3</v>
      </c>
      <c r="C3231" s="28"/>
      <c r="D3231" s="28" t="s">
        <v>1217</v>
      </c>
      <c r="E3231" s="3"/>
      <c r="H3231" s="7"/>
      <c r="K3231" s="30"/>
    </row>
    <row r="3232" spans="1:11" s="2" customFormat="1" x14ac:dyDescent="0.25">
      <c r="A3232" s="28" t="s">
        <v>5541</v>
      </c>
      <c r="B3232" s="29">
        <v>6</v>
      </c>
      <c r="C3232" s="28"/>
      <c r="D3232" s="28" t="s">
        <v>1217</v>
      </c>
      <c r="E3232" s="3"/>
      <c r="H3232" s="7"/>
      <c r="K3232" s="30"/>
    </row>
    <row r="3233" spans="1:11" s="2" customFormat="1" x14ac:dyDescent="0.25">
      <c r="A3233" s="28" t="s">
        <v>5542</v>
      </c>
      <c r="B3233" s="29">
        <v>6</v>
      </c>
      <c r="C3233" s="28"/>
      <c r="D3233" s="28" t="s">
        <v>1217</v>
      </c>
      <c r="E3233" s="3"/>
      <c r="H3233" s="7"/>
      <c r="K3233" s="30"/>
    </row>
    <row r="3234" spans="1:11" s="2" customFormat="1" x14ac:dyDescent="0.25">
      <c r="A3234" s="28" t="s">
        <v>5543</v>
      </c>
      <c r="B3234" s="29">
        <v>10</v>
      </c>
      <c r="C3234" s="28"/>
      <c r="D3234" s="28" t="s">
        <v>1217</v>
      </c>
      <c r="E3234" s="3"/>
      <c r="H3234" s="7"/>
      <c r="K3234" s="30"/>
    </row>
    <row r="3235" spans="1:11" s="2" customFormat="1" x14ac:dyDescent="0.25">
      <c r="A3235" s="28" t="s">
        <v>5544</v>
      </c>
      <c r="B3235" s="29">
        <v>7</v>
      </c>
      <c r="C3235" s="28"/>
      <c r="D3235" s="28" t="s">
        <v>1217</v>
      </c>
      <c r="E3235" s="3"/>
      <c r="H3235" s="7"/>
      <c r="K3235" s="30"/>
    </row>
    <row r="3236" spans="1:11" s="2" customFormat="1" x14ac:dyDescent="0.25">
      <c r="A3236" s="28" t="s">
        <v>5545</v>
      </c>
      <c r="B3236" s="29">
        <v>5</v>
      </c>
      <c r="C3236" s="28"/>
      <c r="D3236" s="28" t="s">
        <v>1217</v>
      </c>
      <c r="E3236" s="3"/>
      <c r="H3236" s="7"/>
      <c r="K3236" s="30"/>
    </row>
    <row r="3237" spans="1:11" s="2" customFormat="1" x14ac:dyDescent="0.25">
      <c r="A3237" s="28" t="s">
        <v>5546</v>
      </c>
      <c r="B3237" s="29">
        <v>155</v>
      </c>
      <c r="C3237" s="28"/>
      <c r="D3237" s="28" t="s">
        <v>1217</v>
      </c>
      <c r="E3237" s="3"/>
      <c r="H3237" s="7"/>
      <c r="K3237" s="30"/>
    </row>
    <row r="3238" spans="1:11" s="2" customFormat="1" x14ac:dyDescent="0.25">
      <c r="A3238" s="28" t="s">
        <v>5547</v>
      </c>
      <c r="B3238" s="29">
        <v>23</v>
      </c>
      <c r="C3238" s="28"/>
      <c r="D3238" s="28" t="s">
        <v>1217</v>
      </c>
      <c r="E3238" s="3"/>
      <c r="H3238" s="7"/>
      <c r="K3238" s="30"/>
    </row>
    <row r="3239" spans="1:11" s="2" customFormat="1" x14ac:dyDescent="0.25">
      <c r="A3239" s="28" t="s">
        <v>5548</v>
      </c>
      <c r="B3239" s="29">
        <v>32</v>
      </c>
      <c r="C3239" s="28"/>
      <c r="D3239" s="28" t="s">
        <v>1217</v>
      </c>
      <c r="E3239" s="3"/>
      <c r="H3239" s="7"/>
      <c r="K3239" s="30"/>
    </row>
    <row r="3240" spans="1:11" s="2" customFormat="1" x14ac:dyDescent="0.25">
      <c r="A3240" s="28" t="s">
        <v>5549</v>
      </c>
      <c r="B3240" s="29">
        <v>15</v>
      </c>
      <c r="C3240" s="28"/>
      <c r="D3240" s="28" t="s">
        <v>1217</v>
      </c>
      <c r="E3240" s="3"/>
      <c r="H3240" s="7"/>
      <c r="K3240" s="30"/>
    </row>
    <row r="3241" spans="1:11" s="2" customFormat="1" x14ac:dyDescent="0.25">
      <c r="A3241" s="28" t="s">
        <v>5550</v>
      </c>
      <c r="B3241" s="29">
        <v>40</v>
      </c>
      <c r="C3241" s="28"/>
      <c r="D3241" s="28" t="s">
        <v>1217</v>
      </c>
      <c r="E3241" s="3"/>
      <c r="H3241" s="7"/>
      <c r="K3241" s="30"/>
    </row>
    <row r="3242" spans="1:11" s="2" customFormat="1" x14ac:dyDescent="0.25">
      <c r="A3242" s="28" t="s">
        <v>5551</v>
      </c>
      <c r="B3242" s="29">
        <v>57</v>
      </c>
      <c r="C3242" s="28"/>
      <c r="D3242" s="28" t="s">
        <v>1217</v>
      </c>
      <c r="E3242" s="3"/>
      <c r="H3242" s="7"/>
      <c r="K3242" s="30"/>
    </row>
    <row r="3243" spans="1:11" s="2" customFormat="1" x14ac:dyDescent="0.25">
      <c r="A3243" s="28" t="s">
        <v>5552</v>
      </c>
      <c r="B3243" s="29">
        <v>4</v>
      </c>
      <c r="C3243" s="28"/>
      <c r="D3243" s="28" t="s">
        <v>1217</v>
      </c>
      <c r="E3243" s="3"/>
      <c r="H3243" s="7"/>
      <c r="K3243" s="30"/>
    </row>
    <row r="3244" spans="1:11" s="2" customFormat="1" x14ac:dyDescent="0.25">
      <c r="A3244" s="28" t="s">
        <v>5553</v>
      </c>
      <c r="B3244" s="29">
        <v>30</v>
      </c>
      <c r="C3244" s="28"/>
      <c r="D3244" s="28" t="s">
        <v>1217</v>
      </c>
      <c r="E3244" s="3"/>
      <c r="H3244" s="7"/>
      <c r="K3244" s="30"/>
    </row>
    <row r="3245" spans="1:11" s="2" customFormat="1" x14ac:dyDescent="0.25">
      <c r="A3245" s="28" t="s">
        <v>5554</v>
      </c>
      <c r="B3245" s="29">
        <v>3</v>
      </c>
      <c r="C3245" s="28"/>
      <c r="D3245" s="28" t="s">
        <v>1217</v>
      </c>
      <c r="E3245" s="3"/>
      <c r="H3245" s="7"/>
      <c r="K3245" s="30"/>
    </row>
    <row r="3246" spans="1:11" s="2" customFormat="1" x14ac:dyDescent="0.25">
      <c r="A3246" s="28" t="s">
        <v>5555</v>
      </c>
      <c r="B3246" s="29">
        <v>5</v>
      </c>
      <c r="C3246" s="28"/>
      <c r="D3246" s="28" t="s">
        <v>1217</v>
      </c>
      <c r="E3246" s="3"/>
      <c r="H3246" s="7"/>
      <c r="K3246" s="30"/>
    </row>
    <row r="3247" spans="1:11" s="2" customFormat="1" x14ac:dyDescent="0.25">
      <c r="A3247" s="28" t="s">
        <v>5556</v>
      </c>
      <c r="B3247" s="29">
        <v>1</v>
      </c>
      <c r="C3247" s="28"/>
      <c r="D3247" s="28" t="s">
        <v>1217</v>
      </c>
      <c r="E3247" s="3"/>
      <c r="H3247" s="7"/>
      <c r="K3247" s="30"/>
    </row>
    <row r="3248" spans="1:11" s="2" customFormat="1" x14ac:dyDescent="0.25">
      <c r="A3248" s="28" t="s">
        <v>5557</v>
      </c>
      <c r="B3248" s="29">
        <v>8</v>
      </c>
      <c r="C3248" s="28"/>
      <c r="D3248" s="28" t="s">
        <v>1217</v>
      </c>
      <c r="E3248" s="3"/>
      <c r="H3248" s="7"/>
      <c r="K3248" s="30"/>
    </row>
    <row r="3249" spans="1:11" s="2" customFormat="1" x14ac:dyDescent="0.25">
      <c r="A3249" s="28" t="s">
        <v>5558</v>
      </c>
      <c r="B3249" s="29">
        <v>4</v>
      </c>
      <c r="C3249" s="28"/>
      <c r="D3249" s="28" t="s">
        <v>1217</v>
      </c>
      <c r="E3249" s="3"/>
      <c r="H3249" s="7"/>
      <c r="K3249" s="30"/>
    </row>
    <row r="3250" spans="1:11" s="2" customFormat="1" x14ac:dyDescent="0.25">
      <c r="A3250" s="28" t="s">
        <v>5559</v>
      </c>
      <c r="B3250" s="29">
        <v>14</v>
      </c>
      <c r="C3250" s="28"/>
      <c r="D3250" s="28" t="s">
        <v>1217</v>
      </c>
      <c r="E3250" s="3"/>
      <c r="H3250" s="7"/>
      <c r="K3250" s="30"/>
    </row>
    <row r="3251" spans="1:11" s="2" customFormat="1" x14ac:dyDescent="0.25">
      <c r="A3251" s="28" t="s">
        <v>5560</v>
      </c>
      <c r="B3251" s="29">
        <v>47</v>
      </c>
      <c r="C3251" s="28"/>
      <c r="D3251" s="28" t="s">
        <v>1217</v>
      </c>
      <c r="E3251" s="3"/>
      <c r="H3251" s="7"/>
      <c r="K3251" s="30"/>
    </row>
    <row r="3252" spans="1:11" s="2" customFormat="1" x14ac:dyDescent="0.25">
      <c r="A3252" s="28" t="s">
        <v>5561</v>
      </c>
      <c r="B3252" s="29">
        <v>40</v>
      </c>
      <c r="C3252" s="28"/>
      <c r="D3252" s="28" t="s">
        <v>1217</v>
      </c>
      <c r="E3252" s="3"/>
      <c r="H3252" s="7"/>
      <c r="K3252" s="30"/>
    </row>
    <row r="3253" spans="1:11" s="2" customFormat="1" x14ac:dyDescent="0.25">
      <c r="A3253" s="28" t="s">
        <v>5562</v>
      </c>
      <c r="B3253" s="29">
        <v>9</v>
      </c>
      <c r="C3253" s="28"/>
      <c r="D3253" s="28" t="s">
        <v>1217</v>
      </c>
      <c r="E3253" s="3"/>
      <c r="H3253" s="7"/>
      <c r="K3253" s="30"/>
    </row>
    <row r="3254" spans="1:11" s="2" customFormat="1" x14ac:dyDescent="0.25">
      <c r="A3254" s="28" t="s">
        <v>5563</v>
      </c>
      <c r="B3254" s="29">
        <v>14</v>
      </c>
      <c r="C3254" s="28"/>
      <c r="D3254" s="28" t="s">
        <v>1217</v>
      </c>
      <c r="E3254" s="3"/>
      <c r="H3254" s="7"/>
      <c r="K3254" s="30"/>
    </row>
    <row r="3255" spans="1:11" s="2" customFormat="1" x14ac:dyDescent="0.25">
      <c r="A3255" s="28" t="s">
        <v>5564</v>
      </c>
      <c r="B3255" s="29">
        <v>41</v>
      </c>
      <c r="C3255" s="28"/>
      <c r="D3255" s="28" t="s">
        <v>1217</v>
      </c>
      <c r="E3255" s="3"/>
      <c r="H3255" s="7"/>
      <c r="K3255" s="30"/>
    </row>
    <row r="3256" spans="1:11" s="2" customFormat="1" x14ac:dyDescent="0.25">
      <c r="A3256" s="28" t="s">
        <v>5565</v>
      </c>
      <c r="B3256" s="29">
        <v>25</v>
      </c>
      <c r="C3256" s="28"/>
      <c r="D3256" s="28" t="s">
        <v>1217</v>
      </c>
      <c r="E3256" s="3"/>
      <c r="H3256" s="7"/>
      <c r="K3256" s="30"/>
    </row>
    <row r="3257" spans="1:11" s="2" customFormat="1" x14ac:dyDescent="0.25">
      <c r="A3257" s="28" t="s">
        <v>5566</v>
      </c>
      <c r="B3257" s="29">
        <v>27</v>
      </c>
      <c r="C3257" s="28"/>
      <c r="D3257" s="28" t="s">
        <v>1217</v>
      </c>
      <c r="E3257" s="3"/>
      <c r="H3257" s="7"/>
      <c r="K3257" s="30"/>
    </row>
    <row r="3258" spans="1:11" s="2" customFormat="1" x14ac:dyDescent="0.25">
      <c r="A3258" s="28" t="s">
        <v>5567</v>
      </c>
      <c r="B3258" s="29">
        <v>16</v>
      </c>
      <c r="C3258" s="28"/>
      <c r="D3258" s="28" t="s">
        <v>1217</v>
      </c>
      <c r="E3258" s="3"/>
      <c r="H3258" s="7"/>
      <c r="K3258" s="30"/>
    </row>
    <row r="3259" spans="1:11" s="2" customFormat="1" x14ac:dyDescent="0.25">
      <c r="A3259" s="28" t="s">
        <v>5568</v>
      </c>
      <c r="B3259" s="29">
        <v>20</v>
      </c>
      <c r="C3259" s="28"/>
      <c r="D3259" s="28" t="s">
        <v>1217</v>
      </c>
      <c r="E3259" s="3"/>
      <c r="H3259" s="7"/>
      <c r="K3259" s="30"/>
    </row>
    <row r="3260" spans="1:11" s="2" customFormat="1" x14ac:dyDescent="0.25">
      <c r="A3260" s="28" t="s">
        <v>5569</v>
      </c>
      <c r="B3260" s="29">
        <v>10</v>
      </c>
      <c r="C3260" s="28"/>
      <c r="D3260" s="28" t="s">
        <v>1217</v>
      </c>
      <c r="E3260" s="3"/>
      <c r="H3260" s="7"/>
      <c r="K3260" s="30"/>
    </row>
    <row r="3261" spans="1:11" s="2" customFormat="1" x14ac:dyDescent="0.25">
      <c r="A3261" s="28" t="s">
        <v>5570</v>
      </c>
      <c r="B3261" s="29">
        <v>8</v>
      </c>
      <c r="C3261" s="28"/>
      <c r="D3261" s="28" t="s">
        <v>1217</v>
      </c>
      <c r="E3261" s="3"/>
      <c r="H3261" s="7"/>
      <c r="K3261" s="30"/>
    </row>
    <row r="3262" spans="1:11" s="2" customFormat="1" x14ac:dyDescent="0.25">
      <c r="A3262" s="28" t="s">
        <v>5571</v>
      </c>
      <c r="B3262" s="29">
        <v>7</v>
      </c>
      <c r="C3262" s="28"/>
      <c r="D3262" s="28" t="s">
        <v>1217</v>
      </c>
      <c r="E3262" s="3"/>
      <c r="H3262" s="7"/>
      <c r="K3262" s="30"/>
    </row>
    <row r="3263" spans="1:11" s="2" customFormat="1" x14ac:dyDescent="0.25">
      <c r="A3263" s="28" t="s">
        <v>5572</v>
      </c>
      <c r="B3263" s="29">
        <v>1</v>
      </c>
      <c r="C3263" s="28"/>
      <c r="D3263" s="28" t="s">
        <v>1217</v>
      </c>
      <c r="E3263" s="3"/>
      <c r="H3263" s="7"/>
      <c r="K3263" s="30"/>
    </row>
    <row r="3264" spans="1:11" s="2" customFormat="1" x14ac:dyDescent="0.25">
      <c r="A3264" s="28" t="s">
        <v>5573</v>
      </c>
      <c r="B3264" s="29">
        <v>42</v>
      </c>
      <c r="C3264" s="28"/>
      <c r="D3264" s="28" t="s">
        <v>1217</v>
      </c>
      <c r="E3264" s="3"/>
      <c r="H3264" s="7"/>
      <c r="K3264" s="30"/>
    </row>
    <row r="3265" spans="1:11" s="2" customFormat="1" x14ac:dyDescent="0.25">
      <c r="A3265" s="28" t="s">
        <v>5574</v>
      </c>
      <c r="B3265" s="29">
        <v>10</v>
      </c>
      <c r="C3265" s="28"/>
      <c r="D3265" s="28" t="s">
        <v>1217</v>
      </c>
      <c r="E3265" s="3"/>
      <c r="H3265" s="7"/>
      <c r="K3265" s="30"/>
    </row>
    <row r="3266" spans="1:11" s="2" customFormat="1" x14ac:dyDescent="0.25">
      <c r="A3266" s="28" t="s">
        <v>5575</v>
      </c>
      <c r="B3266" s="29">
        <v>31</v>
      </c>
      <c r="C3266" s="28"/>
      <c r="D3266" s="28" t="s">
        <v>1217</v>
      </c>
      <c r="E3266" s="3"/>
      <c r="H3266" s="7"/>
      <c r="K3266" s="30"/>
    </row>
    <row r="3267" spans="1:11" s="2" customFormat="1" x14ac:dyDescent="0.25">
      <c r="A3267" s="28" t="s">
        <v>5576</v>
      </c>
      <c r="B3267" s="29">
        <v>14</v>
      </c>
      <c r="C3267" s="28"/>
      <c r="D3267" s="28" t="s">
        <v>1217</v>
      </c>
      <c r="E3267" s="3"/>
      <c r="H3267" s="7"/>
      <c r="K3267" s="30"/>
    </row>
    <row r="3268" spans="1:11" s="2" customFormat="1" x14ac:dyDescent="0.25">
      <c r="A3268" s="28" t="s">
        <v>5577</v>
      </c>
      <c r="B3268" s="29">
        <v>67</v>
      </c>
      <c r="C3268" s="28"/>
      <c r="D3268" s="28" t="s">
        <v>1217</v>
      </c>
      <c r="E3268" s="3"/>
      <c r="H3268" s="7"/>
      <c r="K3268" s="30"/>
    </row>
    <row r="3269" spans="1:11" s="2" customFormat="1" x14ac:dyDescent="0.25">
      <c r="A3269" s="28" t="s">
        <v>5578</v>
      </c>
      <c r="B3269" s="29">
        <v>52</v>
      </c>
      <c r="C3269" s="28"/>
      <c r="D3269" s="28" t="s">
        <v>1217</v>
      </c>
      <c r="E3269" s="3"/>
      <c r="H3269" s="7"/>
      <c r="K3269" s="30"/>
    </row>
    <row r="3270" spans="1:11" s="2" customFormat="1" x14ac:dyDescent="0.25">
      <c r="A3270" s="28" t="s">
        <v>5579</v>
      </c>
      <c r="B3270" s="29">
        <v>24</v>
      </c>
      <c r="C3270" s="28"/>
      <c r="D3270" s="28" t="s">
        <v>1217</v>
      </c>
      <c r="E3270" s="3"/>
      <c r="H3270" s="7"/>
      <c r="K3270" s="30"/>
    </row>
    <row r="3271" spans="1:11" s="2" customFormat="1" x14ac:dyDescent="0.25">
      <c r="A3271" s="28" t="s">
        <v>5580</v>
      </c>
      <c r="B3271" s="29">
        <v>18</v>
      </c>
      <c r="C3271" s="28"/>
      <c r="D3271" s="28" t="s">
        <v>1217</v>
      </c>
      <c r="E3271" s="3"/>
      <c r="H3271" s="7"/>
      <c r="K3271" s="30"/>
    </row>
    <row r="3272" spans="1:11" s="2" customFormat="1" x14ac:dyDescent="0.25">
      <c r="A3272" s="28" t="s">
        <v>5581</v>
      </c>
      <c r="B3272" s="29">
        <v>27</v>
      </c>
      <c r="C3272" s="28"/>
      <c r="D3272" s="28" t="s">
        <v>1217</v>
      </c>
      <c r="E3272" s="3"/>
      <c r="H3272" s="7"/>
      <c r="K3272" s="30"/>
    </row>
    <row r="3273" spans="1:11" s="2" customFormat="1" x14ac:dyDescent="0.25">
      <c r="A3273" s="28" t="s">
        <v>5582</v>
      </c>
      <c r="B3273" s="29">
        <v>19</v>
      </c>
      <c r="C3273" s="28"/>
      <c r="D3273" s="28" t="s">
        <v>1217</v>
      </c>
      <c r="E3273" s="3"/>
      <c r="H3273" s="7"/>
      <c r="K3273" s="30"/>
    </row>
    <row r="3274" spans="1:11" s="2" customFormat="1" x14ac:dyDescent="0.25">
      <c r="A3274" s="28" t="s">
        <v>5583</v>
      </c>
      <c r="B3274" s="29">
        <v>1</v>
      </c>
      <c r="C3274" s="28"/>
      <c r="D3274" s="28" t="s">
        <v>1217</v>
      </c>
      <c r="E3274" s="3"/>
      <c r="H3274" s="7"/>
      <c r="K3274" s="30"/>
    </row>
    <row r="3275" spans="1:11" s="2" customFormat="1" x14ac:dyDescent="0.25">
      <c r="A3275" s="28" t="s">
        <v>5584</v>
      </c>
      <c r="B3275" s="29">
        <v>20</v>
      </c>
      <c r="C3275" s="28"/>
      <c r="D3275" s="28" t="s">
        <v>1217</v>
      </c>
      <c r="E3275" s="3"/>
      <c r="H3275" s="7"/>
      <c r="K3275" s="30"/>
    </row>
    <row r="3276" spans="1:11" s="2" customFormat="1" x14ac:dyDescent="0.25">
      <c r="A3276" s="28" t="s">
        <v>5585</v>
      </c>
      <c r="B3276" s="29">
        <v>5</v>
      </c>
      <c r="C3276" s="28"/>
      <c r="D3276" s="28" t="s">
        <v>1217</v>
      </c>
      <c r="E3276" s="3"/>
      <c r="H3276" s="7"/>
      <c r="K3276" s="30"/>
    </row>
    <row r="3277" spans="1:11" s="2" customFormat="1" x14ac:dyDescent="0.25">
      <c r="A3277" s="28" t="s">
        <v>5586</v>
      </c>
      <c r="B3277" s="29">
        <v>13</v>
      </c>
      <c r="C3277" s="28"/>
      <c r="D3277" s="28" t="s">
        <v>1217</v>
      </c>
      <c r="E3277" s="3"/>
      <c r="H3277" s="7"/>
      <c r="K3277" s="30"/>
    </row>
    <row r="3278" spans="1:11" s="2" customFormat="1" x14ac:dyDescent="0.25">
      <c r="A3278" s="28" t="s">
        <v>5587</v>
      </c>
      <c r="B3278" s="29">
        <v>16</v>
      </c>
      <c r="C3278" s="28"/>
      <c r="D3278" s="28" t="s">
        <v>1217</v>
      </c>
      <c r="E3278" s="3"/>
      <c r="H3278" s="7"/>
      <c r="K3278" s="30"/>
    </row>
    <row r="3279" spans="1:11" s="2" customFormat="1" x14ac:dyDescent="0.25">
      <c r="A3279" s="28" t="s">
        <v>5588</v>
      </c>
      <c r="B3279" s="29">
        <v>21</v>
      </c>
      <c r="C3279" s="28"/>
      <c r="D3279" s="28" t="s">
        <v>1217</v>
      </c>
      <c r="E3279" s="3"/>
      <c r="H3279" s="7"/>
      <c r="K3279" s="30"/>
    </row>
    <row r="3280" spans="1:11" s="2" customFormat="1" x14ac:dyDescent="0.25">
      <c r="A3280" s="28" t="s">
        <v>5589</v>
      </c>
      <c r="B3280" s="29">
        <v>4</v>
      </c>
      <c r="C3280" s="28"/>
      <c r="D3280" s="28" t="s">
        <v>1217</v>
      </c>
      <c r="E3280" s="3"/>
      <c r="H3280" s="7"/>
      <c r="K3280" s="30"/>
    </row>
    <row r="3281" spans="1:11" s="2" customFormat="1" x14ac:dyDescent="0.25">
      <c r="A3281" s="28" t="s">
        <v>5590</v>
      </c>
      <c r="B3281" s="29">
        <v>2</v>
      </c>
      <c r="C3281" s="28"/>
      <c r="D3281" s="28" t="s">
        <v>1217</v>
      </c>
      <c r="E3281" s="3"/>
      <c r="H3281" s="7"/>
      <c r="K3281" s="30"/>
    </row>
    <row r="3282" spans="1:11" s="2" customFormat="1" x14ac:dyDescent="0.25">
      <c r="A3282" s="28" t="s">
        <v>5591</v>
      </c>
      <c r="B3282" s="29">
        <v>21</v>
      </c>
      <c r="C3282" s="28"/>
      <c r="D3282" s="28" t="s">
        <v>1217</v>
      </c>
      <c r="E3282" s="3"/>
      <c r="H3282" s="7"/>
      <c r="K3282" s="30"/>
    </row>
    <row r="3283" spans="1:11" s="2" customFormat="1" x14ac:dyDescent="0.25">
      <c r="A3283" s="28" t="s">
        <v>5592</v>
      </c>
      <c r="B3283" s="29">
        <v>10</v>
      </c>
      <c r="C3283" s="28"/>
      <c r="D3283" s="28" t="s">
        <v>1217</v>
      </c>
      <c r="E3283" s="3"/>
      <c r="H3283" s="7"/>
      <c r="K3283" s="30"/>
    </row>
    <row r="3284" spans="1:11" s="2" customFormat="1" x14ac:dyDescent="0.25">
      <c r="A3284" s="28" t="s">
        <v>5593</v>
      </c>
      <c r="B3284" s="29">
        <v>21</v>
      </c>
      <c r="C3284" s="28"/>
      <c r="D3284" s="28" t="s">
        <v>1217</v>
      </c>
      <c r="E3284" s="3"/>
      <c r="H3284" s="7"/>
      <c r="K3284" s="30"/>
    </row>
    <row r="3285" spans="1:11" s="2" customFormat="1" x14ac:dyDescent="0.25">
      <c r="A3285" s="28" t="s">
        <v>5594</v>
      </c>
      <c r="B3285" s="29">
        <v>1</v>
      </c>
      <c r="C3285" s="28"/>
      <c r="D3285" s="28" t="s">
        <v>1217</v>
      </c>
      <c r="E3285" s="3"/>
      <c r="H3285" s="7"/>
      <c r="K3285" s="30"/>
    </row>
    <row r="3286" spans="1:11" s="2" customFormat="1" x14ac:dyDescent="0.25">
      <c r="A3286" s="28" t="s">
        <v>5595</v>
      </c>
      <c r="B3286" s="29">
        <v>12</v>
      </c>
      <c r="C3286" s="28"/>
      <c r="D3286" s="28" t="s">
        <v>1217</v>
      </c>
      <c r="E3286" s="3"/>
      <c r="H3286" s="7"/>
      <c r="K3286" s="30"/>
    </row>
    <row r="3287" spans="1:11" s="2" customFormat="1" x14ac:dyDescent="0.25">
      <c r="A3287" s="28" t="s">
        <v>5596</v>
      </c>
      <c r="B3287" s="29">
        <v>36</v>
      </c>
      <c r="C3287" s="28"/>
      <c r="D3287" s="28" t="s">
        <v>1217</v>
      </c>
      <c r="E3287" s="3"/>
      <c r="H3287" s="7"/>
      <c r="K3287" s="30"/>
    </row>
    <row r="3288" spans="1:11" s="2" customFormat="1" x14ac:dyDescent="0.25">
      <c r="A3288" s="28" t="s">
        <v>5597</v>
      </c>
      <c r="B3288" s="29">
        <v>5</v>
      </c>
      <c r="C3288" s="28"/>
      <c r="D3288" s="28" t="s">
        <v>1217</v>
      </c>
      <c r="E3288" s="3"/>
      <c r="H3288" s="7"/>
      <c r="K3288" s="30"/>
    </row>
    <row r="3289" spans="1:11" s="2" customFormat="1" x14ac:dyDescent="0.25">
      <c r="A3289" s="28" t="s">
        <v>5598</v>
      </c>
      <c r="B3289" s="29">
        <v>8</v>
      </c>
      <c r="C3289" s="28"/>
      <c r="D3289" s="28" t="s">
        <v>1217</v>
      </c>
      <c r="E3289" s="3"/>
      <c r="H3289" s="7"/>
      <c r="K3289" s="30"/>
    </row>
    <row r="3290" spans="1:11" s="2" customFormat="1" x14ac:dyDescent="0.25">
      <c r="A3290" s="28" t="s">
        <v>5599</v>
      </c>
      <c r="B3290" s="29">
        <v>32</v>
      </c>
      <c r="C3290" s="28"/>
      <c r="D3290" s="28" t="s">
        <v>1217</v>
      </c>
      <c r="E3290" s="3"/>
      <c r="H3290" s="7"/>
      <c r="K3290" s="30"/>
    </row>
    <row r="3291" spans="1:11" s="2" customFormat="1" x14ac:dyDescent="0.25">
      <c r="A3291" s="28" t="s">
        <v>5600</v>
      </c>
      <c r="B3291" s="29">
        <v>3</v>
      </c>
      <c r="C3291" s="28"/>
      <c r="D3291" s="28" t="s">
        <v>1217</v>
      </c>
      <c r="E3291" s="3"/>
      <c r="H3291" s="7"/>
      <c r="K3291" s="30"/>
    </row>
    <row r="3292" spans="1:11" s="2" customFormat="1" x14ac:dyDescent="0.25">
      <c r="A3292" s="28" t="s">
        <v>5601</v>
      </c>
      <c r="B3292" s="29">
        <v>2</v>
      </c>
      <c r="C3292" s="28"/>
      <c r="D3292" s="28" t="s">
        <v>1217</v>
      </c>
      <c r="E3292" s="3"/>
      <c r="H3292" s="7"/>
      <c r="K3292" s="30"/>
    </row>
    <row r="3293" spans="1:11" s="2" customFormat="1" x14ac:dyDescent="0.25">
      <c r="A3293" s="28" t="s">
        <v>5602</v>
      </c>
      <c r="B3293" s="29">
        <v>45</v>
      </c>
      <c r="C3293" s="28"/>
      <c r="D3293" s="28" t="s">
        <v>1217</v>
      </c>
      <c r="E3293" s="3"/>
      <c r="H3293" s="7"/>
      <c r="K3293" s="30"/>
    </row>
    <row r="3294" spans="1:11" s="2" customFormat="1" x14ac:dyDescent="0.25">
      <c r="A3294" s="28" t="s">
        <v>5603</v>
      </c>
      <c r="B3294" s="29">
        <v>34</v>
      </c>
      <c r="C3294" s="28"/>
      <c r="D3294" s="28" t="s">
        <v>1217</v>
      </c>
      <c r="E3294" s="3"/>
      <c r="H3294" s="7"/>
      <c r="K3294" s="30"/>
    </row>
    <row r="3295" spans="1:11" s="2" customFormat="1" x14ac:dyDescent="0.25">
      <c r="A3295" s="28" t="s">
        <v>5604</v>
      </c>
      <c r="B3295" s="29">
        <v>49</v>
      </c>
      <c r="C3295" s="28"/>
      <c r="D3295" s="28" t="s">
        <v>1217</v>
      </c>
      <c r="E3295" s="3"/>
      <c r="H3295" s="7"/>
      <c r="K3295" s="30"/>
    </row>
    <row r="3296" spans="1:11" s="2" customFormat="1" x14ac:dyDescent="0.25">
      <c r="A3296" s="28" t="s">
        <v>5605</v>
      </c>
      <c r="B3296" s="29">
        <v>8</v>
      </c>
      <c r="C3296" s="28"/>
      <c r="D3296" s="28" t="s">
        <v>1217</v>
      </c>
      <c r="E3296" s="3"/>
      <c r="H3296" s="7"/>
      <c r="K3296" s="30"/>
    </row>
    <row r="3297" spans="1:11" s="2" customFormat="1" x14ac:dyDescent="0.25">
      <c r="A3297" s="28" t="s">
        <v>5606</v>
      </c>
      <c r="B3297" s="29">
        <v>25</v>
      </c>
      <c r="C3297" s="28"/>
      <c r="D3297" s="28" t="s">
        <v>1217</v>
      </c>
      <c r="E3297" s="3"/>
      <c r="H3297" s="7"/>
      <c r="K3297" s="30"/>
    </row>
    <row r="3298" spans="1:11" s="2" customFormat="1" x14ac:dyDescent="0.25">
      <c r="A3298" s="28" t="s">
        <v>5607</v>
      </c>
      <c r="B3298" s="29">
        <v>18</v>
      </c>
      <c r="C3298" s="28"/>
      <c r="D3298" s="28" t="s">
        <v>1217</v>
      </c>
      <c r="E3298" s="3"/>
      <c r="H3298" s="7"/>
      <c r="K3298" s="30"/>
    </row>
    <row r="3299" spans="1:11" s="2" customFormat="1" x14ac:dyDescent="0.25">
      <c r="A3299" s="28" t="s">
        <v>5608</v>
      </c>
      <c r="B3299" s="29">
        <v>9</v>
      </c>
      <c r="C3299" s="28"/>
      <c r="D3299" s="28" t="s">
        <v>1217</v>
      </c>
      <c r="E3299" s="3"/>
      <c r="H3299" s="7"/>
      <c r="K3299" s="30"/>
    </row>
    <row r="3300" spans="1:11" s="2" customFormat="1" x14ac:dyDescent="0.25">
      <c r="A3300" s="28" t="s">
        <v>5609</v>
      </c>
      <c r="B3300" s="29">
        <v>6</v>
      </c>
      <c r="C3300" s="28"/>
      <c r="D3300" s="28" t="s">
        <v>1217</v>
      </c>
      <c r="E3300" s="3"/>
      <c r="H3300" s="7"/>
      <c r="K3300" s="30"/>
    </row>
    <row r="3301" spans="1:11" s="2" customFormat="1" x14ac:dyDescent="0.25">
      <c r="A3301" s="28" t="s">
        <v>5610</v>
      </c>
      <c r="B3301" s="29">
        <v>9</v>
      </c>
      <c r="C3301" s="28"/>
      <c r="D3301" s="28" t="s">
        <v>1217</v>
      </c>
      <c r="E3301" s="3"/>
      <c r="H3301" s="7"/>
      <c r="K3301" s="30"/>
    </row>
    <row r="3302" spans="1:11" s="2" customFormat="1" x14ac:dyDescent="0.25">
      <c r="A3302" s="28" t="s">
        <v>5611</v>
      </c>
      <c r="B3302" s="29">
        <v>11</v>
      </c>
      <c r="C3302" s="28"/>
      <c r="D3302" s="28" t="s">
        <v>1217</v>
      </c>
      <c r="E3302" s="3"/>
      <c r="H3302" s="7"/>
      <c r="K3302" s="30"/>
    </row>
    <row r="3303" spans="1:11" s="2" customFormat="1" x14ac:dyDescent="0.25">
      <c r="A3303" s="28" t="s">
        <v>5612</v>
      </c>
      <c r="B3303" s="29">
        <v>10</v>
      </c>
      <c r="C3303" s="28"/>
      <c r="D3303" s="28" t="s">
        <v>1217</v>
      </c>
      <c r="E3303" s="3"/>
      <c r="H3303" s="7"/>
      <c r="K3303" s="30"/>
    </row>
    <row r="3304" spans="1:11" s="2" customFormat="1" x14ac:dyDescent="0.25">
      <c r="A3304" s="28" t="s">
        <v>5613</v>
      </c>
      <c r="B3304" s="29">
        <v>1</v>
      </c>
      <c r="C3304" s="28"/>
      <c r="D3304" s="28" t="s">
        <v>1217</v>
      </c>
      <c r="E3304" s="3"/>
      <c r="H3304" s="7"/>
      <c r="K3304" s="30"/>
    </row>
    <row r="3305" spans="1:11" s="2" customFormat="1" x14ac:dyDescent="0.25">
      <c r="A3305" s="28" t="s">
        <v>5614</v>
      </c>
      <c r="B3305" s="29">
        <v>1</v>
      </c>
      <c r="C3305" s="28"/>
      <c r="D3305" s="28" t="s">
        <v>1217</v>
      </c>
      <c r="E3305" s="3"/>
      <c r="H3305" s="7"/>
      <c r="K3305" s="30"/>
    </row>
    <row r="3306" spans="1:11" s="2" customFormat="1" x14ac:dyDescent="0.25">
      <c r="A3306" s="28" t="s">
        <v>5615</v>
      </c>
      <c r="B3306" s="29">
        <v>10</v>
      </c>
      <c r="C3306" s="28"/>
      <c r="D3306" s="28" t="s">
        <v>1217</v>
      </c>
      <c r="E3306" s="3"/>
      <c r="H3306" s="7"/>
      <c r="K3306" s="30"/>
    </row>
    <row r="3307" spans="1:11" s="2" customFormat="1" x14ac:dyDescent="0.25">
      <c r="A3307" s="28" t="s">
        <v>5616</v>
      </c>
      <c r="B3307" s="29">
        <v>16</v>
      </c>
      <c r="C3307" s="28"/>
      <c r="D3307" s="28" t="s">
        <v>1217</v>
      </c>
      <c r="E3307" s="3"/>
      <c r="H3307" s="7"/>
      <c r="K3307" s="30"/>
    </row>
    <row r="3308" spans="1:11" s="2" customFormat="1" x14ac:dyDescent="0.25">
      <c r="A3308" s="28" t="s">
        <v>5617</v>
      </c>
      <c r="B3308" s="29">
        <v>18</v>
      </c>
      <c r="C3308" s="28"/>
      <c r="D3308" s="28" t="s">
        <v>1217</v>
      </c>
      <c r="E3308" s="3"/>
      <c r="H3308" s="7"/>
      <c r="K3308" s="30"/>
    </row>
    <row r="3309" spans="1:11" s="2" customFormat="1" x14ac:dyDescent="0.25">
      <c r="A3309" s="28" t="s">
        <v>5618</v>
      </c>
      <c r="B3309" s="29">
        <v>5</v>
      </c>
      <c r="C3309" s="28"/>
      <c r="D3309" s="28" t="s">
        <v>1217</v>
      </c>
      <c r="E3309" s="3"/>
      <c r="H3309" s="7"/>
      <c r="K3309" s="30"/>
    </row>
    <row r="3310" spans="1:11" s="2" customFormat="1" x14ac:dyDescent="0.25">
      <c r="A3310" s="28" t="s">
        <v>5619</v>
      </c>
      <c r="B3310" s="29">
        <v>14</v>
      </c>
      <c r="C3310" s="28"/>
      <c r="D3310" s="28" t="s">
        <v>1217</v>
      </c>
      <c r="E3310" s="3"/>
      <c r="H3310" s="7"/>
      <c r="K3310" s="30"/>
    </row>
    <row r="3311" spans="1:11" s="2" customFormat="1" x14ac:dyDescent="0.25">
      <c r="A3311" s="28" t="s">
        <v>5620</v>
      </c>
      <c r="B3311" s="29">
        <v>5</v>
      </c>
      <c r="C3311" s="28"/>
      <c r="D3311" s="28" t="s">
        <v>1217</v>
      </c>
      <c r="E3311" s="3"/>
      <c r="H3311" s="7"/>
      <c r="K3311" s="30"/>
    </row>
    <row r="3312" spans="1:11" s="2" customFormat="1" x14ac:dyDescent="0.25">
      <c r="A3312" s="28" t="s">
        <v>5621</v>
      </c>
      <c r="B3312" s="29">
        <v>19</v>
      </c>
      <c r="C3312" s="28"/>
      <c r="D3312" s="28" t="s">
        <v>1217</v>
      </c>
      <c r="E3312" s="3"/>
      <c r="H3312" s="7"/>
      <c r="K3312" s="30"/>
    </row>
    <row r="3313" spans="1:11" s="2" customFormat="1" x14ac:dyDescent="0.25">
      <c r="A3313" s="28" t="s">
        <v>5622</v>
      </c>
      <c r="B3313" s="29">
        <v>4</v>
      </c>
      <c r="C3313" s="28"/>
      <c r="D3313" s="28" t="s">
        <v>1217</v>
      </c>
      <c r="E3313" s="3"/>
      <c r="H3313" s="7"/>
      <c r="K3313" s="30"/>
    </row>
    <row r="3314" spans="1:11" s="2" customFormat="1" x14ac:dyDescent="0.25">
      <c r="A3314" s="28" t="s">
        <v>5623</v>
      </c>
      <c r="B3314" s="29">
        <v>4</v>
      </c>
      <c r="C3314" s="28"/>
      <c r="D3314" s="28" t="s">
        <v>1217</v>
      </c>
      <c r="E3314" s="3"/>
      <c r="H3314" s="7"/>
      <c r="K3314" s="30"/>
    </row>
    <row r="3315" spans="1:11" s="2" customFormat="1" x14ac:dyDescent="0.25">
      <c r="A3315" s="28" t="s">
        <v>5624</v>
      </c>
      <c r="B3315" s="29">
        <v>1</v>
      </c>
      <c r="C3315" s="28"/>
      <c r="D3315" s="28" t="s">
        <v>1217</v>
      </c>
      <c r="E3315" s="3"/>
      <c r="H3315" s="7"/>
      <c r="K3315" s="30"/>
    </row>
    <row r="3316" spans="1:11" s="2" customFormat="1" x14ac:dyDescent="0.25">
      <c r="A3316" s="28" t="s">
        <v>5625</v>
      </c>
      <c r="B3316" s="29">
        <v>13</v>
      </c>
      <c r="C3316" s="28"/>
      <c r="D3316" s="28" t="s">
        <v>1217</v>
      </c>
      <c r="E3316" s="3"/>
      <c r="H3316" s="7"/>
      <c r="K3316" s="30"/>
    </row>
    <row r="3317" spans="1:11" s="2" customFormat="1" x14ac:dyDescent="0.25">
      <c r="A3317" s="28" t="s">
        <v>5626</v>
      </c>
      <c r="B3317" s="29">
        <v>10</v>
      </c>
      <c r="C3317" s="28"/>
      <c r="D3317" s="28" t="s">
        <v>1217</v>
      </c>
      <c r="E3317" s="3"/>
      <c r="H3317" s="7"/>
      <c r="K3317" s="30"/>
    </row>
    <row r="3318" spans="1:11" s="2" customFormat="1" x14ac:dyDescent="0.25">
      <c r="A3318" s="28" t="s">
        <v>5627</v>
      </c>
      <c r="B3318" s="29">
        <v>6</v>
      </c>
      <c r="C3318" s="28"/>
      <c r="D3318" s="28" t="s">
        <v>1217</v>
      </c>
      <c r="E3318" s="3"/>
      <c r="H3318" s="7"/>
      <c r="K3318" s="30"/>
    </row>
    <row r="3319" spans="1:11" s="2" customFormat="1" x14ac:dyDescent="0.25">
      <c r="A3319" s="28" t="s">
        <v>5628</v>
      </c>
      <c r="B3319" s="29">
        <v>18</v>
      </c>
      <c r="C3319" s="28"/>
      <c r="D3319" s="28" t="s">
        <v>1217</v>
      </c>
      <c r="E3319" s="3"/>
      <c r="H3319" s="7"/>
      <c r="K3319" s="30"/>
    </row>
    <row r="3320" spans="1:11" s="2" customFormat="1" x14ac:dyDescent="0.25">
      <c r="A3320" s="28" t="s">
        <v>5629</v>
      </c>
      <c r="B3320" s="29">
        <v>1</v>
      </c>
      <c r="C3320" s="28"/>
      <c r="D3320" s="28" t="s">
        <v>1217</v>
      </c>
      <c r="E3320" s="3"/>
      <c r="H3320" s="7"/>
      <c r="K3320" s="30"/>
    </row>
    <row r="3321" spans="1:11" s="2" customFormat="1" x14ac:dyDescent="0.25">
      <c r="A3321" s="28" t="s">
        <v>5630</v>
      </c>
      <c r="B3321" s="29">
        <v>4</v>
      </c>
      <c r="C3321" s="28"/>
      <c r="D3321" s="28" t="s">
        <v>1217</v>
      </c>
      <c r="E3321" s="3"/>
      <c r="H3321" s="7"/>
      <c r="K3321" s="30"/>
    </row>
    <row r="3322" spans="1:11" s="2" customFormat="1" x14ac:dyDescent="0.25">
      <c r="A3322" s="28" t="s">
        <v>5631</v>
      </c>
      <c r="B3322" s="29">
        <v>13</v>
      </c>
      <c r="C3322" s="28"/>
      <c r="D3322" s="28" t="s">
        <v>1217</v>
      </c>
      <c r="E3322" s="3"/>
      <c r="H3322" s="7"/>
      <c r="K3322" s="30"/>
    </row>
    <row r="3323" spans="1:11" s="2" customFormat="1" x14ac:dyDescent="0.25">
      <c r="A3323" s="28" t="s">
        <v>5632</v>
      </c>
      <c r="B3323" s="29">
        <v>4</v>
      </c>
      <c r="C3323" s="28"/>
      <c r="D3323" s="28" t="s">
        <v>1217</v>
      </c>
      <c r="E3323" s="3"/>
      <c r="H3323" s="7"/>
      <c r="K3323" s="30"/>
    </row>
    <row r="3324" spans="1:11" s="2" customFormat="1" x14ac:dyDescent="0.25">
      <c r="A3324" s="28" t="s">
        <v>5633</v>
      </c>
      <c r="B3324" s="29">
        <v>3</v>
      </c>
      <c r="C3324" s="28"/>
      <c r="D3324" s="28" t="s">
        <v>1217</v>
      </c>
      <c r="E3324" s="3"/>
      <c r="H3324" s="7"/>
      <c r="K3324" s="30"/>
    </row>
    <row r="3325" spans="1:11" s="2" customFormat="1" x14ac:dyDescent="0.25">
      <c r="A3325" s="28" t="s">
        <v>5634</v>
      </c>
      <c r="B3325" s="29">
        <v>2</v>
      </c>
      <c r="C3325" s="28"/>
      <c r="D3325" s="28" t="s">
        <v>1217</v>
      </c>
      <c r="E3325" s="3"/>
      <c r="H3325" s="7"/>
      <c r="K3325" s="30"/>
    </row>
    <row r="3326" spans="1:11" s="2" customFormat="1" x14ac:dyDescent="0.25">
      <c r="A3326" s="28" t="s">
        <v>5635</v>
      </c>
      <c r="B3326" s="29">
        <v>1</v>
      </c>
      <c r="C3326" s="28"/>
      <c r="D3326" s="28" t="s">
        <v>1217</v>
      </c>
      <c r="E3326" s="3"/>
      <c r="H3326" s="7"/>
      <c r="K3326" s="30"/>
    </row>
    <row r="3327" spans="1:11" s="2" customFormat="1" x14ac:dyDescent="0.25">
      <c r="A3327" s="28" t="s">
        <v>5636</v>
      </c>
      <c r="B3327" s="29">
        <v>20</v>
      </c>
      <c r="C3327" s="28"/>
      <c r="D3327" s="28" t="s">
        <v>1217</v>
      </c>
      <c r="E3327" s="3"/>
      <c r="H3327" s="7"/>
      <c r="K3327" s="30"/>
    </row>
    <row r="3328" spans="1:11" s="2" customFormat="1" x14ac:dyDescent="0.25">
      <c r="A3328" s="28" t="s">
        <v>5637</v>
      </c>
      <c r="B3328" s="29">
        <v>2</v>
      </c>
      <c r="C3328" s="28"/>
      <c r="D3328" s="28" t="s">
        <v>1217</v>
      </c>
      <c r="E3328" s="3"/>
      <c r="H3328" s="7"/>
      <c r="K3328" s="30"/>
    </row>
    <row r="3329" spans="1:11" s="2" customFormat="1" x14ac:dyDescent="0.25">
      <c r="A3329" s="28" t="s">
        <v>5638</v>
      </c>
      <c r="B3329" s="29">
        <v>1</v>
      </c>
      <c r="C3329" s="28"/>
      <c r="D3329" s="28" t="s">
        <v>1217</v>
      </c>
      <c r="E3329" s="3"/>
      <c r="H3329" s="7"/>
      <c r="K3329" s="30"/>
    </row>
    <row r="3330" spans="1:11" s="2" customFormat="1" x14ac:dyDescent="0.25">
      <c r="A3330" s="28" t="s">
        <v>5639</v>
      </c>
      <c r="B3330" s="29">
        <v>5</v>
      </c>
      <c r="C3330" s="28"/>
      <c r="D3330" s="28" t="s">
        <v>1217</v>
      </c>
      <c r="E3330" s="3"/>
      <c r="H3330" s="7"/>
      <c r="K3330" s="30"/>
    </row>
    <row r="3331" spans="1:11" s="2" customFormat="1" x14ac:dyDescent="0.25">
      <c r="A3331" s="28" t="s">
        <v>5640</v>
      </c>
      <c r="B3331" s="29">
        <v>1</v>
      </c>
      <c r="C3331" s="28"/>
      <c r="D3331" s="28" t="s">
        <v>1217</v>
      </c>
      <c r="E3331" s="3"/>
      <c r="H3331" s="7"/>
      <c r="K3331" s="30"/>
    </row>
    <row r="3332" spans="1:11" s="2" customFormat="1" x14ac:dyDescent="0.25">
      <c r="A3332" s="28" t="s">
        <v>5641</v>
      </c>
      <c r="B3332" s="29">
        <v>1</v>
      </c>
      <c r="C3332" s="28"/>
      <c r="D3332" s="28" t="s">
        <v>1217</v>
      </c>
      <c r="E3332" s="3"/>
      <c r="H3332" s="7"/>
      <c r="K3332" s="30"/>
    </row>
    <row r="3333" spans="1:11" s="2" customFormat="1" x14ac:dyDescent="0.25">
      <c r="A3333" s="28" t="s">
        <v>5642</v>
      </c>
      <c r="B3333" s="29">
        <v>1</v>
      </c>
      <c r="C3333" s="28"/>
      <c r="D3333" s="28" t="s">
        <v>5643</v>
      </c>
      <c r="E3333" s="3"/>
      <c r="H3333" s="7"/>
      <c r="K3333" s="30"/>
    </row>
    <row r="3334" spans="1:11" s="2" customFormat="1" x14ac:dyDescent="0.25">
      <c r="A3334" s="28" t="s">
        <v>5644</v>
      </c>
      <c r="B3334" s="29">
        <v>6</v>
      </c>
      <c r="C3334" s="28"/>
      <c r="D3334" s="28" t="s">
        <v>5645</v>
      </c>
      <c r="E3334" s="3"/>
      <c r="H3334" s="7"/>
      <c r="K3334" s="30"/>
    </row>
    <row r="3335" spans="1:11" s="2" customFormat="1" x14ac:dyDescent="0.25">
      <c r="A3335" s="28" t="s">
        <v>5646</v>
      </c>
      <c r="B3335" s="29">
        <v>2</v>
      </c>
      <c r="C3335" s="28"/>
      <c r="D3335" s="28" t="s">
        <v>5647</v>
      </c>
      <c r="E3335" s="3"/>
      <c r="H3335" s="7"/>
      <c r="K3335" s="30"/>
    </row>
    <row r="3336" spans="1:11" s="2" customFormat="1" x14ac:dyDescent="0.25">
      <c r="A3336" s="28" t="s">
        <v>5648</v>
      </c>
      <c r="B3336" s="29">
        <v>48</v>
      </c>
      <c r="C3336" s="28"/>
      <c r="D3336" s="28" t="s">
        <v>394</v>
      </c>
      <c r="E3336" s="3"/>
      <c r="H3336" s="7"/>
      <c r="K3336" s="30"/>
    </row>
    <row r="3337" spans="1:11" s="2" customFormat="1" x14ac:dyDescent="0.25">
      <c r="A3337" s="28" t="s">
        <v>5649</v>
      </c>
      <c r="B3337" s="29">
        <v>451</v>
      </c>
      <c r="C3337" s="28"/>
      <c r="D3337" s="28" t="s">
        <v>394</v>
      </c>
      <c r="E3337" s="3"/>
      <c r="H3337" s="7"/>
      <c r="K3337" s="30"/>
    </row>
    <row r="3338" spans="1:11" s="2" customFormat="1" x14ac:dyDescent="0.25">
      <c r="A3338" s="28" t="s">
        <v>5650</v>
      </c>
      <c r="B3338" s="29">
        <v>47</v>
      </c>
      <c r="C3338" s="28"/>
      <c r="D3338" s="28" t="s">
        <v>394</v>
      </c>
      <c r="E3338" s="3"/>
      <c r="H3338" s="7"/>
      <c r="K3338" s="30"/>
    </row>
    <row r="3339" spans="1:11" s="2" customFormat="1" x14ac:dyDescent="0.25">
      <c r="A3339" s="28" t="s">
        <v>5651</v>
      </c>
      <c r="B3339" s="29">
        <v>71</v>
      </c>
      <c r="C3339" s="28"/>
      <c r="D3339" s="28" t="s">
        <v>394</v>
      </c>
      <c r="E3339" s="3"/>
      <c r="H3339" s="7"/>
      <c r="K3339" s="30"/>
    </row>
    <row r="3340" spans="1:11" s="2" customFormat="1" x14ac:dyDescent="0.25">
      <c r="A3340" s="28" t="s">
        <v>5652</v>
      </c>
      <c r="B3340" s="29">
        <v>13</v>
      </c>
      <c r="C3340" s="28"/>
      <c r="D3340" s="28" t="s">
        <v>394</v>
      </c>
      <c r="E3340" s="3"/>
      <c r="H3340" s="7"/>
      <c r="K3340" s="30"/>
    </row>
    <row r="3341" spans="1:11" s="2" customFormat="1" x14ac:dyDescent="0.25">
      <c r="A3341" s="28" t="s">
        <v>5653</v>
      </c>
      <c r="B3341" s="29">
        <v>5</v>
      </c>
      <c r="C3341" s="28"/>
      <c r="D3341" s="28" t="s">
        <v>394</v>
      </c>
      <c r="E3341" s="3"/>
      <c r="H3341" s="7"/>
      <c r="K3341" s="30"/>
    </row>
    <row r="3342" spans="1:11" s="2" customFormat="1" x14ac:dyDescent="0.25">
      <c r="A3342" s="28" t="s">
        <v>5654</v>
      </c>
      <c r="B3342" s="29">
        <v>3</v>
      </c>
      <c r="C3342" s="28"/>
      <c r="D3342" s="28" t="s">
        <v>394</v>
      </c>
      <c r="E3342" s="3"/>
      <c r="H3342" s="7"/>
      <c r="K3342" s="30"/>
    </row>
    <row r="3343" spans="1:11" s="2" customFormat="1" x14ac:dyDescent="0.25">
      <c r="A3343" s="28" t="s">
        <v>5655</v>
      </c>
      <c r="B3343" s="29">
        <v>5</v>
      </c>
      <c r="C3343" s="28"/>
      <c r="D3343" s="28" t="s">
        <v>394</v>
      </c>
      <c r="E3343" s="3"/>
      <c r="H3343" s="7"/>
      <c r="K3343" s="30"/>
    </row>
    <row r="3344" spans="1:11" s="2" customFormat="1" x14ac:dyDescent="0.25">
      <c r="A3344" s="28" t="s">
        <v>5656</v>
      </c>
      <c r="B3344" s="29">
        <v>3</v>
      </c>
      <c r="C3344" s="28"/>
      <c r="D3344" s="28" t="s">
        <v>394</v>
      </c>
      <c r="E3344" s="3"/>
      <c r="H3344" s="7"/>
      <c r="K3344" s="30"/>
    </row>
    <row r="3345" spans="1:11" s="2" customFormat="1" x14ac:dyDescent="0.25">
      <c r="A3345" s="28" t="s">
        <v>5657</v>
      </c>
      <c r="B3345" s="29">
        <v>1963</v>
      </c>
      <c r="C3345" s="28"/>
      <c r="D3345" s="28" t="s">
        <v>5658</v>
      </c>
      <c r="E3345" s="3"/>
      <c r="H3345" s="7"/>
      <c r="K3345" s="30"/>
    </row>
    <row r="3346" spans="1:11" s="2" customFormat="1" x14ac:dyDescent="0.25">
      <c r="A3346" s="28" t="s">
        <v>5659</v>
      </c>
      <c r="B3346" s="29">
        <v>4</v>
      </c>
      <c r="C3346" s="28"/>
      <c r="D3346" s="28" t="s">
        <v>5658</v>
      </c>
      <c r="E3346" s="3"/>
      <c r="H3346" s="7"/>
      <c r="K3346" s="30"/>
    </row>
    <row r="3347" spans="1:11" s="2" customFormat="1" x14ac:dyDescent="0.25">
      <c r="A3347" s="28" t="s">
        <v>2829</v>
      </c>
      <c r="B3347" s="29">
        <v>5</v>
      </c>
      <c r="C3347" s="28"/>
      <c r="D3347" s="28" t="s">
        <v>5658</v>
      </c>
      <c r="E3347" s="3"/>
      <c r="H3347" s="7"/>
      <c r="K3347" s="30"/>
    </row>
    <row r="3348" spans="1:11" s="2" customFormat="1" x14ac:dyDescent="0.25">
      <c r="A3348" s="28" t="s">
        <v>5660</v>
      </c>
      <c r="B3348" s="29">
        <v>1</v>
      </c>
      <c r="C3348" s="28"/>
      <c r="D3348" s="28" t="s">
        <v>5658</v>
      </c>
      <c r="E3348" s="3"/>
      <c r="H3348" s="7"/>
      <c r="K3348" s="30"/>
    </row>
    <row r="3349" spans="1:11" s="2" customFormat="1" x14ac:dyDescent="0.25">
      <c r="A3349" s="28" t="s">
        <v>5661</v>
      </c>
      <c r="B3349" s="29">
        <v>8</v>
      </c>
      <c r="C3349" s="28"/>
      <c r="D3349" s="28" t="s">
        <v>5662</v>
      </c>
      <c r="E3349" s="3"/>
      <c r="H3349" s="7"/>
      <c r="K3349" s="30"/>
    </row>
    <row r="3350" spans="1:11" s="2" customFormat="1" x14ac:dyDescent="0.25">
      <c r="A3350" s="28" t="s">
        <v>5663</v>
      </c>
      <c r="B3350" s="29">
        <v>8</v>
      </c>
      <c r="C3350" s="28"/>
      <c r="D3350" s="28" t="s">
        <v>5662</v>
      </c>
      <c r="E3350" s="3"/>
      <c r="H3350" s="7"/>
      <c r="K3350" s="30"/>
    </row>
    <row r="3351" spans="1:11" s="2" customFormat="1" x14ac:dyDescent="0.25">
      <c r="A3351" s="28" t="s">
        <v>5664</v>
      </c>
      <c r="B3351" s="29">
        <v>2</v>
      </c>
      <c r="C3351" s="28"/>
      <c r="D3351" s="28" t="s">
        <v>5662</v>
      </c>
      <c r="E3351" s="3"/>
      <c r="H3351" s="7"/>
      <c r="K3351" s="30"/>
    </row>
    <row r="3352" spans="1:11" s="2" customFormat="1" x14ac:dyDescent="0.25">
      <c r="A3352" s="28" t="s">
        <v>5665</v>
      </c>
      <c r="B3352" s="29">
        <v>3</v>
      </c>
      <c r="C3352" s="28"/>
      <c r="D3352" s="28" t="s">
        <v>5662</v>
      </c>
      <c r="E3352" s="3"/>
      <c r="H3352" s="7"/>
      <c r="K3352" s="30"/>
    </row>
    <row r="3353" spans="1:11" s="2" customFormat="1" x14ac:dyDescent="0.25">
      <c r="A3353" s="28" t="s">
        <v>5666</v>
      </c>
      <c r="B3353" s="29">
        <v>938</v>
      </c>
      <c r="C3353" s="28"/>
      <c r="D3353" s="28" t="s">
        <v>5667</v>
      </c>
      <c r="E3353" s="3"/>
      <c r="H3353" s="7"/>
      <c r="K3353" s="30"/>
    </row>
    <row r="3354" spans="1:11" s="2" customFormat="1" x14ac:dyDescent="0.25">
      <c r="A3354" s="28" t="s">
        <v>5668</v>
      </c>
      <c r="B3354" s="29">
        <v>5</v>
      </c>
      <c r="C3354" s="28"/>
      <c r="D3354" s="28" t="s">
        <v>5667</v>
      </c>
      <c r="E3354" s="3"/>
      <c r="H3354" s="7"/>
      <c r="K3354" s="30"/>
    </row>
    <row r="3355" spans="1:11" s="2" customFormat="1" x14ac:dyDescent="0.25">
      <c r="A3355" s="28" t="s">
        <v>5669</v>
      </c>
      <c r="B3355" s="29">
        <v>18</v>
      </c>
      <c r="C3355" s="28"/>
      <c r="D3355" s="28" t="s">
        <v>5667</v>
      </c>
      <c r="E3355" s="3"/>
      <c r="H3355" s="7"/>
      <c r="K3355" s="30"/>
    </row>
    <row r="3356" spans="1:11" s="2" customFormat="1" x14ac:dyDescent="0.25">
      <c r="A3356" s="28" t="s">
        <v>5670</v>
      </c>
      <c r="B3356" s="29">
        <v>4</v>
      </c>
      <c r="C3356" s="28"/>
      <c r="D3356" s="28" t="s">
        <v>5667</v>
      </c>
      <c r="E3356" s="3"/>
      <c r="H3356" s="7"/>
      <c r="K3356" s="30"/>
    </row>
    <row r="3357" spans="1:11" s="2" customFormat="1" x14ac:dyDescent="0.25">
      <c r="A3357" s="28" t="s">
        <v>5671</v>
      </c>
      <c r="B3357" s="29">
        <v>8</v>
      </c>
      <c r="C3357" s="28"/>
      <c r="D3357" s="28" t="s">
        <v>5672</v>
      </c>
      <c r="E3357" s="3"/>
      <c r="H3357" s="7"/>
      <c r="K3357" s="30"/>
    </row>
    <row r="3358" spans="1:11" s="2" customFormat="1" x14ac:dyDescent="0.25">
      <c r="A3358" s="28" t="s">
        <v>5673</v>
      </c>
      <c r="B3358" s="29">
        <v>6</v>
      </c>
      <c r="C3358" s="28"/>
      <c r="D3358" s="28" t="s">
        <v>5672</v>
      </c>
      <c r="E3358" s="3"/>
      <c r="H3358" s="7"/>
      <c r="K3358" s="30"/>
    </row>
    <row r="3359" spans="1:11" s="2" customFormat="1" x14ac:dyDescent="0.25">
      <c r="A3359" s="28" t="s">
        <v>5674</v>
      </c>
      <c r="B3359" s="29">
        <v>26</v>
      </c>
      <c r="C3359" s="28"/>
      <c r="D3359" s="28" t="s">
        <v>5672</v>
      </c>
      <c r="E3359" s="3"/>
      <c r="H3359" s="7"/>
      <c r="K3359" s="30"/>
    </row>
    <row r="3360" spans="1:11" s="2" customFormat="1" x14ac:dyDescent="0.25">
      <c r="A3360" s="28" t="s">
        <v>5675</v>
      </c>
      <c r="B3360" s="29">
        <v>10</v>
      </c>
      <c r="C3360" s="28"/>
      <c r="D3360" s="28" t="s">
        <v>5676</v>
      </c>
      <c r="E3360" s="3"/>
      <c r="H3360" s="7"/>
      <c r="K3360" s="30"/>
    </row>
    <row r="3361" spans="1:11" s="2" customFormat="1" x14ac:dyDescent="0.25">
      <c r="A3361" s="28" t="s">
        <v>5677</v>
      </c>
      <c r="B3361" s="29">
        <v>50</v>
      </c>
      <c r="C3361" s="28"/>
      <c r="D3361" s="28" t="s">
        <v>5678</v>
      </c>
      <c r="E3361" s="3"/>
      <c r="H3361" s="7"/>
      <c r="K3361" s="30"/>
    </row>
    <row r="3362" spans="1:11" s="2" customFormat="1" x14ac:dyDescent="0.25">
      <c r="A3362" s="28" t="s">
        <v>5679</v>
      </c>
      <c r="B3362" s="29">
        <v>30</v>
      </c>
      <c r="C3362" s="28"/>
      <c r="D3362" s="28" t="s">
        <v>5678</v>
      </c>
      <c r="E3362" s="3"/>
      <c r="H3362" s="7"/>
      <c r="K3362" s="30"/>
    </row>
    <row r="3363" spans="1:11" s="2" customFormat="1" x14ac:dyDescent="0.25">
      <c r="A3363" s="28" t="s">
        <v>5680</v>
      </c>
      <c r="B3363" s="29">
        <v>6</v>
      </c>
      <c r="C3363" s="28"/>
      <c r="D3363" s="28" t="s">
        <v>5678</v>
      </c>
      <c r="E3363" s="3"/>
      <c r="H3363" s="7"/>
      <c r="K3363" s="30"/>
    </row>
    <row r="3364" spans="1:11" s="2" customFormat="1" x14ac:dyDescent="0.25">
      <c r="A3364" s="28" t="s">
        <v>5681</v>
      </c>
      <c r="B3364" s="29">
        <v>5</v>
      </c>
      <c r="C3364" s="28"/>
      <c r="D3364" s="28" t="s">
        <v>5678</v>
      </c>
      <c r="E3364" s="3"/>
      <c r="H3364" s="7"/>
      <c r="K3364" s="30"/>
    </row>
    <row r="3365" spans="1:11" s="2" customFormat="1" x14ac:dyDescent="0.25">
      <c r="A3365" s="28" t="s">
        <v>5682</v>
      </c>
      <c r="B3365" s="29">
        <v>5</v>
      </c>
      <c r="C3365" s="28"/>
      <c r="D3365" s="28" t="s">
        <v>5678</v>
      </c>
      <c r="E3365" s="3"/>
      <c r="H3365" s="7"/>
      <c r="K3365" s="30"/>
    </row>
    <row r="3366" spans="1:11" s="2" customFormat="1" x14ac:dyDescent="0.25">
      <c r="A3366" s="28" t="s">
        <v>5683</v>
      </c>
      <c r="B3366" s="29">
        <v>1</v>
      </c>
      <c r="C3366" s="28"/>
      <c r="D3366" s="28" t="s">
        <v>5678</v>
      </c>
      <c r="E3366" s="3"/>
      <c r="H3366" s="7"/>
      <c r="K3366" s="30"/>
    </row>
    <row r="3367" spans="1:11" s="2" customFormat="1" x14ac:dyDescent="0.25">
      <c r="A3367" s="28" t="s">
        <v>5684</v>
      </c>
      <c r="B3367" s="29">
        <v>400</v>
      </c>
      <c r="C3367" s="28"/>
      <c r="D3367" s="28" t="s">
        <v>5685</v>
      </c>
      <c r="E3367" s="3"/>
      <c r="H3367" s="7"/>
      <c r="K3367" s="30"/>
    </row>
    <row r="3368" spans="1:11" s="2" customFormat="1" x14ac:dyDescent="0.25">
      <c r="A3368" s="28" t="s">
        <v>5686</v>
      </c>
      <c r="B3368" s="29">
        <v>120</v>
      </c>
      <c r="C3368" s="28"/>
      <c r="D3368" s="28" t="s">
        <v>5685</v>
      </c>
      <c r="E3368" s="3"/>
      <c r="H3368" s="7"/>
      <c r="K3368" s="30"/>
    </row>
    <row r="3369" spans="1:11" s="2" customFormat="1" x14ac:dyDescent="0.25">
      <c r="A3369" s="28" t="s">
        <v>5687</v>
      </c>
      <c r="B3369" s="29">
        <v>20</v>
      </c>
      <c r="C3369" s="28"/>
      <c r="D3369" s="28" t="s">
        <v>5688</v>
      </c>
      <c r="E3369" s="3"/>
      <c r="H3369" s="7"/>
      <c r="K3369" s="30"/>
    </row>
    <row r="3370" spans="1:11" s="2" customFormat="1" x14ac:dyDescent="0.25">
      <c r="A3370" s="28" t="s">
        <v>5689</v>
      </c>
      <c r="B3370" s="29">
        <v>12</v>
      </c>
      <c r="C3370" s="28"/>
      <c r="D3370" s="28" t="s">
        <v>5690</v>
      </c>
      <c r="E3370" s="3"/>
      <c r="H3370" s="7"/>
      <c r="K3370" s="30"/>
    </row>
    <row r="3371" spans="1:11" s="2" customFormat="1" x14ac:dyDescent="0.25">
      <c r="A3371" s="28" t="s">
        <v>5691</v>
      </c>
      <c r="B3371" s="29">
        <v>1</v>
      </c>
      <c r="C3371" s="28"/>
      <c r="D3371" s="28" t="s">
        <v>5692</v>
      </c>
      <c r="E3371" s="3"/>
      <c r="H3371" s="7"/>
      <c r="K3371" s="30"/>
    </row>
    <row r="3372" spans="1:11" s="2" customFormat="1" x14ac:dyDescent="0.25">
      <c r="A3372" s="28" t="s">
        <v>5693</v>
      </c>
      <c r="B3372" s="29">
        <v>30</v>
      </c>
      <c r="C3372" s="28"/>
      <c r="D3372" s="28" t="s">
        <v>5694</v>
      </c>
      <c r="E3372" s="3"/>
      <c r="H3372" s="7"/>
      <c r="K3372" s="30"/>
    </row>
    <row r="3373" spans="1:11" s="2" customFormat="1" x14ac:dyDescent="0.25">
      <c r="A3373" s="28" t="s">
        <v>5695</v>
      </c>
      <c r="B3373" s="29">
        <v>6</v>
      </c>
      <c r="C3373" s="28"/>
      <c r="D3373" s="28" t="s">
        <v>5694</v>
      </c>
      <c r="E3373" s="3"/>
      <c r="H3373" s="7"/>
      <c r="K3373" s="30"/>
    </row>
    <row r="3374" spans="1:11" s="2" customFormat="1" x14ac:dyDescent="0.25">
      <c r="A3374" s="28" t="s">
        <v>5696</v>
      </c>
      <c r="B3374" s="29">
        <v>41</v>
      </c>
      <c r="C3374" s="28"/>
      <c r="D3374" s="28" t="s">
        <v>5694</v>
      </c>
      <c r="E3374" s="3"/>
      <c r="H3374" s="7"/>
      <c r="K3374" s="30"/>
    </row>
    <row r="3375" spans="1:11" s="2" customFormat="1" x14ac:dyDescent="0.25">
      <c r="A3375" s="28" t="s">
        <v>5697</v>
      </c>
      <c r="B3375" s="29">
        <v>10</v>
      </c>
      <c r="C3375" s="28"/>
      <c r="D3375" s="28" t="s">
        <v>5694</v>
      </c>
      <c r="E3375" s="3"/>
      <c r="H3375" s="7"/>
      <c r="K3375" s="30"/>
    </row>
    <row r="3376" spans="1:11" s="2" customFormat="1" x14ac:dyDescent="0.25">
      <c r="A3376" s="28" t="s">
        <v>5698</v>
      </c>
      <c r="B3376" s="29">
        <v>1</v>
      </c>
      <c r="C3376" s="28"/>
      <c r="D3376" s="28" t="s">
        <v>5694</v>
      </c>
      <c r="E3376" s="3"/>
      <c r="H3376" s="7"/>
      <c r="K3376" s="30"/>
    </row>
    <row r="3377" spans="1:11" s="2" customFormat="1" x14ac:dyDescent="0.25">
      <c r="A3377" s="28" t="s">
        <v>5699</v>
      </c>
      <c r="B3377" s="29">
        <v>1</v>
      </c>
      <c r="C3377" s="28"/>
      <c r="D3377" s="28" t="s">
        <v>5700</v>
      </c>
      <c r="E3377" s="3"/>
      <c r="H3377" s="7"/>
      <c r="K3377" s="30"/>
    </row>
    <row r="3378" spans="1:11" s="2" customFormat="1" x14ac:dyDescent="0.25">
      <c r="A3378" s="28" t="s">
        <v>5701</v>
      </c>
      <c r="B3378" s="29">
        <v>492</v>
      </c>
      <c r="C3378" s="28"/>
      <c r="D3378" s="28" t="s">
        <v>5702</v>
      </c>
      <c r="E3378" s="3"/>
      <c r="H3378" s="7"/>
      <c r="K3378" s="30"/>
    </row>
    <row r="3379" spans="1:11" s="2" customFormat="1" x14ac:dyDescent="0.25">
      <c r="A3379" s="28" t="s">
        <v>5703</v>
      </c>
      <c r="B3379" s="29">
        <v>63</v>
      </c>
      <c r="C3379" s="28"/>
      <c r="D3379" s="28" t="s">
        <v>5704</v>
      </c>
      <c r="E3379" s="3"/>
      <c r="H3379" s="7"/>
      <c r="K3379" s="30"/>
    </row>
    <row r="3380" spans="1:11" s="2" customFormat="1" x14ac:dyDescent="0.25">
      <c r="A3380" s="28" t="s">
        <v>5705</v>
      </c>
      <c r="B3380" s="29">
        <v>22</v>
      </c>
      <c r="C3380" s="28"/>
      <c r="D3380" s="28" t="s">
        <v>5704</v>
      </c>
      <c r="E3380" s="3"/>
      <c r="H3380" s="7"/>
      <c r="K3380" s="30"/>
    </row>
    <row r="3381" spans="1:11" s="2" customFormat="1" x14ac:dyDescent="0.25">
      <c r="A3381" s="28" t="s">
        <v>5706</v>
      </c>
      <c r="B3381" s="29">
        <v>2</v>
      </c>
      <c r="C3381" s="28"/>
      <c r="D3381" s="28" t="s">
        <v>5704</v>
      </c>
      <c r="E3381" s="3"/>
      <c r="H3381" s="7"/>
      <c r="K3381" s="30"/>
    </row>
    <row r="3382" spans="1:11" s="2" customFormat="1" x14ac:dyDescent="0.25">
      <c r="A3382" s="28" t="s">
        <v>5707</v>
      </c>
      <c r="B3382" s="29">
        <v>5</v>
      </c>
      <c r="C3382" s="28"/>
      <c r="D3382" s="28" t="s">
        <v>5708</v>
      </c>
      <c r="E3382" s="3"/>
      <c r="H3382" s="7"/>
      <c r="K3382" s="30"/>
    </row>
    <row r="3383" spans="1:11" s="2" customFormat="1" x14ac:dyDescent="0.25">
      <c r="A3383" s="28" t="s">
        <v>5709</v>
      </c>
      <c r="B3383" s="29">
        <v>4</v>
      </c>
      <c r="C3383" s="28"/>
      <c r="D3383" s="28" t="s">
        <v>5708</v>
      </c>
      <c r="E3383" s="3"/>
      <c r="H3383" s="7"/>
      <c r="K3383" s="30"/>
    </row>
    <row r="3384" spans="1:11" s="2" customFormat="1" x14ac:dyDescent="0.25">
      <c r="A3384" s="28" t="s">
        <v>5710</v>
      </c>
      <c r="B3384" s="29">
        <v>4</v>
      </c>
      <c r="C3384" s="28"/>
      <c r="D3384" s="28" t="s">
        <v>5708</v>
      </c>
      <c r="E3384" s="3"/>
      <c r="H3384" s="7"/>
      <c r="K3384" s="30"/>
    </row>
    <row r="3385" spans="1:11" s="2" customFormat="1" x14ac:dyDescent="0.25">
      <c r="A3385" s="28" t="s">
        <v>5711</v>
      </c>
      <c r="B3385" s="29">
        <v>6</v>
      </c>
      <c r="C3385" s="28"/>
      <c r="D3385" s="28" t="s">
        <v>5708</v>
      </c>
      <c r="E3385" s="3"/>
      <c r="H3385" s="7"/>
      <c r="K3385" s="30"/>
    </row>
    <row r="3386" spans="1:11" s="2" customFormat="1" x14ac:dyDescent="0.25">
      <c r="A3386" s="28" t="s">
        <v>5712</v>
      </c>
      <c r="B3386" s="29">
        <v>4</v>
      </c>
      <c r="C3386" s="28"/>
      <c r="D3386" s="28" t="s">
        <v>5708</v>
      </c>
      <c r="E3386" s="3"/>
      <c r="H3386" s="7"/>
      <c r="K3386" s="30"/>
    </row>
    <row r="3387" spans="1:11" s="2" customFormat="1" x14ac:dyDescent="0.25">
      <c r="A3387" s="28" t="s">
        <v>5713</v>
      </c>
      <c r="B3387" s="29">
        <v>5</v>
      </c>
      <c r="C3387" s="28"/>
      <c r="D3387" s="28" t="s">
        <v>5708</v>
      </c>
      <c r="E3387" s="3"/>
      <c r="H3387" s="7"/>
      <c r="K3387" s="30"/>
    </row>
    <row r="3388" spans="1:11" s="2" customFormat="1" x14ac:dyDescent="0.25">
      <c r="A3388" s="28" t="s">
        <v>5714</v>
      </c>
      <c r="B3388" s="29">
        <v>2</v>
      </c>
      <c r="C3388" s="28"/>
      <c r="D3388" s="28" t="s">
        <v>5708</v>
      </c>
      <c r="E3388" s="3"/>
      <c r="H3388" s="7"/>
      <c r="K3388" s="30"/>
    </row>
    <row r="3389" spans="1:11" s="2" customFormat="1" x14ac:dyDescent="0.25">
      <c r="A3389" s="28" t="s">
        <v>5715</v>
      </c>
      <c r="B3389" s="29">
        <v>2</v>
      </c>
      <c r="C3389" s="28"/>
      <c r="D3389" s="28" t="s">
        <v>5708</v>
      </c>
      <c r="E3389" s="3"/>
      <c r="H3389" s="7"/>
      <c r="K3389" s="30"/>
    </row>
    <row r="3390" spans="1:11" s="2" customFormat="1" x14ac:dyDescent="0.25">
      <c r="A3390" s="28" t="s">
        <v>5716</v>
      </c>
      <c r="B3390" s="29">
        <v>1</v>
      </c>
      <c r="C3390" s="28"/>
      <c r="D3390" s="28" t="s">
        <v>5708</v>
      </c>
      <c r="E3390" s="3"/>
      <c r="H3390" s="7"/>
      <c r="K3390" s="30"/>
    </row>
    <row r="3391" spans="1:11" s="2" customFormat="1" x14ac:dyDescent="0.25">
      <c r="A3391" s="28" t="s">
        <v>5717</v>
      </c>
      <c r="B3391" s="29">
        <v>7</v>
      </c>
      <c r="C3391" s="28"/>
      <c r="D3391" s="28" t="s">
        <v>5708</v>
      </c>
      <c r="E3391" s="3"/>
      <c r="H3391" s="7"/>
      <c r="K3391" s="30"/>
    </row>
    <row r="3392" spans="1:11" s="2" customFormat="1" x14ac:dyDescent="0.25">
      <c r="A3392" s="28" t="s">
        <v>5718</v>
      </c>
      <c r="B3392" s="29">
        <v>5</v>
      </c>
      <c r="C3392" s="28"/>
      <c r="D3392" s="28" t="s">
        <v>5708</v>
      </c>
      <c r="E3392" s="3"/>
      <c r="H3392" s="7"/>
      <c r="K3392" s="30"/>
    </row>
    <row r="3393" spans="1:11" s="2" customFormat="1" x14ac:dyDescent="0.25">
      <c r="A3393" s="28" t="s">
        <v>5719</v>
      </c>
      <c r="B3393" s="29">
        <v>4</v>
      </c>
      <c r="C3393" s="28"/>
      <c r="D3393" s="28" t="s">
        <v>5708</v>
      </c>
      <c r="E3393" s="3"/>
      <c r="H3393" s="7"/>
      <c r="K3393" s="30"/>
    </row>
    <row r="3394" spans="1:11" s="2" customFormat="1" x14ac:dyDescent="0.25">
      <c r="A3394" s="28" t="s">
        <v>5720</v>
      </c>
      <c r="B3394" s="29">
        <v>2</v>
      </c>
      <c r="C3394" s="28"/>
      <c r="D3394" s="28" t="s">
        <v>5708</v>
      </c>
      <c r="E3394" s="3"/>
      <c r="H3394" s="7"/>
      <c r="K3394" s="30"/>
    </row>
    <row r="3395" spans="1:11" s="2" customFormat="1" x14ac:dyDescent="0.25">
      <c r="A3395" s="28" t="s">
        <v>5721</v>
      </c>
      <c r="B3395" s="29">
        <v>5</v>
      </c>
      <c r="C3395" s="28"/>
      <c r="D3395" s="28" t="s">
        <v>5722</v>
      </c>
      <c r="E3395" s="3"/>
      <c r="H3395" s="7"/>
      <c r="K3395" s="30"/>
    </row>
    <row r="3396" spans="1:11" s="2" customFormat="1" x14ac:dyDescent="0.25">
      <c r="A3396" s="28" t="s">
        <v>5723</v>
      </c>
      <c r="B3396" s="29">
        <v>90</v>
      </c>
      <c r="C3396" s="28"/>
      <c r="D3396" s="28" t="s">
        <v>20</v>
      </c>
      <c r="E3396" s="3"/>
      <c r="H3396" s="7"/>
      <c r="K3396" s="30"/>
    </row>
    <row r="3397" spans="1:11" s="2" customFormat="1" x14ac:dyDescent="0.25">
      <c r="A3397" s="28" t="s">
        <v>5724</v>
      </c>
      <c r="B3397" s="29">
        <v>292</v>
      </c>
      <c r="C3397" s="28"/>
      <c r="D3397" s="28" t="s">
        <v>20</v>
      </c>
      <c r="E3397" s="3"/>
      <c r="H3397" s="7"/>
      <c r="K3397" s="30"/>
    </row>
    <row r="3398" spans="1:11" s="2" customFormat="1" x14ac:dyDescent="0.25">
      <c r="A3398" s="28" t="s">
        <v>5725</v>
      </c>
      <c r="B3398" s="29">
        <v>78</v>
      </c>
      <c r="C3398" s="28"/>
      <c r="D3398" s="28" t="s">
        <v>20</v>
      </c>
      <c r="E3398" s="3"/>
      <c r="H3398" s="7"/>
      <c r="K3398" s="30"/>
    </row>
    <row r="3399" spans="1:11" s="2" customFormat="1" x14ac:dyDescent="0.25">
      <c r="A3399" s="28" t="s">
        <v>5726</v>
      </c>
      <c r="B3399" s="29">
        <v>70</v>
      </c>
      <c r="C3399" s="28"/>
      <c r="D3399" s="28" t="s">
        <v>20</v>
      </c>
      <c r="E3399" s="3"/>
      <c r="H3399" s="7"/>
      <c r="K3399" s="30"/>
    </row>
    <row r="3400" spans="1:11" s="2" customFormat="1" x14ac:dyDescent="0.25">
      <c r="A3400" s="28" t="s">
        <v>5727</v>
      </c>
      <c r="B3400" s="29">
        <v>63</v>
      </c>
      <c r="C3400" s="28"/>
      <c r="D3400" s="28" t="s">
        <v>20</v>
      </c>
      <c r="E3400" s="3"/>
      <c r="H3400" s="7"/>
      <c r="K3400" s="30"/>
    </row>
    <row r="3401" spans="1:11" s="2" customFormat="1" x14ac:dyDescent="0.25">
      <c r="A3401" s="28" t="s">
        <v>5728</v>
      </c>
      <c r="B3401" s="29">
        <v>18</v>
      </c>
      <c r="C3401" s="28"/>
      <c r="D3401" s="28" t="s">
        <v>20</v>
      </c>
      <c r="E3401" s="3"/>
      <c r="H3401" s="7"/>
      <c r="K3401" s="30"/>
    </row>
    <row r="3402" spans="1:11" s="2" customFormat="1" x14ac:dyDescent="0.25">
      <c r="A3402" s="28" t="s">
        <v>5729</v>
      </c>
      <c r="B3402" s="29">
        <v>70</v>
      </c>
      <c r="C3402" s="28"/>
      <c r="D3402" s="28" t="s">
        <v>20</v>
      </c>
      <c r="E3402" s="3"/>
      <c r="H3402" s="7"/>
      <c r="K3402" s="30"/>
    </row>
    <row r="3403" spans="1:11" s="2" customFormat="1" x14ac:dyDescent="0.25">
      <c r="A3403" s="28" t="s">
        <v>5730</v>
      </c>
      <c r="B3403" s="29">
        <v>7</v>
      </c>
      <c r="C3403" s="28"/>
      <c r="D3403" s="28" t="s">
        <v>20</v>
      </c>
      <c r="E3403" s="3"/>
      <c r="H3403" s="7"/>
      <c r="K3403" s="30"/>
    </row>
    <row r="3404" spans="1:11" s="2" customFormat="1" x14ac:dyDescent="0.25">
      <c r="A3404" s="28" t="s">
        <v>5731</v>
      </c>
      <c r="B3404" s="29">
        <v>40</v>
      </c>
      <c r="C3404" s="28"/>
      <c r="D3404" s="28" t="s">
        <v>20</v>
      </c>
      <c r="E3404" s="3"/>
      <c r="H3404" s="7"/>
      <c r="K3404" s="30"/>
    </row>
    <row r="3405" spans="1:11" s="2" customFormat="1" x14ac:dyDescent="0.25">
      <c r="A3405" s="28" t="s">
        <v>5732</v>
      </c>
      <c r="B3405" s="29">
        <v>2</v>
      </c>
      <c r="C3405" s="28"/>
      <c r="D3405" s="28" t="s">
        <v>20</v>
      </c>
      <c r="E3405" s="3"/>
      <c r="H3405" s="7"/>
      <c r="K3405" s="30"/>
    </row>
    <row r="3406" spans="1:11" s="2" customFormat="1" x14ac:dyDescent="0.25">
      <c r="A3406" s="28" t="s">
        <v>5733</v>
      </c>
      <c r="B3406" s="29">
        <v>1</v>
      </c>
      <c r="C3406" s="28"/>
      <c r="D3406" s="28" t="s">
        <v>5734</v>
      </c>
      <c r="E3406" s="3"/>
      <c r="H3406" s="7"/>
      <c r="K3406" s="30"/>
    </row>
    <row r="3407" spans="1:11" s="2" customFormat="1" x14ac:dyDescent="0.25">
      <c r="A3407" s="28" t="s">
        <v>5735</v>
      </c>
      <c r="B3407" s="29">
        <v>4</v>
      </c>
      <c r="C3407" s="28"/>
      <c r="D3407" s="28" t="s">
        <v>5736</v>
      </c>
      <c r="E3407" s="3"/>
      <c r="H3407" s="7"/>
      <c r="K3407" s="30"/>
    </row>
    <row r="3408" spans="1:11" s="2" customFormat="1" x14ac:dyDescent="0.25">
      <c r="A3408" s="28" t="s">
        <v>5737</v>
      </c>
      <c r="B3408" s="29">
        <v>34</v>
      </c>
      <c r="C3408" s="28"/>
      <c r="D3408" s="28" t="s">
        <v>5738</v>
      </c>
      <c r="E3408" s="3"/>
      <c r="H3408" s="7"/>
      <c r="K3408" s="30"/>
    </row>
    <row r="3409" spans="1:11" s="2" customFormat="1" x14ac:dyDescent="0.25">
      <c r="A3409" s="28" t="s">
        <v>5739</v>
      </c>
      <c r="B3409" s="29">
        <v>20</v>
      </c>
      <c r="C3409" s="28"/>
      <c r="D3409" s="28" t="s">
        <v>5738</v>
      </c>
      <c r="E3409" s="3"/>
      <c r="H3409" s="7"/>
      <c r="K3409" s="30"/>
    </row>
    <row r="3410" spans="1:11" s="2" customFormat="1" x14ac:dyDescent="0.25">
      <c r="A3410" s="28" t="s">
        <v>5740</v>
      </c>
      <c r="B3410" s="29">
        <v>4</v>
      </c>
      <c r="C3410" s="28"/>
      <c r="D3410" s="28" t="s">
        <v>5738</v>
      </c>
      <c r="E3410" s="3"/>
      <c r="H3410" s="7"/>
      <c r="K3410" s="30"/>
    </row>
    <row r="3411" spans="1:11" s="2" customFormat="1" x14ac:dyDescent="0.25">
      <c r="A3411" s="28" t="s">
        <v>5741</v>
      </c>
      <c r="B3411" s="29">
        <v>810</v>
      </c>
      <c r="C3411" s="28"/>
      <c r="D3411" s="28" t="s">
        <v>63</v>
      </c>
      <c r="E3411" s="3"/>
      <c r="H3411" s="7"/>
      <c r="K3411" s="30"/>
    </row>
    <row r="3412" spans="1:11" s="2" customFormat="1" x14ac:dyDescent="0.25">
      <c r="A3412" s="28" t="s">
        <v>5742</v>
      </c>
      <c r="B3412" s="29">
        <v>200</v>
      </c>
      <c r="C3412" s="28"/>
      <c r="D3412" s="28" t="s">
        <v>63</v>
      </c>
      <c r="E3412" s="3"/>
      <c r="H3412" s="7"/>
      <c r="K3412" s="30"/>
    </row>
    <row r="3413" spans="1:11" s="2" customFormat="1" x14ac:dyDescent="0.25">
      <c r="A3413" s="28" t="s">
        <v>5743</v>
      </c>
      <c r="B3413" s="29">
        <v>61</v>
      </c>
      <c r="C3413" s="28"/>
      <c r="D3413" s="28" t="s">
        <v>63</v>
      </c>
      <c r="E3413" s="3"/>
      <c r="H3413" s="7"/>
      <c r="K3413" s="30"/>
    </row>
    <row r="3414" spans="1:11" s="2" customFormat="1" x14ac:dyDescent="0.25">
      <c r="A3414" s="28" t="s">
        <v>5744</v>
      </c>
      <c r="B3414" s="29">
        <v>100</v>
      </c>
      <c r="C3414" s="28"/>
      <c r="D3414" s="28" t="s">
        <v>63</v>
      </c>
      <c r="E3414" s="3"/>
      <c r="H3414" s="7"/>
      <c r="K3414" s="30"/>
    </row>
    <row r="3415" spans="1:11" s="2" customFormat="1" x14ac:dyDescent="0.25">
      <c r="A3415" s="28" t="s">
        <v>5745</v>
      </c>
      <c r="B3415" s="29">
        <v>8</v>
      </c>
      <c r="C3415" s="28"/>
      <c r="D3415" s="28" t="s">
        <v>63</v>
      </c>
      <c r="E3415" s="3"/>
      <c r="H3415" s="7"/>
      <c r="K3415" s="30"/>
    </row>
    <row r="3416" spans="1:11" s="2" customFormat="1" x14ac:dyDescent="0.25">
      <c r="A3416" s="28" t="s">
        <v>3223</v>
      </c>
      <c r="B3416" s="29">
        <v>104</v>
      </c>
      <c r="C3416" s="28"/>
      <c r="D3416" s="28" t="s">
        <v>63</v>
      </c>
      <c r="E3416" s="3"/>
      <c r="H3416" s="7"/>
      <c r="K3416" s="30"/>
    </row>
    <row r="3417" spans="1:11" s="2" customFormat="1" x14ac:dyDescent="0.25">
      <c r="A3417" s="28" t="s">
        <v>5746</v>
      </c>
      <c r="B3417" s="29">
        <v>36</v>
      </c>
      <c r="C3417" s="28"/>
      <c r="D3417" s="28" t="s">
        <v>63</v>
      </c>
      <c r="E3417" s="3"/>
      <c r="H3417" s="7"/>
      <c r="K3417" s="30"/>
    </row>
    <row r="3418" spans="1:11" s="2" customFormat="1" x14ac:dyDescent="0.25">
      <c r="A3418" s="28" t="s">
        <v>5747</v>
      </c>
      <c r="B3418" s="29">
        <v>10</v>
      </c>
      <c r="C3418" s="28"/>
      <c r="D3418" s="28" t="s">
        <v>63</v>
      </c>
      <c r="E3418" s="3"/>
      <c r="H3418" s="7"/>
      <c r="K3418" s="30"/>
    </row>
    <row r="3419" spans="1:11" s="2" customFormat="1" x14ac:dyDescent="0.25">
      <c r="A3419" s="28" t="s">
        <v>5748</v>
      </c>
      <c r="B3419" s="29">
        <v>8</v>
      </c>
      <c r="C3419" s="28"/>
      <c r="D3419" s="28" t="s">
        <v>63</v>
      </c>
      <c r="E3419" s="3"/>
      <c r="H3419" s="7"/>
      <c r="K3419" s="30"/>
    </row>
    <row r="3420" spans="1:11" s="2" customFormat="1" x14ac:dyDescent="0.25">
      <c r="A3420" s="28" t="s">
        <v>5749</v>
      </c>
      <c r="B3420" s="29">
        <v>15</v>
      </c>
      <c r="C3420" s="28"/>
      <c r="D3420" s="28" t="s">
        <v>63</v>
      </c>
      <c r="E3420" s="3"/>
      <c r="H3420" s="7"/>
      <c r="K3420" s="30"/>
    </row>
    <row r="3421" spans="1:11" s="2" customFormat="1" x14ac:dyDescent="0.25">
      <c r="A3421" s="28" t="s">
        <v>5750</v>
      </c>
      <c r="B3421" s="29">
        <v>35</v>
      </c>
      <c r="C3421" s="28"/>
      <c r="D3421" s="28" t="s">
        <v>63</v>
      </c>
      <c r="E3421" s="3"/>
      <c r="H3421" s="7"/>
      <c r="K3421" s="30"/>
    </row>
    <row r="3422" spans="1:11" s="2" customFormat="1" x14ac:dyDescent="0.25">
      <c r="A3422" s="28" t="s">
        <v>5751</v>
      </c>
      <c r="B3422" s="29">
        <v>62</v>
      </c>
      <c r="C3422" s="28"/>
      <c r="D3422" s="28" t="s">
        <v>63</v>
      </c>
      <c r="E3422" s="3"/>
      <c r="H3422" s="7"/>
      <c r="K3422" s="30"/>
    </row>
    <row r="3423" spans="1:11" s="2" customFormat="1" x14ac:dyDescent="0.25">
      <c r="A3423" s="28" t="s">
        <v>5752</v>
      </c>
      <c r="B3423" s="29">
        <v>20</v>
      </c>
      <c r="C3423" s="28"/>
      <c r="D3423" s="28" t="s">
        <v>63</v>
      </c>
      <c r="E3423" s="3"/>
      <c r="H3423" s="7"/>
      <c r="K3423" s="30"/>
    </row>
    <row r="3424" spans="1:11" s="2" customFormat="1" x14ac:dyDescent="0.25">
      <c r="A3424" s="28" t="s">
        <v>5753</v>
      </c>
      <c r="B3424" s="29">
        <v>8</v>
      </c>
      <c r="C3424" s="28"/>
      <c r="D3424" s="28" t="s">
        <v>63</v>
      </c>
      <c r="E3424" s="3"/>
      <c r="H3424" s="7"/>
      <c r="K3424" s="30"/>
    </row>
    <row r="3425" spans="1:11" s="2" customFormat="1" x14ac:dyDescent="0.25">
      <c r="A3425" s="28" t="s">
        <v>5754</v>
      </c>
      <c r="B3425" s="29">
        <v>9</v>
      </c>
      <c r="C3425" s="28"/>
      <c r="D3425" s="28" t="s">
        <v>63</v>
      </c>
      <c r="E3425" s="3"/>
      <c r="H3425" s="7"/>
      <c r="K3425" s="30"/>
    </row>
    <row r="3426" spans="1:11" s="2" customFormat="1" x14ac:dyDescent="0.25">
      <c r="A3426" s="28" t="s">
        <v>5755</v>
      </c>
      <c r="B3426" s="29">
        <v>15</v>
      </c>
      <c r="C3426" s="28"/>
      <c r="D3426" s="28" t="s">
        <v>63</v>
      </c>
      <c r="E3426" s="3"/>
      <c r="H3426" s="7"/>
      <c r="K3426" s="30"/>
    </row>
    <row r="3427" spans="1:11" s="2" customFormat="1" x14ac:dyDescent="0.25">
      <c r="A3427" s="28" t="s">
        <v>5756</v>
      </c>
      <c r="B3427" s="29">
        <v>7</v>
      </c>
      <c r="C3427" s="28"/>
      <c r="D3427" s="28" t="s">
        <v>63</v>
      </c>
      <c r="E3427" s="3"/>
      <c r="H3427" s="7"/>
      <c r="K3427" s="30"/>
    </row>
    <row r="3428" spans="1:11" s="2" customFormat="1" x14ac:dyDescent="0.25">
      <c r="A3428" s="28" t="s">
        <v>1303</v>
      </c>
      <c r="B3428" s="29">
        <v>40</v>
      </c>
      <c r="C3428" s="28"/>
      <c r="D3428" s="28" t="s">
        <v>63</v>
      </c>
      <c r="E3428" s="3"/>
      <c r="H3428" s="7"/>
      <c r="K3428" s="30"/>
    </row>
    <row r="3429" spans="1:11" s="2" customFormat="1" x14ac:dyDescent="0.25">
      <c r="A3429" s="28" t="s">
        <v>5757</v>
      </c>
      <c r="B3429" s="29">
        <v>43</v>
      </c>
      <c r="C3429" s="28"/>
      <c r="D3429" s="28" t="s">
        <v>63</v>
      </c>
      <c r="E3429" s="3"/>
      <c r="H3429" s="7"/>
      <c r="K3429" s="30"/>
    </row>
    <row r="3430" spans="1:11" s="2" customFormat="1" x14ac:dyDescent="0.25">
      <c r="A3430" s="28" t="s">
        <v>5758</v>
      </c>
      <c r="B3430" s="29">
        <v>2</v>
      </c>
      <c r="C3430" s="28"/>
      <c r="D3430" s="28" t="s">
        <v>63</v>
      </c>
      <c r="E3430" s="3"/>
      <c r="H3430" s="7"/>
      <c r="K3430" s="30"/>
    </row>
    <row r="3431" spans="1:11" s="2" customFormat="1" x14ac:dyDescent="0.25">
      <c r="A3431" s="28" t="s">
        <v>5759</v>
      </c>
      <c r="B3431" s="29">
        <v>69</v>
      </c>
      <c r="C3431" s="28"/>
      <c r="D3431" s="28" t="s">
        <v>63</v>
      </c>
      <c r="E3431" s="3"/>
      <c r="H3431" s="7"/>
      <c r="K3431" s="30"/>
    </row>
    <row r="3432" spans="1:11" s="2" customFormat="1" x14ac:dyDescent="0.25">
      <c r="A3432" s="28" t="s">
        <v>5760</v>
      </c>
      <c r="B3432" s="29">
        <v>2</v>
      </c>
      <c r="C3432" s="28"/>
      <c r="D3432" s="28" t="s">
        <v>63</v>
      </c>
      <c r="E3432" s="3"/>
      <c r="H3432" s="7"/>
      <c r="K3432" s="30"/>
    </row>
    <row r="3433" spans="1:11" s="2" customFormat="1" x14ac:dyDescent="0.25">
      <c r="A3433" s="28" t="s">
        <v>5761</v>
      </c>
      <c r="B3433" s="29">
        <v>10</v>
      </c>
      <c r="C3433" s="28"/>
      <c r="D3433" s="28" t="s">
        <v>63</v>
      </c>
      <c r="E3433" s="3"/>
      <c r="H3433" s="7"/>
      <c r="K3433" s="30"/>
    </row>
    <row r="3434" spans="1:11" s="2" customFormat="1" x14ac:dyDescent="0.25">
      <c r="A3434" s="28" t="s">
        <v>5762</v>
      </c>
      <c r="B3434" s="29">
        <v>5</v>
      </c>
      <c r="C3434" s="28"/>
      <c r="D3434" s="28" t="s">
        <v>63</v>
      </c>
      <c r="E3434" s="3"/>
      <c r="H3434" s="7"/>
      <c r="K3434" s="30"/>
    </row>
    <row r="3435" spans="1:11" s="2" customFormat="1" x14ac:dyDescent="0.25">
      <c r="A3435" s="28" t="s">
        <v>5763</v>
      </c>
      <c r="B3435" s="29">
        <v>11</v>
      </c>
      <c r="C3435" s="28"/>
      <c r="D3435" s="28" t="s">
        <v>63</v>
      </c>
      <c r="E3435" s="3"/>
      <c r="H3435" s="7"/>
      <c r="K3435" s="30"/>
    </row>
    <row r="3436" spans="1:11" s="2" customFormat="1" x14ac:dyDescent="0.25">
      <c r="A3436" s="28" t="s">
        <v>5764</v>
      </c>
      <c r="B3436" s="29">
        <v>6</v>
      </c>
      <c r="C3436" s="28"/>
      <c r="D3436" s="28" t="s">
        <v>63</v>
      </c>
      <c r="E3436" s="3"/>
      <c r="H3436" s="7"/>
      <c r="K3436" s="30"/>
    </row>
    <row r="3437" spans="1:11" s="2" customFormat="1" x14ac:dyDescent="0.25">
      <c r="A3437" s="28" t="s">
        <v>5765</v>
      </c>
      <c r="B3437" s="29">
        <v>3</v>
      </c>
      <c r="C3437" s="28"/>
      <c r="D3437" s="28" t="s">
        <v>63</v>
      </c>
      <c r="E3437" s="3"/>
      <c r="H3437" s="7"/>
      <c r="K3437" s="30"/>
    </row>
    <row r="3438" spans="1:11" s="2" customFormat="1" x14ac:dyDescent="0.25">
      <c r="A3438" s="28" t="s">
        <v>5766</v>
      </c>
      <c r="B3438" s="29">
        <v>1</v>
      </c>
      <c r="C3438" s="28"/>
      <c r="D3438" s="28" t="s">
        <v>63</v>
      </c>
      <c r="E3438" s="3"/>
      <c r="H3438" s="7"/>
      <c r="K3438" s="30"/>
    </row>
    <row r="3439" spans="1:11" s="2" customFormat="1" x14ac:dyDescent="0.25">
      <c r="A3439" s="28" t="s">
        <v>5767</v>
      </c>
      <c r="B3439" s="29">
        <v>14</v>
      </c>
      <c r="C3439" s="28"/>
      <c r="D3439" s="28" t="s">
        <v>63</v>
      </c>
      <c r="E3439" s="3"/>
      <c r="H3439" s="7"/>
      <c r="K3439" s="30"/>
    </row>
    <row r="3440" spans="1:11" s="2" customFormat="1" x14ac:dyDescent="0.25">
      <c r="A3440" s="28" t="s">
        <v>5768</v>
      </c>
      <c r="B3440" s="29">
        <v>2</v>
      </c>
      <c r="C3440" s="28"/>
      <c r="D3440" s="28" t="s">
        <v>63</v>
      </c>
      <c r="E3440" s="3"/>
      <c r="H3440" s="7"/>
      <c r="K3440" s="30"/>
    </row>
    <row r="3441" spans="1:11" s="2" customFormat="1" x14ac:dyDescent="0.25">
      <c r="A3441" s="28" t="s">
        <v>5769</v>
      </c>
      <c r="B3441" s="29">
        <v>13</v>
      </c>
      <c r="C3441" s="28"/>
      <c r="D3441" s="28" t="s">
        <v>5770</v>
      </c>
      <c r="E3441" s="3"/>
      <c r="H3441" s="7"/>
      <c r="K3441" s="30"/>
    </row>
    <row r="3442" spans="1:11" s="2" customFormat="1" x14ac:dyDescent="0.25">
      <c r="A3442" s="28" t="s">
        <v>5771</v>
      </c>
      <c r="B3442" s="29">
        <v>3</v>
      </c>
      <c r="C3442" s="28"/>
      <c r="D3442" s="28" t="s">
        <v>5772</v>
      </c>
      <c r="E3442" s="3"/>
      <c r="H3442" s="7"/>
      <c r="K3442" s="30"/>
    </row>
    <row r="3443" spans="1:11" s="2" customFormat="1" x14ac:dyDescent="0.25">
      <c r="A3443" s="28" t="s">
        <v>5773</v>
      </c>
      <c r="B3443" s="29">
        <v>109</v>
      </c>
      <c r="C3443" s="28"/>
      <c r="D3443" s="28" t="s">
        <v>82</v>
      </c>
      <c r="E3443" s="3"/>
      <c r="H3443" s="7"/>
      <c r="K3443" s="30"/>
    </row>
    <row r="3444" spans="1:11" s="2" customFormat="1" x14ac:dyDescent="0.25">
      <c r="A3444" s="28" t="s">
        <v>5774</v>
      </c>
      <c r="B3444" s="29">
        <v>39</v>
      </c>
      <c r="C3444" s="28"/>
      <c r="D3444" s="28" t="s">
        <v>82</v>
      </c>
      <c r="E3444" s="3"/>
      <c r="H3444" s="7"/>
      <c r="K3444" s="30"/>
    </row>
    <row r="3445" spans="1:11" s="2" customFormat="1" x14ac:dyDescent="0.25">
      <c r="A3445" s="28" t="s">
        <v>5775</v>
      </c>
      <c r="B3445" s="29">
        <v>30</v>
      </c>
      <c r="C3445" s="28"/>
      <c r="D3445" s="28" t="s">
        <v>82</v>
      </c>
      <c r="E3445" s="3"/>
      <c r="H3445" s="7"/>
      <c r="K3445" s="30"/>
    </row>
    <row r="3446" spans="1:11" s="2" customFormat="1" x14ac:dyDescent="0.25">
      <c r="A3446" s="28" t="s">
        <v>5776</v>
      </c>
      <c r="B3446" s="29">
        <v>44</v>
      </c>
      <c r="C3446" s="28"/>
      <c r="D3446" s="28" t="s">
        <v>82</v>
      </c>
      <c r="E3446" s="3"/>
      <c r="H3446" s="7"/>
      <c r="K3446" s="30"/>
    </row>
    <row r="3447" spans="1:11" s="2" customFormat="1" x14ac:dyDescent="0.25">
      <c r="A3447" s="28" t="s">
        <v>5777</v>
      </c>
      <c r="B3447" s="29">
        <v>69</v>
      </c>
      <c r="C3447" s="28"/>
      <c r="D3447" s="28" t="s">
        <v>82</v>
      </c>
      <c r="E3447" s="3"/>
      <c r="H3447" s="7"/>
      <c r="K3447" s="30"/>
    </row>
    <row r="3448" spans="1:11" s="2" customFormat="1" x14ac:dyDescent="0.25">
      <c r="A3448" s="28" t="s">
        <v>5778</v>
      </c>
      <c r="B3448" s="29">
        <v>18</v>
      </c>
      <c r="C3448" s="28"/>
      <c r="D3448" s="28" t="s">
        <v>82</v>
      </c>
      <c r="E3448" s="3"/>
      <c r="H3448" s="7"/>
      <c r="K3448" s="30"/>
    </row>
    <row r="3449" spans="1:11" s="2" customFormat="1" x14ac:dyDescent="0.25">
      <c r="A3449" s="28" t="s">
        <v>5779</v>
      </c>
      <c r="B3449" s="29">
        <v>98</v>
      </c>
      <c r="C3449" s="28"/>
      <c r="D3449" s="28" t="s">
        <v>82</v>
      </c>
      <c r="E3449" s="3"/>
      <c r="H3449" s="7"/>
      <c r="K3449" s="30"/>
    </row>
    <row r="3450" spans="1:11" s="2" customFormat="1" x14ac:dyDescent="0.25">
      <c r="A3450" s="28" t="s">
        <v>5780</v>
      </c>
      <c r="B3450" s="29">
        <v>10</v>
      </c>
      <c r="C3450" s="28"/>
      <c r="D3450" s="28" t="s">
        <v>82</v>
      </c>
      <c r="E3450" s="3"/>
      <c r="H3450" s="7"/>
      <c r="K3450" s="30"/>
    </row>
    <row r="3451" spans="1:11" s="2" customFormat="1" x14ac:dyDescent="0.25">
      <c r="A3451" s="28" t="s">
        <v>5781</v>
      </c>
      <c r="B3451" s="29">
        <v>11</v>
      </c>
      <c r="C3451" s="28"/>
      <c r="D3451" s="28" t="s">
        <v>82</v>
      </c>
      <c r="E3451" s="3"/>
      <c r="H3451" s="7"/>
      <c r="K3451" s="30"/>
    </row>
    <row r="3452" spans="1:11" s="2" customFormat="1" x14ac:dyDescent="0.25">
      <c r="A3452" s="28" t="s">
        <v>5782</v>
      </c>
      <c r="B3452" s="29">
        <v>72</v>
      </c>
      <c r="C3452" s="28"/>
      <c r="D3452" s="28" t="s">
        <v>82</v>
      </c>
      <c r="E3452" s="3"/>
      <c r="H3452" s="7"/>
      <c r="K3452" s="30"/>
    </row>
    <row r="3453" spans="1:11" s="2" customFormat="1" x14ac:dyDescent="0.25">
      <c r="A3453" s="28" t="s">
        <v>5783</v>
      </c>
      <c r="B3453" s="29">
        <v>108</v>
      </c>
      <c r="C3453" s="28"/>
      <c r="D3453" s="28" t="s">
        <v>82</v>
      </c>
      <c r="E3453" s="3"/>
      <c r="H3453" s="7"/>
      <c r="K3453" s="30"/>
    </row>
    <row r="3454" spans="1:11" s="2" customFormat="1" x14ac:dyDescent="0.25">
      <c r="A3454" s="28" t="s">
        <v>5784</v>
      </c>
      <c r="B3454" s="29">
        <v>38</v>
      </c>
      <c r="C3454" s="28"/>
      <c r="D3454" s="28" t="s">
        <v>82</v>
      </c>
      <c r="E3454" s="3"/>
      <c r="H3454" s="7"/>
      <c r="K3454" s="30"/>
    </row>
    <row r="3455" spans="1:11" s="2" customFormat="1" x14ac:dyDescent="0.25">
      <c r="A3455" s="28" t="s">
        <v>5785</v>
      </c>
      <c r="B3455" s="29">
        <v>6</v>
      </c>
      <c r="C3455" s="28"/>
      <c r="D3455" s="28" t="s">
        <v>82</v>
      </c>
      <c r="E3455" s="3"/>
      <c r="H3455" s="7"/>
      <c r="K3455" s="30"/>
    </row>
    <row r="3456" spans="1:11" s="2" customFormat="1" x14ac:dyDescent="0.25">
      <c r="A3456" s="28" t="s">
        <v>5786</v>
      </c>
      <c r="B3456" s="29">
        <v>16</v>
      </c>
      <c r="C3456" s="28"/>
      <c r="D3456" s="28" t="s">
        <v>82</v>
      </c>
      <c r="E3456" s="3"/>
      <c r="H3456" s="7"/>
      <c r="K3456" s="30"/>
    </row>
    <row r="3457" spans="1:11" s="2" customFormat="1" x14ac:dyDescent="0.25">
      <c r="A3457" s="28" t="s">
        <v>5787</v>
      </c>
      <c r="B3457" s="29">
        <v>20</v>
      </c>
      <c r="C3457" s="28"/>
      <c r="D3457" s="28" t="s">
        <v>82</v>
      </c>
      <c r="E3457" s="3"/>
      <c r="H3457" s="7"/>
      <c r="K3457" s="30"/>
    </row>
    <row r="3458" spans="1:11" s="2" customFormat="1" x14ac:dyDescent="0.25">
      <c r="A3458" s="28" t="s">
        <v>5788</v>
      </c>
      <c r="B3458" s="29">
        <v>102</v>
      </c>
      <c r="C3458" s="28"/>
      <c r="D3458" s="28" t="s">
        <v>82</v>
      </c>
      <c r="E3458" s="3"/>
      <c r="H3458" s="7"/>
      <c r="K3458" s="30"/>
    </row>
    <row r="3459" spans="1:11" s="2" customFormat="1" x14ac:dyDescent="0.25">
      <c r="A3459" s="28" t="s">
        <v>5789</v>
      </c>
      <c r="B3459" s="29">
        <v>10</v>
      </c>
      <c r="C3459" s="28"/>
      <c r="D3459" s="28" t="s">
        <v>82</v>
      </c>
      <c r="E3459" s="3"/>
      <c r="H3459" s="7"/>
      <c r="K3459" s="30"/>
    </row>
    <row r="3460" spans="1:11" s="2" customFormat="1" x14ac:dyDescent="0.25">
      <c r="A3460" s="28" t="s">
        <v>5790</v>
      </c>
      <c r="B3460" s="29">
        <v>82</v>
      </c>
      <c r="C3460" s="28"/>
      <c r="D3460" s="28" t="s">
        <v>82</v>
      </c>
      <c r="E3460" s="3"/>
      <c r="H3460" s="7"/>
      <c r="K3460" s="30"/>
    </row>
    <row r="3461" spans="1:11" s="2" customFormat="1" x14ac:dyDescent="0.25">
      <c r="A3461" s="28" t="s">
        <v>5791</v>
      </c>
      <c r="B3461" s="29">
        <v>82</v>
      </c>
      <c r="C3461" s="28"/>
      <c r="D3461" s="28" t="s">
        <v>82</v>
      </c>
      <c r="E3461" s="3"/>
      <c r="H3461" s="7"/>
      <c r="K3461" s="30"/>
    </row>
    <row r="3462" spans="1:11" s="2" customFormat="1" x14ac:dyDescent="0.25">
      <c r="A3462" s="28" t="s">
        <v>5792</v>
      </c>
      <c r="B3462" s="29">
        <v>95</v>
      </c>
      <c r="C3462" s="28"/>
      <c r="D3462" s="28" t="s">
        <v>82</v>
      </c>
      <c r="E3462" s="3"/>
      <c r="H3462" s="7"/>
      <c r="K3462" s="30"/>
    </row>
    <row r="3463" spans="1:11" s="2" customFormat="1" x14ac:dyDescent="0.25">
      <c r="A3463" s="28" t="s">
        <v>5793</v>
      </c>
      <c r="B3463" s="29">
        <v>55</v>
      </c>
      <c r="C3463" s="28"/>
      <c r="D3463" s="28" t="s">
        <v>82</v>
      </c>
      <c r="E3463" s="3"/>
      <c r="H3463" s="7"/>
      <c r="K3463" s="30"/>
    </row>
    <row r="3464" spans="1:11" s="2" customFormat="1" x14ac:dyDescent="0.25">
      <c r="A3464" s="28" t="s">
        <v>5794</v>
      </c>
      <c r="B3464" s="29">
        <v>2</v>
      </c>
      <c r="C3464" s="28"/>
      <c r="D3464" s="28" t="s">
        <v>82</v>
      </c>
      <c r="E3464" s="3"/>
      <c r="H3464" s="7"/>
      <c r="K3464" s="30"/>
    </row>
    <row r="3465" spans="1:11" s="2" customFormat="1" x14ac:dyDescent="0.25">
      <c r="A3465" s="28" t="s">
        <v>5795</v>
      </c>
      <c r="B3465" s="29">
        <v>9</v>
      </c>
      <c r="C3465" s="28"/>
      <c r="D3465" s="28" t="s">
        <v>82</v>
      </c>
      <c r="E3465" s="3"/>
      <c r="H3465" s="7"/>
      <c r="K3465" s="30"/>
    </row>
    <row r="3466" spans="1:11" s="2" customFormat="1" x14ac:dyDescent="0.25">
      <c r="A3466" s="28" t="s">
        <v>5796</v>
      </c>
      <c r="B3466" s="29">
        <v>40</v>
      </c>
      <c r="C3466" s="28"/>
      <c r="D3466" s="28" t="s">
        <v>82</v>
      </c>
      <c r="E3466" s="3"/>
      <c r="H3466" s="7"/>
      <c r="K3466" s="30"/>
    </row>
    <row r="3467" spans="1:11" s="2" customFormat="1" x14ac:dyDescent="0.25">
      <c r="A3467" s="28" t="s">
        <v>5797</v>
      </c>
      <c r="B3467" s="29">
        <v>90</v>
      </c>
      <c r="C3467" s="28"/>
      <c r="D3467" s="28" t="s">
        <v>82</v>
      </c>
      <c r="E3467" s="3"/>
      <c r="H3467" s="7"/>
      <c r="K3467" s="30"/>
    </row>
    <row r="3468" spans="1:11" s="2" customFormat="1" x14ac:dyDescent="0.25">
      <c r="A3468" s="28" t="s">
        <v>5798</v>
      </c>
      <c r="B3468" s="29">
        <v>7</v>
      </c>
      <c r="C3468" s="28"/>
      <c r="D3468" s="28" t="s">
        <v>82</v>
      </c>
      <c r="E3468" s="3"/>
      <c r="H3468" s="7"/>
      <c r="K3468" s="30"/>
    </row>
    <row r="3469" spans="1:11" s="2" customFormat="1" x14ac:dyDescent="0.25">
      <c r="A3469" s="28" t="s">
        <v>5799</v>
      </c>
      <c r="B3469" s="29">
        <v>80</v>
      </c>
      <c r="C3469" s="28"/>
      <c r="D3469" s="28" t="s">
        <v>82</v>
      </c>
      <c r="E3469" s="3"/>
      <c r="H3469" s="7"/>
      <c r="K3469" s="30"/>
    </row>
    <row r="3470" spans="1:11" s="2" customFormat="1" x14ac:dyDescent="0.25">
      <c r="A3470" s="28" t="s">
        <v>5800</v>
      </c>
      <c r="B3470" s="29">
        <v>85</v>
      </c>
      <c r="C3470" s="28"/>
      <c r="D3470" s="28" t="s">
        <v>82</v>
      </c>
      <c r="E3470" s="3"/>
      <c r="H3470" s="7"/>
      <c r="K3470" s="30"/>
    </row>
    <row r="3471" spans="1:11" s="2" customFormat="1" x14ac:dyDescent="0.25">
      <c r="A3471" s="28" t="s">
        <v>5801</v>
      </c>
      <c r="B3471" s="29">
        <v>70</v>
      </c>
      <c r="C3471" s="28"/>
      <c r="D3471" s="28" t="s">
        <v>82</v>
      </c>
      <c r="E3471" s="3"/>
      <c r="H3471" s="7"/>
      <c r="K3471" s="30"/>
    </row>
    <row r="3472" spans="1:11" s="2" customFormat="1" x14ac:dyDescent="0.25">
      <c r="A3472" s="28" t="s">
        <v>5802</v>
      </c>
      <c r="B3472" s="29">
        <v>70</v>
      </c>
      <c r="C3472" s="28"/>
      <c r="D3472" s="28" t="s">
        <v>82</v>
      </c>
      <c r="E3472" s="3"/>
      <c r="H3472" s="7"/>
      <c r="K3472" s="30"/>
    </row>
    <row r="3473" spans="1:11" s="2" customFormat="1" x14ac:dyDescent="0.25">
      <c r="A3473" s="28" t="s">
        <v>5803</v>
      </c>
      <c r="B3473" s="29">
        <v>5</v>
      </c>
      <c r="C3473" s="28"/>
      <c r="D3473" s="28" t="s">
        <v>82</v>
      </c>
      <c r="E3473" s="3"/>
      <c r="H3473" s="7"/>
      <c r="K3473" s="30"/>
    </row>
    <row r="3474" spans="1:11" s="2" customFormat="1" x14ac:dyDescent="0.25">
      <c r="A3474" s="28" t="s">
        <v>5804</v>
      </c>
      <c r="B3474" s="29">
        <v>5</v>
      </c>
      <c r="C3474" s="28"/>
      <c r="D3474" s="28" t="s">
        <v>82</v>
      </c>
      <c r="E3474" s="3"/>
      <c r="H3474" s="7"/>
      <c r="K3474" s="30"/>
    </row>
    <row r="3475" spans="1:11" s="2" customFormat="1" x14ac:dyDescent="0.25">
      <c r="A3475" s="28" t="s">
        <v>5805</v>
      </c>
      <c r="B3475" s="29">
        <v>65</v>
      </c>
      <c r="C3475" s="28"/>
      <c r="D3475" s="28" t="s">
        <v>82</v>
      </c>
      <c r="E3475" s="3"/>
      <c r="H3475" s="7"/>
      <c r="K3475" s="30"/>
    </row>
    <row r="3476" spans="1:11" s="2" customFormat="1" x14ac:dyDescent="0.25">
      <c r="A3476" s="28" t="s">
        <v>5806</v>
      </c>
      <c r="B3476" s="29">
        <v>124</v>
      </c>
      <c r="C3476" s="28"/>
      <c r="D3476" s="28" t="s">
        <v>82</v>
      </c>
      <c r="E3476" s="3"/>
      <c r="H3476" s="7"/>
      <c r="K3476" s="30"/>
    </row>
    <row r="3477" spans="1:11" s="2" customFormat="1" x14ac:dyDescent="0.25">
      <c r="A3477" s="28" t="s">
        <v>5807</v>
      </c>
      <c r="B3477" s="29">
        <v>1</v>
      </c>
      <c r="C3477" s="28"/>
      <c r="D3477" s="28" t="s">
        <v>82</v>
      </c>
      <c r="E3477" s="3"/>
      <c r="H3477" s="7"/>
      <c r="K3477" s="30"/>
    </row>
    <row r="3478" spans="1:11" s="2" customFormat="1" x14ac:dyDescent="0.25">
      <c r="A3478" s="28" t="s">
        <v>5808</v>
      </c>
      <c r="B3478" s="29">
        <v>7</v>
      </c>
      <c r="C3478" s="28"/>
      <c r="D3478" s="28" t="s">
        <v>82</v>
      </c>
      <c r="E3478" s="3"/>
      <c r="H3478" s="7"/>
      <c r="K3478" s="30"/>
    </row>
    <row r="3479" spans="1:11" s="2" customFormat="1" x14ac:dyDescent="0.25">
      <c r="A3479" s="28" t="s">
        <v>5809</v>
      </c>
      <c r="B3479" s="29">
        <v>2</v>
      </c>
      <c r="C3479" s="28"/>
      <c r="D3479" s="28" t="s">
        <v>82</v>
      </c>
      <c r="E3479" s="3"/>
      <c r="H3479" s="7"/>
      <c r="K3479" s="30"/>
    </row>
    <row r="3480" spans="1:11" s="2" customFormat="1" x14ac:dyDescent="0.25">
      <c r="A3480" s="28" t="s">
        <v>5810</v>
      </c>
      <c r="B3480" s="29">
        <v>43</v>
      </c>
      <c r="C3480" s="28"/>
      <c r="D3480" s="28" t="s">
        <v>82</v>
      </c>
      <c r="E3480" s="3"/>
      <c r="H3480" s="7"/>
      <c r="K3480" s="30"/>
    </row>
    <row r="3481" spans="1:11" s="2" customFormat="1" x14ac:dyDescent="0.25">
      <c r="A3481" s="28" t="s">
        <v>5811</v>
      </c>
      <c r="B3481" s="29">
        <v>73</v>
      </c>
      <c r="C3481" s="28"/>
      <c r="D3481" s="28" t="s">
        <v>82</v>
      </c>
      <c r="E3481" s="3"/>
      <c r="H3481" s="7"/>
      <c r="K3481" s="30"/>
    </row>
    <row r="3482" spans="1:11" s="2" customFormat="1" x14ac:dyDescent="0.25">
      <c r="A3482" s="28" t="s">
        <v>5812</v>
      </c>
      <c r="B3482" s="29">
        <v>90</v>
      </c>
      <c r="C3482" s="28"/>
      <c r="D3482" s="28" t="s">
        <v>82</v>
      </c>
      <c r="E3482" s="3"/>
      <c r="H3482" s="7"/>
      <c r="K3482" s="30"/>
    </row>
    <row r="3483" spans="1:11" s="2" customFormat="1" x14ac:dyDescent="0.25">
      <c r="A3483" s="28" t="s">
        <v>5813</v>
      </c>
      <c r="B3483" s="29">
        <v>43</v>
      </c>
      <c r="C3483" s="28"/>
      <c r="D3483" s="28" t="s">
        <v>82</v>
      </c>
      <c r="E3483" s="3"/>
      <c r="H3483" s="7"/>
      <c r="K3483" s="30"/>
    </row>
    <row r="3484" spans="1:11" s="2" customFormat="1" x14ac:dyDescent="0.25">
      <c r="A3484" s="28" t="s">
        <v>5814</v>
      </c>
      <c r="B3484" s="29">
        <v>31</v>
      </c>
      <c r="C3484" s="28"/>
      <c r="D3484" s="28" t="s">
        <v>82</v>
      </c>
      <c r="E3484" s="3"/>
      <c r="H3484" s="7"/>
      <c r="K3484" s="30"/>
    </row>
    <row r="3485" spans="1:11" s="2" customFormat="1" x14ac:dyDescent="0.25">
      <c r="A3485" s="28" t="s">
        <v>5815</v>
      </c>
      <c r="B3485" s="29">
        <v>41</v>
      </c>
      <c r="C3485" s="28"/>
      <c r="D3485" s="28" t="s">
        <v>82</v>
      </c>
      <c r="E3485" s="3"/>
      <c r="H3485" s="7"/>
      <c r="K3485" s="30"/>
    </row>
    <row r="3486" spans="1:11" s="2" customFormat="1" x14ac:dyDescent="0.25">
      <c r="A3486" s="28" t="s">
        <v>5816</v>
      </c>
      <c r="B3486" s="29">
        <v>76</v>
      </c>
      <c r="C3486" s="28"/>
      <c r="D3486" s="28" t="s">
        <v>82</v>
      </c>
      <c r="E3486" s="3"/>
      <c r="H3486" s="7"/>
      <c r="K3486" s="30"/>
    </row>
    <row r="3487" spans="1:11" s="2" customFormat="1" x14ac:dyDescent="0.25">
      <c r="A3487" s="28" t="s">
        <v>5817</v>
      </c>
      <c r="B3487" s="29">
        <v>49</v>
      </c>
      <c r="C3487" s="28"/>
      <c r="D3487" s="28" t="s">
        <v>82</v>
      </c>
      <c r="E3487" s="3"/>
      <c r="H3487" s="7"/>
      <c r="K3487" s="30"/>
    </row>
    <row r="3488" spans="1:11" s="2" customFormat="1" x14ac:dyDescent="0.25">
      <c r="A3488" s="28" t="s">
        <v>5818</v>
      </c>
      <c r="B3488" s="29">
        <v>31</v>
      </c>
      <c r="C3488" s="28"/>
      <c r="D3488" s="28" t="s">
        <v>82</v>
      </c>
      <c r="E3488" s="3"/>
      <c r="H3488" s="7"/>
      <c r="K3488" s="30"/>
    </row>
    <row r="3489" spans="1:11" s="2" customFormat="1" x14ac:dyDescent="0.25">
      <c r="A3489" s="28" t="s">
        <v>5819</v>
      </c>
      <c r="B3489" s="29">
        <v>2</v>
      </c>
      <c r="C3489" s="28"/>
      <c r="D3489" s="28" t="s">
        <v>82</v>
      </c>
      <c r="E3489" s="3"/>
      <c r="H3489" s="7"/>
      <c r="K3489" s="30"/>
    </row>
    <row r="3490" spans="1:11" s="2" customFormat="1" x14ac:dyDescent="0.25">
      <c r="A3490" s="28" t="s">
        <v>5820</v>
      </c>
      <c r="B3490" s="29">
        <v>49</v>
      </c>
      <c r="C3490" s="28"/>
      <c r="D3490" s="28" t="s">
        <v>82</v>
      </c>
      <c r="E3490" s="3"/>
      <c r="H3490" s="7"/>
      <c r="K3490" s="30"/>
    </row>
    <row r="3491" spans="1:11" s="2" customFormat="1" x14ac:dyDescent="0.25">
      <c r="A3491" s="28" t="s">
        <v>5821</v>
      </c>
      <c r="B3491" s="29">
        <v>30</v>
      </c>
      <c r="C3491" s="28"/>
      <c r="D3491" s="28" t="s">
        <v>82</v>
      </c>
      <c r="E3491" s="3"/>
      <c r="H3491" s="7"/>
      <c r="K3491" s="30"/>
    </row>
    <row r="3492" spans="1:11" s="2" customFormat="1" x14ac:dyDescent="0.25">
      <c r="A3492" s="28" t="s">
        <v>5822</v>
      </c>
      <c r="B3492" s="29">
        <v>76</v>
      </c>
      <c r="C3492" s="28"/>
      <c r="D3492" s="28" t="s">
        <v>82</v>
      </c>
      <c r="E3492" s="3"/>
      <c r="H3492" s="7"/>
      <c r="K3492" s="30"/>
    </row>
    <row r="3493" spans="1:11" s="2" customFormat="1" x14ac:dyDescent="0.25">
      <c r="A3493" s="28" t="s">
        <v>5823</v>
      </c>
      <c r="B3493" s="29">
        <v>10</v>
      </c>
      <c r="C3493" s="28"/>
      <c r="D3493" s="28" t="s">
        <v>82</v>
      </c>
      <c r="E3493" s="3"/>
      <c r="H3493" s="7"/>
      <c r="K3493" s="30"/>
    </row>
    <row r="3494" spans="1:11" s="2" customFormat="1" x14ac:dyDescent="0.25">
      <c r="A3494" s="28" t="s">
        <v>5824</v>
      </c>
      <c r="B3494" s="29">
        <v>5</v>
      </c>
      <c r="C3494" s="28"/>
      <c r="D3494" s="28" t="s">
        <v>82</v>
      </c>
      <c r="E3494" s="3"/>
      <c r="H3494" s="7"/>
      <c r="K3494" s="30"/>
    </row>
    <row r="3495" spans="1:11" s="2" customFormat="1" x14ac:dyDescent="0.25">
      <c r="A3495" s="28" t="s">
        <v>5825</v>
      </c>
      <c r="B3495" s="29">
        <v>4</v>
      </c>
      <c r="C3495" s="28"/>
      <c r="D3495" s="28" t="s">
        <v>82</v>
      </c>
      <c r="E3495" s="3"/>
      <c r="H3495" s="7"/>
      <c r="K3495" s="30"/>
    </row>
    <row r="3496" spans="1:11" s="2" customFormat="1" x14ac:dyDescent="0.25">
      <c r="A3496" s="28" t="s">
        <v>5826</v>
      </c>
      <c r="B3496" s="29">
        <v>42</v>
      </c>
      <c r="C3496" s="28"/>
      <c r="D3496" s="28" t="s">
        <v>5827</v>
      </c>
      <c r="E3496" s="3"/>
      <c r="H3496" s="7"/>
      <c r="K3496" s="30"/>
    </row>
    <row r="3497" spans="1:11" s="2" customFormat="1" x14ac:dyDescent="0.25">
      <c r="A3497" s="28" t="s">
        <v>5828</v>
      </c>
      <c r="B3497" s="29">
        <v>3260</v>
      </c>
      <c r="C3497" s="28"/>
      <c r="D3497" s="28" t="s">
        <v>5829</v>
      </c>
      <c r="E3497" s="3"/>
      <c r="H3497" s="7"/>
      <c r="K3497" s="30"/>
    </row>
    <row r="3498" spans="1:11" s="2" customFormat="1" x14ac:dyDescent="0.25">
      <c r="A3498" s="28" t="s">
        <v>5830</v>
      </c>
      <c r="B3498" s="29">
        <v>50</v>
      </c>
      <c r="C3498" s="28"/>
      <c r="D3498" s="28" t="s">
        <v>5829</v>
      </c>
      <c r="E3498" s="3"/>
      <c r="H3498" s="7"/>
      <c r="K3498" s="30"/>
    </row>
    <row r="3499" spans="1:11" s="2" customFormat="1" x14ac:dyDescent="0.25">
      <c r="A3499" s="28" t="s">
        <v>5831</v>
      </c>
      <c r="B3499" s="29">
        <v>19</v>
      </c>
      <c r="C3499" s="28"/>
      <c r="D3499" s="28" t="s">
        <v>5829</v>
      </c>
      <c r="E3499" s="3"/>
      <c r="H3499" s="7"/>
      <c r="K3499" s="30"/>
    </row>
    <row r="3500" spans="1:11" s="2" customFormat="1" x14ac:dyDescent="0.25">
      <c r="A3500" s="28" t="s">
        <v>5832</v>
      </c>
      <c r="B3500" s="29">
        <v>9</v>
      </c>
      <c r="C3500" s="28"/>
      <c r="D3500" s="28" t="s">
        <v>5829</v>
      </c>
      <c r="E3500" s="3"/>
      <c r="H3500" s="7"/>
      <c r="K3500" s="30"/>
    </row>
    <row r="3501" spans="1:11" s="2" customFormat="1" x14ac:dyDescent="0.25">
      <c r="A3501" s="28" t="s">
        <v>5833</v>
      </c>
      <c r="B3501" s="29">
        <v>16</v>
      </c>
      <c r="C3501" s="28"/>
      <c r="D3501" s="28" t="s">
        <v>5834</v>
      </c>
      <c r="E3501" s="3"/>
      <c r="H3501" s="7"/>
      <c r="K3501" s="30"/>
    </row>
    <row r="3502" spans="1:11" s="2" customFormat="1" x14ac:dyDescent="0.25">
      <c r="A3502" s="28" t="s">
        <v>5835</v>
      </c>
      <c r="B3502" s="29">
        <v>45</v>
      </c>
      <c r="C3502" s="28"/>
      <c r="D3502" s="28" t="s">
        <v>5836</v>
      </c>
      <c r="E3502" s="3"/>
      <c r="H3502" s="7"/>
      <c r="K3502" s="30"/>
    </row>
    <row r="3503" spans="1:11" s="2" customFormat="1" x14ac:dyDescent="0.25">
      <c r="A3503" s="28" t="s">
        <v>5837</v>
      </c>
      <c r="B3503" s="29">
        <v>50</v>
      </c>
      <c r="C3503" s="28"/>
      <c r="D3503" s="28" t="s">
        <v>5836</v>
      </c>
      <c r="E3503" s="3"/>
      <c r="H3503" s="7"/>
      <c r="K3503" s="30"/>
    </row>
    <row r="3504" spans="1:11" s="2" customFormat="1" x14ac:dyDescent="0.25">
      <c r="A3504" s="28" t="s">
        <v>5838</v>
      </c>
      <c r="B3504" s="29">
        <v>50</v>
      </c>
      <c r="C3504" s="28"/>
      <c r="D3504" s="28" t="s">
        <v>5836</v>
      </c>
      <c r="E3504" s="3"/>
      <c r="H3504" s="7"/>
      <c r="K3504" s="30"/>
    </row>
    <row r="3505" spans="1:11" s="2" customFormat="1" x14ac:dyDescent="0.25">
      <c r="A3505" s="28" t="s">
        <v>5839</v>
      </c>
      <c r="B3505" s="29">
        <v>15</v>
      </c>
      <c r="C3505" s="28"/>
      <c r="D3505" s="28" t="s">
        <v>5836</v>
      </c>
      <c r="E3505" s="3"/>
      <c r="H3505" s="7"/>
      <c r="K3505" s="30"/>
    </row>
    <row r="3506" spans="1:11" s="2" customFormat="1" x14ac:dyDescent="0.25">
      <c r="A3506" s="28" t="s">
        <v>5840</v>
      </c>
      <c r="B3506" s="29">
        <v>10</v>
      </c>
      <c r="C3506" s="28"/>
      <c r="D3506" s="28" t="s">
        <v>5836</v>
      </c>
      <c r="E3506" s="3"/>
      <c r="H3506" s="7"/>
      <c r="K3506" s="30"/>
    </row>
    <row r="3507" spans="1:11" s="2" customFormat="1" x14ac:dyDescent="0.25">
      <c r="A3507" s="28" t="s">
        <v>5841</v>
      </c>
      <c r="B3507" s="29">
        <v>188</v>
      </c>
      <c r="C3507" s="28"/>
      <c r="D3507" s="28" t="s">
        <v>5836</v>
      </c>
      <c r="E3507" s="3"/>
      <c r="H3507" s="7"/>
      <c r="K3507" s="30"/>
    </row>
    <row r="3508" spans="1:11" s="2" customFormat="1" x14ac:dyDescent="0.25">
      <c r="A3508" s="28" t="s">
        <v>5842</v>
      </c>
      <c r="B3508" s="29">
        <v>50</v>
      </c>
      <c r="C3508" s="28"/>
      <c r="D3508" s="28" t="s">
        <v>5836</v>
      </c>
      <c r="E3508" s="3"/>
      <c r="H3508" s="7"/>
      <c r="K3508" s="30"/>
    </row>
    <row r="3509" spans="1:11" s="2" customFormat="1" x14ac:dyDescent="0.25">
      <c r="A3509" s="28" t="s">
        <v>5843</v>
      </c>
      <c r="B3509" s="29">
        <v>45</v>
      </c>
      <c r="C3509" s="28"/>
      <c r="D3509" s="28" t="s">
        <v>5836</v>
      </c>
      <c r="E3509" s="3"/>
      <c r="H3509" s="7"/>
      <c r="K3509" s="30"/>
    </row>
    <row r="3510" spans="1:11" s="2" customFormat="1" x14ac:dyDescent="0.25">
      <c r="A3510" s="28" t="s">
        <v>5844</v>
      </c>
      <c r="B3510" s="29">
        <v>42</v>
      </c>
      <c r="C3510" s="28"/>
      <c r="D3510" s="28" t="s">
        <v>5836</v>
      </c>
      <c r="E3510" s="3"/>
      <c r="H3510" s="7"/>
      <c r="K3510" s="30"/>
    </row>
    <row r="3511" spans="1:11" s="2" customFormat="1" x14ac:dyDescent="0.25">
      <c r="A3511" s="28" t="s">
        <v>5845</v>
      </c>
      <c r="B3511" s="29">
        <v>10</v>
      </c>
      <c r="C3511" s="28"/>
      <c r="D3511" s="28" t="s">
        <v>5836</v>
      </c>
      <c r="E3511" s="3"/>
      <c r="H3511" s="7"/>
      <c r="K3511" s="30"/>
    </row>
    <row r="3512" spans="1:11" s="2" customFormat="1" x14ac:dyDescent="0.25">
      <c r="A3512" s="28" t="s">
        <v>5846</v>
      </c>
      <c r="B3512" s="29">
        <v>97</v>
      </c>
      <c r="C3512" s="28"/>
      <c r="D3512" s="28" t="s">
        <v>5836</v>
      </c>
      <c r="E3512" s="3"/>
      <c r="H3512" s="7"/>
      <c r="K3512" s="30"/>
    </row>
    <row r="3513" spans="1:11" s="2" customFormat="1" x14ac:dyDescent="0.25">
      <c r="A3513" s="28" t="s">
        <v>5847</v>
      </c>
      <c r="B3513" s="29">
        <v>36</v>
      </c>
      <c r="C3513" s="28"/>
      <c r="D3513" s="28" t="s">
        <v>5836</v>
      </c>
      <c r="E3513" s="3"/>
      <c r="H3513" s="7"/>
      <c r="K3513" s="30"/>
    </row>
    <row r="3514" spans="1:11" s="2" customFormat="1" x14ac:dyDescent="0.25">
      <c r="A3514" s="28" t="s">
        <v>5848</v>
      </c>
      <c r="B3514" s="29">
        <v>1</v>
      </c>
      <c r="C3514" s="28"/>
      <c r="D3514" s="28" t="s">
        <v>5836</v>
      </c>
      <c r="E3514" s="3"/>
      <c r="H3514" s="7"/>
      <c r="K3514" s="30"/>
    </row>
    <row r="3515" spans="1:11" s="2" customFormat="1" x14ac:dyDescent="0.25">
      <c r="A3515" s="28" t="s">
        <v>5849</v>
      </c>
      <c r="B3515" s="29">
        <v>26</v>
      </c>
      <c r="C3515" s="28"/>
      <c r="D3515" s="28" t="s">
        <v>5836</v>
      </c>
      <c r="E3515" s="3"/>
      <c r="H3515" s="7"/>
      <c r="K3515" s="30"/>
    </row>
    <row r="3516" spans="1:11" s="2" customFormat="1" x14ac:dyDescent="0.25">
      <c r="A3516" s="28" t="s">
        <v>5850</v>
      </c>
      <c r="B3516" s="29">
        <v>20</v>
      </c>
      <c r="C3516" s="28"/>
      <c r="D3516" s="28" t="s">
        <v>5836</v>
      </c>
      <c r="E3516" s="3"/>
      <c r="H3516" s="7"/>
      <c r="K3516" s="30"/>
    </row>
    <row r="3517" spans="1:11" s="2" customFormat="1" x14ac:dyDescent="0.25">
      <c r="A3517" s="28" t="s">
        <v>5851</v>
      </c>
      <c r="B3517" s="29">
        <v>1</v>
      </c>
      <c r="C3517" s="28"/>
      <c r="D3517" s="28" t="s">
        <v>5836</v>
      </c>
      <c r="E3517" s="3"/>
      <c r="H3517" s="7"/>
      <c r="K3517" s="30"/>
    </row>
    <row r="3518" spans="1:11" s="2" customFormat="1" x14ac:dyDescent="0.25">
      <c r="A3518" s="28" t="s">
        <v>5852</v>
      </c>
      <c r="B3518" s="29">
        <v>1</v>
      </c>
      <c r="C3518" s="28"/>
      <c r="D3518" s="28" t="s">
        <v>5836</v>
      </c>
      <c r="E3518" s="3"/>
      <c r="H3518" s="7"/>
      <c r="K3518" s="30"/>
    </row>
    <row r="3519" spans="1:11" s="2" customFormat="1" x14ac:dyDescent="0.25">
      <c r="A3519" s="28" t="s">
        <v>5853</v>
      </c>
      <c r="B3519" s="29">
        <v>2</v>
      </c>
      <c r="C3519" s="28"/>
      <c r="D3519" s="28" t="s">
        <v>5836</v>
      </c>
      <c r="E3519" s="3"/>
      <c r="H3519" s="7"/>
      <c r="K3519" s="30"/>
    </row>
    <row r="3520" spans="1:11" s="2" customFormat="1" x14ac:dyDescent="0.25">
      <c r="A3520" s="28" t="s">
        <v>5854</v>
      </c>
      <c r="B3520" s="29">
        <v>1</v>
      </c>
      <c r="C3520" s="28"/>
      <c r="D3520" s="28" t="s">
        <v>5836</v>
      </c>
      <c r="E3520" s="3"/>
      <c r="H3520" s="7"/>
      <c r="K3520" s="30"/>
    </row>
    <row r="3521" spans="1:11" s="2" customFormat="1" x14ac:dyDescent="0.25">
      <c r="A3521" s="28" t="s">
        <v>5855</v>
      </c>
      <c r="B3521" s="29">
        <v>3</v>
      </c>
      <c r="C3521" s="28"/>
      <c r="D3521" s="28" t="s">
        <v>5856</v>
      </c>
      <c r="E3521" s="3"/>
      <c r="H3521" s="7"/>
      <c r="K3521" s="30"/>
    </row>
    <row r="3522" spans="1:11" s="2" customFormat="1" x14ac:dyDescent="0.25">
      <c r="A3522" s="28" t="s">
        <v>5857</v>
      </c>
      <c r="B3522" s="29">
        <v>43</v>
      </c>
      <c r="C3522" s="28"/>
      <c r="D3522" s="28" t="s">
        <v>5858</v>
      </c>
      <c r="E3522" s="3"/>
      <c r="H3522" s="7"/>
      <c r="K3522" s="30"/>
    </row>
    <row r="3523" spans="1:11" s="2" customFormat="1" x14ac:dyDescent="0.25">
      <c r="A3523" s="28" t="s">
        <v>5859</v>
      </c>
      <c r="B3523" s="29">
        <v>2</v>
      </c>
      <c r="C3523" s="28"/>
      <c r="D3523" s="28" t="s">
        <v>5858</v>
      </c>
      <c r="E3523" s="3"/>
      <c r="H3523" s="7"/>
      <c r="K3523" s="30"/>
    </row>
    <row r="3524" spans="1:11" s="2" customFormat="1" x14ac:dyDescent="0.25">
      <c r="A3524" s="28" t="s">
        <v>5860</v>
      </c>
      <c r="B3524" s="29">
        <v>32</v>
      </c>
      <c r="C3524" s="28"/>
      <c r="D3524" s="28" t="s">
        <v>5861</v>
      </c>
      <c r="E3524" s="3"/>
      <c r="H3524" s="7"/>
      <c r="K3524" s="30"/>
    </row>
    <row r="3525" spans="1:11" s="2" customFormat="1" x14ac:dyDescent="0.25">
      <c r="A3525" s="28" t="s">
        <v>5862</v>
      </c>
      <c r="B3525" s="29">
        <v>4</v>
      </c>
      <c r="C3525" s="28"/>
      <c r="D3525" s="28" t="s">
        <v>5863</v>
      </c>
      <c r="E3525" s="3"/>
      <c r="H3525" s="7"/>
      <c r="K3525" s="30"/>
    </row>
    <row r="3526" spans="1:11" s="2" customFormat="1" x14ac:dyDescent="0.25">
      <c r="A3526" s="28" t="s">
        <v>5864</v>
      </c>
      <c r="B3526" s="29">
        <v>3</v>
      </c>
      <c r="C3526" s="28"/>
      <c r="D3526" s="28" t="s">
        <v>2337</v>
      </c>
      <c r="E3526" s="3"/>
      <c r="H3526" s="7"/>
      <c r="K3526" s="30"/>
    </row>
    <row r="3527" spans="1:11" s="2" customFormat="1" x14ac:dyDescent="0.25">
      <c r="A3527" s="28" t="s">
        <v>2335</v>
      </c>
      <c r="B3527" s="29">
        <v>15</v>
      </c>
      <c r="C3527" s="28"/>
      <c r="D3527" s="28" t="s">
        <v>2337</v>
      </c>
      <c r="E3527" s="3"/>
      <c r="H3527" s="7"/>
      <c r="K3527" s="30"/>
    </row>
    <row r="3528" spans="1:11" s="2" customFormat="1" x14ac:dyDescent="0.25">
      <c r="A3528" s="28" t="s">
        <v>5865</v>
      </c>
      <c r="B3528" s="29">
        <v>7</v>
      </c>
      <c r="C3528" s="28"/>
      <c r="D3528" s="28" t="s">
        <v>2337</v>
      </c>
      <c r="E3528" s="3"/>
      <c r="H3528" s="7"/>
      <c r="K3528" s="30"/>
    </row>
    <row r="3529" spans="1:11" s="2" customFormat="1" x14ac:dyDescent="0.25">
      <c r="A3529" s="28" t="s">
        <v>5866</v>
      </c>
      <c r="B3529" s="29">
        <v>5</v>
      </c>
      <c r="C3529" s="28"/>
      <c r="D3529" s="28" t="s">
        <v>2337</v>
      </c>
      <c r="E3529" s="3"/>
      <c r="H3529" s="7"/>
      <c r="K3529" s="30"/>
    </row>
    <row r="3530" spans="1:11" s="2" customFormat="1" x14ac:dyDescent="0.25">
      <c r="A3530" s="28" t="s">
        <v>5867</v>
      </c>
      <c r="B3530" s="29">
        <v>29</v>
      </c>
      <c r="C3530" s="28"/>
      <c r="D3530" s="28" t="s">
        <v>5868</v>
      </c>
      <c r="E3530" s="3"/>
      <c r="H3530" s="7"/>
      <c r="K3530" s="30"/>
    </row>
    <row r="3531" spans="1:11" s="2" customFormat="1" x14ac:dyDescent="0.25">
      <c r="A3531" s="28" t="s">
        <v>5869</v>
      </c>
      <c r="B3531" s="29">
        <v>5</v>
      </c>
      <c r="C3531" s="28"/>
      <c r="D3531" s="28" t="s">
        <v>5868</v>
      </c>
      <c r="E3531" s="3"/>
      <c r="H3531" s="7"/>
      <c r="K3531" s="30"/>
    </row>
    <row r="3532" spans="1:11" s="2" customFormat="1" x14ac:dyDescent="0.25">
      <c r="A3532" s="28" t="s">
        <v>5870</v>
      </c>
      <c r="B3532" s="29">
        <v>6</v>
      </c>
      <c r="C3532" s="28"/>
      <c r="D3532" s="28" t="s">
        <v>5871</v>
      </c>
      <c r="E3532" s="3"/>
      <c r="H3532" s="7"/>
      <c r="K3532" s="30"/>
    </row>
    <row r="3533" spans="1:11" s="2" customFormat="1" x14ac:dyDescent="0.25">
      <c r="A3533" s="28" t="s">
        <v>5872</v>
      </c>
      <c r="B3533" s="29">
        <v>70</v>
      </c>
      <c r="C3533" s="28"/>
      <c r="D3533" s="28" t="s">
        <v>5873</v>
      </c>
      <c r="E3533" s="3"/>
      <c r="H3533" s="7"/>
      <c r="K3533" s="30"/>
    </row>
    <row r="3534" spans="1:11" s="2" customFormat="1" x14ac:dyDescent="0.25">
      <c r="A3534" s="28" t="s">
        <v>5874</v>
      </c>
      <c r="B3534" s="29">
        <v>24</v>
      </c>
      <c r="C3534" s="28"/>
      <c r="D3534" s="28" t="s">
        <v>5873</v>
      </c>
      <c r="E3534" s="3"/>
      <c r="H3534" s="7"/>
      <c r="K3534" s="30"/>
    </row>
    <row r="3535" spans="1:11" s="2" customFormat="1" x14ac:dyDescent="0.25">
      <c r="A3535" s="28" t="s">
        <v>5875</v>
      </c>
      <c r="B3535" s="29">
        <v>1</v>
      </c>
      <c r="C3535" s="28"/>
      <c r="D3535" s="28" t="s">
        <v>5873</v>
      </c>
      <c r="E3535" s="3"/>
      <c r="H3535" s="7"/>
      <c r="K3535" s="30"/>
    </row>
    <row r="3536" spans="1:11" s="2" customFormat="1" x14ac:dyDescent="0.25">
      <c r="A3536" s="28" t="s">
        <v>5876</v>
      </c>
      <c r="B3536" s="29">
        <v>12</v>
      </c>
      <c r="C3536" s="28"/>
      <c r="D3536" s="28" t="s">
        <v>5873</v>
      </c>
      <c r="E3536" s="3"/>
      <c r="H3536" s="7"/>
      <c r="K3536" s="30"/>
    </row>
    <row r="3537" spans="1:11" s="2" customFormat="1" x14ac:dyDescent="0.25">
      <c r="A3537" s="28" t="s">
        <v>5877</v>
      </c>
      <c r="B3537" s="29">
        <v>13</v>
      </c>
      <c r="C3537" s="28"/>
      <c r="D3537" s="28" t="s">
        <v>5873</v>
      </c>
      <c r="E3537" s="3"/>
      <c r="H3537" s="7"/>
      <c r="K3537" s="30"/>
    </row>
    <row r="3538" spans="1:11" s="2" customFormat="1" x14ac:dyDescent="0.25">
      <c r="A3538" s="28" t="s">
        <v>5878</v>
      </c>
      <c r="B3538" s="29">
        <v>4</v>
      </c>
      <c r="C3538" s="28"/>
      <c r="D3538" s="28" t="s">
        <v>5873</v>
      </c>
      <c r="E3538" s="3"/>
      <c r="H3538" s="7"/>
      <c r="K3538" s="30"/>
    </row>
    <row r="3539" spans="1:11" s="2" customFormat="1" x14ac:dyDescent="0.25">
      <c r="A3539" s="28" t="s">
        <v>5879</v>
      </c>
      <c r="B3539" s="29">
        <v>4</v>
      </c>
      <c r="C3539" s="28"/>
      <c r="D3539" s="28" t="s">
        <v>5873</v>
      </c>
      <c r="E3539" s="3"/>
      <c r="H3539" s="7"/>
      <c r="K3539" s="30"/>
    </row>
    <row r="3540" spans="1:11" s="2" customFormat="1" x14ac:dyDescent="0.25">
      <c r="A3540" s="28" t="s">
        <v>5880</v>
      </c>
      <c r="B3540" s="29">
        <v>5</v>
      </c>
      <c r="C3540" s="28"/>
      <c r="D3540" s="28" t="s">
        <v>5873</v>
      </c>
      <c r="E3540" s="3"/>
      <c r="H3540" s="7"/>
      <c r="K3540" s="30"/>
    </row>
    <row r="3541" spans="1:11" s="2" customFormat="1" x14ac:dyDescent="0.25">
      <c r="A3541" s="28" t="s">
        <v>5881</v>
      </c>
      <c r="B3541" s="29">
        <v>1</v>
      </c>
      <c r="C3541" s="28"/>
      <c r="D3541" s="28" t="s">
        <v>5873</v>
      </c>
      <c r="E3541" s="3"/>
      <c r="H3541" s="7"/>
      <c r="K3541" s="30"/>
    </row>
    <row r="3542" spans="1:11" s="2" customFormat="1" x14ac:dyDescent="0.25">
      <c r="A3542" s="28" t="s">
        <v>5882</v>
      </c>
      <c r="B3542" s="29">
        <v>1</v>
      </c>
      <c r="C3542" s="28"/>
      <c r="D3542" s="28" t="s">
        <v>5873</v>
      </c>
      <c r="E3542" s="3"/>
      <c r="H3542" s="7"/>
      <c r="K3542" s="30"/>
    </row>
    <row r="3543" spans="1:11" s="2" customFormat="1" x14ac:dyDescent="0.25">
      <c r="A3543" s="28" t="s">
        <v>5883</v>
      </c>
      <c r="B3543" s="29">
        <v>1</v>
      </c>
      <c r="C3543" s="28"/>
      <c r="D3543" s="28" t="s">
        <v>5884</v>
      </c>
      <c r="E3543" s="3"/>
      <c r="H3543" s="7"/>
      <c r="K3543" s="30"/>
    </row>
    <row r="3544" spans="1:11" s="2" customFormat="1" x14ac:dyDescent="0.25">
      <c r="A3544" s="28" t="s">
        <v>5885</v>
      </c>
      <c r="B3544" s="29">
        <v>7</v>
      </c>
      <c r="C3544" s="28"/>
      <c r="D3544" s="28" t="s">
        <v>5884</v>
      </c>
      <c r="E3544" s="3"/>
      <c r="H3544" s="7"/>
      <c r="K3544" s="30"/>
    </row>
    <row r="3545" spans="1:11" s="2" customFormat="1" x14ac:dyDescent="0.25">
      <c r="A3545" s="28" t="s">
        <v>5886</v>
      </c>
      <c r="B3545" s="29">
        <v>7</v>
      </c>
      <c r="C3545" s="28"/>
      <c r="D3545" s="28" t="s">
        <v>5884</v>
      </c>
      <c r="E3545" s="3"/>
      <c r="H3545" s="7"/>
      <c r="K3545" s="30"/>
    </row>
    <row r="3546" spans="1:11" s="2" customFormat="1" x14ac:dyDescent="0.25">
      <c r="A3546" s="28" t="s">
        <v>5887</v>
      </c>
      <c r="B3546" s="29">
        <v>3</v>
      </c>
      <c r="C3546" s="28"/>
      <c r="D3546" s="28" t="s">
        <v>5884</v>
      </c>
      <c r="E3546" s="3"/>
      <c r="H3546" s="7"/>
      <c r="K3546" s="30"/>
    </row>
    <row r="3547" spans="1:11" s="2" customFormat="1" x14ac:dyDescent="0.25">
      <c r="A3547" s="28" t="s">
        <v>5888</v>
      </c>
      <c r="B3547" s="29">
        <v>2</v>
      </c>
      <c r="C3547" s="28"/>
      <c r="D3547" s="28" t="s">
        <v>5884</v>
      </c>
      <c r="E3547" s="3"/>
      <c r="H3547" s="7"/>
      <c r="K3547" s="30"/>
    </row>
    <row r="3548" spans="1:11" s="2" customFormat="1" x14ac:dyDescent="0.25">
      <c r="A3548" s="28" t="s">
        <v>5889</v>
      </c>
      <c r="B3548" s="29">
        <v>202</v>
      </c>
      <c r="C3548" s="28"/>
      <c r="D3548" s="28" t="s">
        <v>5890</v>
      </c>
      <c r="E3548" s="3"/>
      <c r="H3548" s="7"/>
      <c r="K3548" s="30"/>
    </row>
    <row r="3549" spans="1:11" s="2" customFormat="1" x14ac:dyDescent="0.25">
      <c r="A3549" s="28" t="s">
        <v>5891</v>
      </c>
      <c r="B3549" s="29">
        <v>1</v>
      </c>
      <c r="C3549" s="28"/>
      <c r="D3549" s="28" t="s">
        <v>5890</v>
      </c>
      <c r="E3549" s="3"/>
      <c r="H3549" s="7"/>
      <c r="K3549" s="30"/>
    </row>
    <row r="3550" spans="1:11" s="2" customFormat="1" x14ac:dyDescent="0.25">
      <c r="A3550" s="28" t="s">
        <v>5892</v>
      </c>
      <c r="B3550" s="29">
        <v>20</v>
      </c>
      <c r="C3550" s="28"/>
      <c r="D3550" s="28" t="s">
        <v>5893</v>
      </c>
      <c r="E3550" s="3"/>
      <c r="H3550" s="7"/>
      <c r="K3550" s="30"/>
    </row>
    <row r="3551" spans="1:11" s="2" customFormat="1" x14ac:dyDescent="0.25">
      <c r="A3551" s="28" t="s">
        <v>5894</v>
      </c>
      <c r="B3551" s="29">
        <v>20</v>
      </c>
      <c r="C3551" s="28"/>
      <c r="D3551" s="28" t="s">
        <v>5893</v>
      </c>
      <c r="E3551" s="3"/>
      <c r="H3551" s="7"/>
      <c r="K3551" s="30"/>
    </row>
    <row r="3552" spans="1:11" s="2" customFormat="1" x14ac:dyDescent="0.25">
      <c r="A3552" s="28" t="s">
        <v>3064</v>
      </c>
      <c r="B3552" s="29">
        <v>62</v>
      </c>
      <c r="C3552" s="28"/>
      <c r="D3552" s="28" t="s">
        <v>5893</v>
      </c>
      <c r="E3552" s="3"/>
      <c r="H3552" s="7"/>
      <c r="K3552" s="30"/>
    </row>
    <row r="3553" spans="1:11" s="2" customFormat="1" x14ac:dyDescent="0.25">
      <c r="A3553" s="28" t="s">
        <v>5895</v>
      </c>
      <c r="B3553" s="29">
        <v>4</v>
      </c>
      <c r="C3553" s="28"/>
      <c r="D3553" s="28" t="s">
        <v>5896</v>
      </c>
      <c r="E3553" s="3"/>
      <c r="H3553" s="7"/>
      <c r="K3553" s="30"/>
    </row>
    <row r="3554" spans="1:11" s="2" customFormat="1" x14ac:dyDescent="0.25">
      <c r="A3554" s="28" t="s">
        <v>5897</v>
      </c>
      <c r="B3554" s="29">
        <v>9</v>
      </c>
      <c r="C3554" s="28"/>
      <c r="D3554" s="28" t="s">
        <v>5898</v>
      </c>
      <c r="E3554" s="3"/>
      <c r="H3554" s="7"/>
      <c r="K3554" s="30"/>
    </row>
    <row r="3555" spans="1:11" s="2" customFormat="1" x14ac:dyDescent="0.25">
      <c r="A3555" s="34" t="s">
        <v>5899</v>
      </c>
      <c r="B3555" s="29">
        <v>40</v>
      </c>
      <c r="C3555" s="28"/>
      <c r="D3555" s="28" t="s">
        <v>5900</v>
      </c>
      <c r="E3555" s="3"/>
      <c r="H3555" s="7"/>
      <c r="K3555" s="30"/>
    </row>
    <row r="3556" spans="1:11" s="2" customFormat="1" x14ac:dyDescent="0.25">
      <c r="A3556" s="28" t="s">
        <v>5901</v>
      </c>
      <c r="B3556" s="29">
        <v>99</v>
      </c>
      <c r="C3556" s="28"/>
      <c r="D3556" s="28" t="s">
        <v>5900</v>
      </c>
      <c r="E3556" s="3"/>
      <c r="H3556" s="7"/>
      <c r="K3556" s="30"/>
    </row>
    <row r="3557" spans="1:11" s="2" customFormat="1" x14ac:dyDescent="0.25">
      <c r="A3557" s="28" t="s">
        <v>5902</v>
      </c>
      <c r="B3557" s="29">
        <v>2</v>
      </c>
      <c r="C3557" s="28"/>
      <c r="D3557" s="28" t="s">
        <v>5903</v>
      </c>
      <c r="E3557" s="3"/>
      <c r="H3557" s="7"/>
      <c r="K3557" s="30"/>
    </row>
    <row r="3558" spans="1:11" s="2" customFormat="1" x14ac:dyDescent="0.25">
      <c r="A3558" s="28" t="s">
        <v>5904</v>
      </c>
      <c r="B3558" s="29">
        <v>8869</v>
      </c>
      <c r="C3558" s="28"/>
      <c r="D3558" s="28" t="s">
        <v>5905</v>
      </c>
      <c r="E3558" s="3"/>
      <c r="H3558" s="7"/>
      <c r="K3558" s="30"/>
    </row>
    <row r="3559" spans="1:11" s="2" customFormat="1" x14ac:dyDescent="0.25">
      <c r="A3559" s="28" t="s">
        <v>5906</v>
      </c>
      <c r="B3559" s="29">
        <v>70</v>
      </c>
      <c r="C3559" s="28"/>
      <c r="D3559" s="28" t="s">
        <v>5907</v>
      </c>
      <c r="E3559" s="3"/>
      <c r="H3559" s="7"/>
      <c r="K3559" s="30"/>
    </row>
    <row r="3560" spans="1:11" s="2" customFormat="1" x14ac:dyDescent="0.25">
      <c r="A3560" s="28" t="s">
        <v>5908</v>
      </c>
      <c r="B3560" s="29">
        <v>19</v>
      </c>
      <c r="C3560" s="28"/>
      <c r="D3560" s="28" t="s">
        <v>5907</v>
      </c>
      <c r="E3560" s="3"/>
      <c r="H3560" s="7"/>
      <c r="K3560" s="30"/>
    </row>
    <row r="3561" spans="1:11" s="2" customFormat="1" x14ac:dyDescent="0.25">
      <c r="A3561" s="28" t="s">
        <v>5909</v>
      </c>
      <c r="B3561" s="29">
        <v>35</v>
      </c>
      <c r="C3561" s="28"/>
      <c r="D3561" s="28" t="s">
        <v>5907</v>
      </c>
      <c r="E3561" s="3"/>
      <c r="H3561" s="7"/>
      <c r="K3561" s="30"/>
    </row>
    <row r="3562" spans="1:11" s="2" customFormat="1" x14ac:dyDescent="0.25">
      <c r="A3562" s="28" t="s">
        <v>5910</v>
      </c>
      <c r="B3562" s="29">
        <v>15</v>
      </c>
      <c r="C3562" s="28"/>
      <c r="D3562" s="28" t="s">
        <v>5907</v>
      </c>
      <c r="E3562" s="3"/>
      <c r="H3562" s="7"/>
      <c r="K3562" s="30"/>
    </row>
    <row r="3563" spans="1:11" s="2" customFormat="1" x14ac:dyDescent="0.25">
      <c r="A3563" s="28" t="s">
        <v>5911</v>
      </c>
      <c r="B3563" s="29">
        <v>10</v>
      </c>
      <c r="C3563" s="28"/>
      <c r="D3563" s="28" t="s">
        <v>5907</v>
      </c>
      <c r="E3563" s="3"/>
      <c r="H3563" s="7"/>
      <c r="K3563" s="30"/>
    </row>
    <row r="3564" spans="1:11" s="2" customFormat="1" x14ac:dyDescent="0.25">
      <c r="A3564" s="28" t="s">
        <v>5912</v>
      </c>
      <c r="B3564" s="29">
        <v>35</v>
      </c>
      <c r="C3564" s="28"/>
      <c r="D3564" s="28" t="s">
        <v>5907</v>
      </c>
      <c r="E3564" s="3"/>
      <c r="H3564" s="7"/>
      <c r="K3564" s="30"/>
    </row>
    <row r="3565" spans="1:11" s="2" customFormat="1" x14ac:dyDescent="0.25">
      <c r="A3565" s="28" t="s">
        <v>5913</v>
      </c>
      <c r="B3565" s="29">
        <v>15</v>
      </c>
      <c r="C3565" s="28"/>
      <c r="D3565" s="28" t="s">
        <v>5907</v>
      </c>
      <c r="E3565" s="3"/>
      <c r="H3565" s="7"/>
      <c r="K3565" s="30"/>
    </row>
    <row r="3566" spans="1:11" s="2" customFormat="1" x14ac:dyDescent="0.25">
      <c r="A3566" s="28" t="s">
        <v>5914</v>
      </c>
      <c r="B3566" s="29">
        <v>7</v>
      </c>
      <c r="C3566" s="28"/>
      <c r="D3566" s="28" t="s">
        <v>5907</v>
      </c>
      <c r="E3566" s="3"/>
      <c r="H3566" s="7"/>
      <c r="K3566" s="30"/>
    </row>
    <row r="3567" spans="1:11" s="2" customFormat="1" x14ac:dyDescent="0.25">
      <c r="A3567" s="28" t="s">
        <v>5915</v>
      </c>
      <c r="B3567" s="29">
        <v>1</v>
      </c>
      <c r="C3567" s="28"/>
      <c r="D3567" s="28" t="s">
        <v>5907</v>
      </c>
      <c r="E3567" s="3"/>
      <c r="H3567" s="7"/>
      <c r="K3567" s="30"/>
    </row>
    <row r="3568" spans="1:11" s="2" customFormat="1" x14ac:dyDescent="0.25">
      <c r="A3568" s="28" t="s">
        <v>5916</v>
      </c>
      <c r="B3568" s="29">
        <v>3</v>
      </c>
      <c r="C3568" s="28"/>
      <c r="D3568" s="28" t="s">
        <v>5907</v>
      </c>
      <c r="E3568" s="3"/>
      <c r="H3568" s="7"/>
      <c r="K3568" s="30"/>
    </row>
    <row r="3569" spans="1:11" s="2" customFormat="1" x14ac:dyDescent="0.25">
      <c r="A3569" s="28" t="s">
        <v>5917</v>
      </c>
      <c r="B3569" s="29">
        <v>2</v>
      </c>
      <c r="C3569" s="28"/>
      <c r="D3569" s="28" t="s">
        <v>5907</v>
      </c>
      <c r="E3569" s="3"/>
      <c r="H3569" s="7"/>
      <c r="K3569" s="30"/>
    </row>
    <row r="3570" spans="1:11" s="2" customFormat="1" x14ac:dyDescent="0.25">
      <c r="A3570" s="28" t="s">
        <v>5918</v>
      </c>
      <c r="B3570" s="29">
        <v>1</v>
      </c>
      <c r="C3570" s="28"/>
      <c r="D3570" s="28" t="s">
        <v>5907</v>
      </c>
      <c r="E3570" s="3"/>
      <c r="H3570" s="7"/>
      <c r="K3570" s="30"/>
    </row>
    <row r="3571" spans="1:11" s="2" customFormat="1" x14ac:dyDescent="0.25">
      <c r="A3571" s="28" t="s">
        <v>5919</v>
      </c>
      <c r="B3571" s="29">
        <v>5</v>
      </c>
      <c r="C3571" s="28"/>
      <c r="D3571" s="28" t="s">
        <v>5920</v>
      </c>
      <c r="E3571" s="3"/>
      <c r="H3571" s="7"/>
      <c r="K3571" s="30"/>
    </row>
    <row r="3572" spans="1:11" s="2" customFormat="1" x14ac:dyDescent="0.25">
      <c r="A3572" s="28" t="s">
        <v>5921</v>
      </c>
      <c r="B3572" s="29">
        <v>70</v>
      </c>
      <c r="C3572" s="28"/>
      <c r="D3572" s="28" t="s">
        <v>5922</v>
      </c>
      <c r="E3572" s="3"/>
      <c r="H3572" s="7"/>
      <c r="K3572" s="30"/>
    </row>
    <row r="3573" spans="1:11" s="2" customFormat="1" x14ac:dyDescent="0.25">
      <c r="A3573" s="28" t="s">
        <v>5923</v>
      </c>
      <c r="B3573" s="29">
        <v>42</v>
      </c>
      <c r="C3573" s="28"/>
      <c r="D3573" s="28" t="s">
        <v>5922</v>
      </c>
      <c r="E3573" s="3"/>
      <c r="H3573" s="7"/>
      <c r="K3573" s="30"/>
    </row>
    <row r="3574" spans="1:11" s="2" customFormat="1" x14ac:dyDescent="0.25">
      <c r="A3574" s="28" t="s">
        <v>5924</v>
      </c>
      <c r="B3574" s="29">
        <v>4</v>
      </c>
      <c r="C3574" s="28"/>
      <c r="D3574" s="28" t="s">
        <v>5922</v>
      </c>
      <c r="E3574" s="3"/>
      <c r="H3574" s="7"/>
      <c r="K3574" s="30"/>
    </row>
    <row r="3575" spans="1:11" s="2" customFormat="1" x14ac:dyDescent="0.25">
      <c r="A3575" s="28" t="s">
        <v>5925</v>
      </c>
      <c r="B3575" s="29">
        <v>56</v>
      </c>
      <c r="C3575" s="28"/>
      <c r="D3575" s="28" t="s">
        <v>5926</v>
      </c>
      <c r="E3575" s="3"/>
      <c r="H3575" s="7"/>
      <c r="K3575" s="30"/>
    </row>
    <row r="3576" spans="1:11" s="2" customFormat="1" x14ac:dyDescent="0.25">
      <c r="A3576" s="28" t="s">
        <v>5927</v>
      </c>
      <c r="B3576" s="29">
        <v>37</v>
      </c>
      <c r="C3576" s="28"/>
      <c r="D3576" s="28" t="s">
        <v>5926</v>
      </c>
      <c r="E3576" s="3"/>
      <c r="H3576" s="7"/>
      <c r="K3576" s="30"/>
    </row>
    <row r="3577" spans="1:11" s="2" customFormat="1" x14ac:dyDescent="0.25">
      <c r="A3577" s="28" t="s">
        <v>5928</v>
      </c>
      <c r="B3577" s="29">
        <v>3</v>
      </c>
      <c r="C3577" s="28"/>
      <c r="D3577" s="28" t="s">
        <v>5926</v>
      </c>
      <c r="E3577" s="3"/>
      <c r="H3577" s="7"/>
      <c r="K3577" s="30"/>
    </row>
    <row r="3578" spans="1:11" s="2" customFormat="1" x14ac:dyDescent="0.25">
      <c r="A3578" s="28" t="s">
        <v>5929</v>
      </c>
      <c r="B3578" s="29">
        <v>92</v>
      </c>
      <c r="C3578" s="28"/>
      <c r="D3578" s="28" t="s">
        <v>5930</v>
      </c>
      <c r="E3578" s="3"/>
      <c r="H3578" s="7"/>
      <c r="K3578" s="30"/>
    </row>
    <row r="3579" spans="1:11" s="2" customFormat="1" x14ac:dyDescent="0.25">
      <c r="A3579" s="28" t="s">
        <v>5931</v>
      </c>
      <c r="B3579" s="29">
        <v>10</v>
      </c>
      <c r="C3579" s="28"/>
      <c r="D3579" s="28" t="s">
        <v>5930</v>
      </c>
      <c r="E3579" s="3"/>
      <c r="H3579" s="7"/>
      <c r="K3579" s="30"/>
    </row>
    <row r="3580" spans="1:11" s="2" customFormat="1" x14ac:dyDescent="0.25">
      <c r="A3580" s="28" t="s">
        <v>5932</v>
      </c>
      <c r="B3580" s="29">
        <v>10</v>
      </c>
      <c r="C3580" s="28"/>
      <c r="D3580" s="28" t="s">
        <v>5930</v>
      </c>
      <c r="E3580" s="3"/>
      <c r="H3580" s="7"/>
      <c r="K3580" s="30"/>
    </row>
    <row r="3581" spans="1:11" s="2" customFormat="1" x14ac:dyDescent="0.25">
      <c r="A3581" s="28" t="s">
        <v>5933</v>
      </c>
      <c r="B3581" s="29">
        <v>18</v>
      </c>
      <c r="C3581" s="28"/>
      <c r="D3581" s="28" t="s">
        <v>5930</v>
      </c>
      <c r="E3581" s="3"/>
      <c r="H3581" s="7"/>
      <c r="K3581" s="30"/>
    </row>
    <row r="3582" spans="1:11" s="2" customFormat="1" x14ac:dyDescent="0.25">
      <c r="A3582" s="28" t="s">
        <v>5934</v>
      </c>
      <c r="B3582" s="29">
        <v>49</v>
      </c>
      <c r="C3582" s="28"/>
      <c r="D3582" s="28" t="s">
        <v>5930</v>
      </c>
      <c r="E3582" s="3"/>
      <c r="H3582" s="7"/>
      <c r="K3582" s="30"/>
    </row>
    <row r="3583" spans="1:11" s="2" customFormat="1" x14ac:dyDescent="0.25">
      <c r="A3583" s="28" t="s">
        <v>5935</v>
      </c>
      <c r="B3583" s="29">
        <v>40</v>
      </c>
      <c r="C3583" s="28"/>
      <c r="D3583" s="28" t="s">
        <v>5930</v>
      </c>
      <c r="E3583" s="3"/>
      <c r="H3583" s="7"/>
      <c r="K3583" s="30"/>
    </row>
    <row r="3584" spans="1:11" s="2" customFormat="1" x14ac:dyDescent="0.25">
      <c r="A3584" s="28" t="s">
        <v>5936</v>
      </c>
      <c r="B3584" s="29">
        <v>2</v>
      </c>
      <c r="C3584" s="28"/>
      <c r="D3584" s="28" t="s">
        <v>5930</v>
      </c>
      <c r="E3584" s="3"/>
      <c r="H3584" s="7"/>
      <c r="K3584" s="30"/>
    </row>
    <row r="3585" spans="1:11" s="2" customFormat="1" x14ac:dyDescent="0.25">
      <c r="A3585" s="28" t="s">
        <v>5937</v>
      </c>
      <c r="B3585" s="29">
        <v>4</v>
      </c>
      <c r="C3585" s="28"/>
      <c r="D3585" s="28" t="s">
        <v>5930</v>
      </c>
      <c r="E3585" s="3"/>
      <c r="H3585" s="7"/>
      <c r="K3585" s="30"/>
    </row>
    <row r="3586" spans="1:11" s="2" customFormat="1" x14ac:dyDescent="0.25">
      <c r="A3586" s="28" t="s">
        <v>5938</v>
      </c>
      <c r="B3586" s="29">
        <v>1</v>
      </c>
      <c r="C3586" s="28"/>
      <c r="D3586" s="28" t="s">
        <v>5930</v>
      </c>
      <c r="E3586" s="3"/>
      <c r="H3586" s="7"/>
      <c r="K3586" s="30"/>
    </row>
    <row r="3587" spans="1:11" s="2" customFormat="1" x14ac:dyDescent="0.25">
      <c r="A3587" s="28" t="s">
        <v>5939</v>
      </c>
      <c r="B3587" s="29">
        <v>5</v>
      </c>
      <c r="C3587" s="28"/>
      <c r="D3587" s="28" t="s">
        <v>5930</v>
      </c>
      <c r="E3587" s="3"/>
      <c r="H3587" s="7"/>
      <c r="K3587" s="30"/>
    </row>
    <row r="3588" spans="1:11" s="2" customFormat="1" x14ac:dyDescent="0.25">
      <c r="A3588" s="28" t="s">
        <v>5940</v>
      </c>
      <c r="B3588" s="29">
        <v>5</v>
      </c>
      <c r="C3588" s="28"/>
      <c r="D3588" s="28" t="s">
        <v>5930</v>
      </c>
      <c r="E3588" s="3"/>
      <c r="H3588" s="7"/>
      <c r="K3588" s="30"/>
    </row>
    <row r="3589" spans="1:11" s="2" customFormat="1" x14ac:dyDescent="0.25">
      <c r="A3589" s="28" t="s">
        <v>5941</v>
      </c>
      <c r="B3589" s="29">
        <v>1</v>
      </c>
      <c r="C3589" s="28"/>
      <c r="D3589" s="28" t="s">
        <v>5930</v>
      </c>
      <c r="E3589" s="3"/>
      <c r="H3589" s="7"/>
      <c r="K3589" s="30"/>
    </row>
    <row r="3590" spans="1:11" s="2" customFormat="1" x14ac:dyDescent="0.25">
      <c r="A3590" s="28" t="s">
        <v>5942</v>
      </c>
      <c r="B3590" s="29">
        <v>3</v>
      </c>
      <c r="C3590" s="28"/>
      <c r="D3590" s="28" t="s">
        <v>5930</v>
      </c>
      <c r="E3590" s="3"/>
      <c r="H3590" s="7"/>
      <c r="K3590" s="30"/>
    </row>
    <row r="3591" spans="1:11" s="2" customFormat="1" x14ac:dyDescent="0.25">
      <c r="A3591" s="28" t="s">
        <v>5943</v>
      </c>
      <c r="B3591" s="29">
        <v>1</v>
      </c>
      <c r="C3591" s="28"/>
      <c r="D3591" s="28" t="s">
        <v>5930</v>
      </c>
      <c r="E3591" s="3"/>
      <c r="H3591" s="7"/>
      <c r="K3591" s="30"/>
    </row>
    <row r="3592" spans="1:11" s="2" customFormat="1" x14ac:dyDescent="0.25">
      <c r="A3592" s="28" t="s">
        <v>5944</v>
      </c>
      <c r="B3592" s="29">
        <v>12</v>
      </c>
      <c r="C3592" s="28"/>
      <c r="D3592" s="28" t="s">
        <v>5945</v>
      </c>
      <c r="E3592" s="3"/>
      <c r="H3592" s="7"/>
      <c r="K3592" s="30"/>
    </row>
    <row r="3593" spans="1:11" s="2" customFormat="1" x14ac:dyDescent="0.25">
      <c r="A3593" s="28" t="s">
        <v>5946</v>
      </c>
      <c r="B3593" s="29">
        <v>5</v>
      </c>
      <c r="C3593" s="28"/>
      <c r="D3593" s="28" t="s">
        <v>5945</v>
      </c>
      <c r="E3593" s="3"/>
      <c r="H3593" s="7"/>
      <c r="K3593" s="30"/>
    </row>
    <row r="3594" spans="1:11" s="2" customFormat="1" x14ac:dyDescent="0.25">
      <c r="A3594" s="28" t="s">
        <v>5947</v>
      </c>
      <c r="B3594" s="29">
        <v>7</v>
      </c>
      <c r="C3594" s="28"/>
      <c r="D3594" s="28" t="s">
        <v>5948</v>
      </c>
      <c r="E3594" s="3"/>
      <c r="H3594" s="7"/>
      <c r="K3594" s="30"/>
    </row>
    <row r="3595" spans="1:11" s="2" customFormat="1" x14ac:dyDescent="0.25">
      <c r="A3595" s="28" t="s">
        <v>5949</v>
      </c>
      <c r="B3595" s="29">
        <v>239</v>
      </c>
      <c r="C3595" s="28"/>
      <c r="D3595" s="28" t="s">
        <v>5950</v>
      </c>
      <c r="E3595" s="3"/>
      <c r="H3595" s="7"/>
      <c r="K3595" s="30"/>
    </row>
    <row r="3596" spans="1:11" s="2" customFormat="1" x14ac:dyDescent="0.25">
      <c r="A3596" s="28" t="s">
        <v>5951</v>
      </c>
      <c r="B3596" s="29">
        <v>10</v>
      </c>
      <c r="C3596" s="28"/>
      <c r="D3596" s="28" t="s">
        <v>5950</v>
      </c>
      <c r="E3596" s="3"/>
      <c r="H3596" s="7"/>
      <c r="K3596" s="30"/>
    </row>
    <row r="3597" spans="1:11" s="2" customFormat="1" x14ac:dyDescent="0.25">
      <c r="A3597" s="28" t="s">
        <v>5952</v>
      </c>
      <c r="B3597" s="29">
        <v>10</v>
      </c>
      <c r="C3597" s="28"/>
      <c r="D3597" s="28" t="s">
        <v>5950</v>
      </c>
      <c r="E3597" s="3"/>
      <c r="H3597" s="7"/>
      <c r="K3597" s="30"/>
    </row>
    <row r="3598" spans="1:11" s="2" customFormat="1" x14ac:dyDescent="0.25">
      <c r="A3598" s="28" t="s">
        <v>5953</v>
      </c>
      <c r="B3598" s="29">
        <v>10</v>
      </c>
      <c r="C3598" s="28"/>
      <c r="D3598" s="28" t="s">
        <v>5950</v>
      </c>
      <c r="E3598" s="3"/>
      <c r="H3598" s="7"/>
      <c r="K3598" s="30"/>
    </row>
    <row r="3599" spans="1:11" s="2" customFormat="1" x14ac:dyDescent="0.25">
      <c r="A3599" s="28" t="s">
        <v>5954</v>
      </c>
      <c r="B3599" s="29">
        <v>4</v>
      </c>
      <c r="C3599" s="28"/>
      <c r="D3599" s="28" t="s">
        <v>5950</v>
      </c>
      <c r="E3599" s="3"/>
      <c r="H3599" s="7"/>
      <c r="K3599" s="30"/>
    </row>
    <row r="3600" spans="1:11" s="2" customFormat="1" x14ac:dyDescent="0.25">
      <c r="A3600" s="28" t="s">
        <v>5955</v>
      </c>
      <c r="B3600" s="29">
        <v>1</v>
      </c>
      <c r="C3600" s="28"/>
      <c r="D3600" s="28" t="s">
        <v>5956</v>
      </c>
      <c r="E3600" s="3"/>
      <c r="H3600" s="7"/>
      <c r="K3600" s="30"/>
    </row>
    <row r="3601" spans="1:11" s="2" customFormat="1" x14ac:dyDescent="0.25">
      <c r="A3601" s="28" t="s">
        <v>5957</v>
      </c>
      <c r="B3601" s="29">
        <v>10</v>
      </c>
      <c r="C3601" s="28"/>
      <c r="D3601" s="28" t="s">
        <v>5958</v>
      </c>
      <c r="E3601" s="3"/>
      <c r="H3601" s="7"/>
      <c r="K3601" s="30"/>
    </row>
    <row r="3602" spans="1:11" s="2" customFormat="1" x14ac:dyDescent="0.25">
      <c r="A3602" s="28" t="s">
        <v>5959</v>
      </c>
      <c r="B3602" s="29">
        <v>1</v>
      </c>
      <c r="C3602" s="28"/>
      <c r="D3602" s="28" t="s">
        <v>5960</v>
      </c>
      <c r="E3602" s="3"/>
      <c r="H3602" s="7"/>
      <c r="K3602" s="30"/>
    </row>
    <row r="3603" spans="1:11" s="2" customFormat="1" x14ac:dyDescent="0.25">
      <c r="A3603" s="28" t="s">
        <v>5961</v>
      </c>
      <c r="B3603" s="29">
        <v>5</v>
      </c>
      <c r="C3603" s="28"/>
      <c r="D3603" s="28" t="s">
        <v>5962</v>
      </c>
      <c r="E3603" s="3"/>
      <c r="H3603" s="7"/>
      <c r="K3603" s="30"/>
    </row>
    <row r="3604" spans="1:11" s="2" customFormat="1" x14ac:dyDescent="0.25">
      <c r="A3604" s="28" t="s">
        <v>5963</v>
      </c>
      <c r="B3604" s="29">
        <v>10</v>
      </c>
      <c r="C3604" s="28"/>
      <c r="D3604" s="28" t="s">
        <v>5964</v>
      </c>
      <c r="E3604" s="3"/>
      <c r="H3604" s="7"/>
      <c r="K3604" s="30"/>
    </row>
    <row r="3605" spans="1:11" s="2" customFormat="1" x14ac:dyDescent="0.25">
      <c r="A3605" s="28" t="s">
        <v>5965</v>
      </c>
      <c r="B3605" s="29">
        <v>54</v>
      </c>
      <c r="C3605" s="28"/>
      <c r="D3605" s="28" t="s">
        <v>5966</v>
      </c>
      <c r="E3605" s="3"/>
      <c r="H3605" s="7"/>
      <c r="K3605" s="30"/>
    </row>
    <row r="3606" spans="1:11" s="2" customFormat="1" x14ac:dyDescent="0.25">
      <c r="A3606" s="28" t="s">
        <v>5967</v>
      </c>
      <c r="B3606" s="29">
        <v>150</v>
      </c>
      <c r="C3606" s="28"/>
      <c r="D3606" s="28" t="s">
        <v>5968</v>
      </c>
      <c r="E3606" s="3"/>
      <c r="H3606" s="7"/>
      <c r="K3606" s="30"/>
    </row>
    <row r="3607" spans="1:11" s="2" customFormat="1" x14ac:dyDescent="0.25">
      <c r="A3607" s="28" t="s">
        <v>5969</v>
      </c>
      <c r="B3607" s="29">
        <v>95</v>
      </c>
      <c r="C3607" s="28"/>
      <c r="D3607" s="28" t="s">
        <v>5968</v>
      </c>
      <c r="E3607" s="3"/>
      <c r="H3607" s="7"/>
      <c r="K3607" s="30"/>
    </row>
    <row r="3608" spans="1:11" s="2" customFormat="1" x14ac:dyDescent="0.25">
      <c r="A3608" s="28" t="s">
        <v>5970</v>
      </c>
      <c r="B3608" s="29">
        <v>3</v>
      </c>
      <c r="C3608" s="28"/>
      <c r="D3608" s="28" t="s">
        <v>5971</v>
      </c>
      <c r="E3608" s="3"/>
      <c r="H3608" s="7"/>
      <c r="K3608" s="30"/>
    </row>
    <row r="3609" spans="1:11" s="2" customFormat="1" x14ac:dyDescent="0.25">
      <c r="A3609" s="28" t="s">
        <v>5972</v>
      </c>
      <c r="B3609" s="29">
        <v>20</v>
      </c>
      <c r="C3609" s="28"/>
      <c r="D3609" s="28" t="s">
        <v>5973</v>
      </c>
      <c r="E3609" s="3"/>
      <c r="H3609" s="7"/>
      <c r="K3609" s="30"/>
    </row>
    <row r="3610" spans="1:11" s="2" customFormat="1" x14ac:dyDescent="0.25">
      <c r="A3610" s="28" t="s">
        <v>5974</v>
      </c>
      <c r="B3610" s="29">
        <v>2</v>
      </c>
      <c r="C3610" s="28"/>
      <c r="D3610" s="28" t="s">
        <v>5973</v>
      </c>
      <c r="E3610" s="3"/>
      <c r="H3610" s="7"/>
      <c r="K3610" s="30"/>
    </row>
    <row r="3611" spans="1:11" s="2" customFormat="1" x14ac:dyDescent="0.25">
      <c r="A3611" s="28" t="s">
        <v>5975</v>
      </c>
      <c r="B3611" s="29">
        <v>1</v>
      </c>
      <c r="C3611" s="28"/>
      <c r="D3611" s="28" t="s">
        <v>5973</v>
      </c>
      <c r="E3611" s="3"/>
      <c r="H3611" s="7"/>
      <c r="K3611" s="30"/>
    </row>
    <row r="3612" spans="1:11" s="2" customFormat="1" x14ac:dyDescent="0.25">
      <c r="A3612" s="28" t="s">
        <v>5976</v>
      </c>
      <c r="B3612" s="29">
        <v>1</v>
      </c>
      <c r="C3612" s="28"/>
      <c r="D3612" s="28" t="s">
        <v>5973</v>
      </c>
      <c r="E3612" s="3"/>
      <c r="H3612" s="7"/>
      <c r="K3612" s="30"/>
    </row>
    <row r="3613" spans="1:11" s="2" customFormat="1" x14ac:dyDescent="0.25">
      <c r="A3613" s="28" t="s">
        <v>5977</v>
      </c>
      <c r="B3613" s="29">
        <v>3</v>
      </c>
      <c r="C3613" s="28"/>
      <c r="D3613" s="28" t="s">
        <v>5978</v>
      </c>
      <c r="E3613" s="3"/>
      <c r="H3613" s="7"/>
      <c r="K3613" s="30"/>
    </row>
    <row r="3614" spans="1:11" s="2" customFormat="1" x14ac:dyDescent="0.25">
      <c r="A3614" s="28" t="s">
        <v>5979</v>
      </c>
      <c r="B3614" s="29">
        <v>200</v>
      </c>
      <c r="C3614" s="28"/>
      <c r="D3614" s="28" t="s">
        <v>5980</v>
      </c>
      <c r="E3614" s="3"/>
      <c r="H3614" s="7"/>
      <c r="K3614" s="30"/>
    </row>
    <row r="3615" spans="1:11" s="2" customFormat="1" x14ac:dyDescent="0.25">
      <c r="A3615" s="28" t="s">
        <v>5981</v>
      </c>
      <c r="B3615" s="29">
        <v>200</v>
      </c>
      <c r="C3615" s="28"/>
      <c r="D3615" s="28" t="s">
        <v>5980</v>
      </c>
      <c r="E3615" s="3"/>
      <c r="H3615" s="7"/>
      <c r="K3615" s="30"/>
    </row>
    <row r="3616" spans="1:11" s="2" customFormat="1" x14ac:dyDescent="0.25">
      <c r="A3616" s="28" t="s">
        <v>5982</v>
      </c>
      <c r="B3616" s="29">
        <v>118</v>
      </c>
      <c r="C3616" s="28"/>
      <c r="D3616" s="28" t="s">
        <v>5983</v>
      </c>
      <c r="E3616" s="3"/>
      <c r="H3616" s="7"/>
      <c r="K3616" s="30"/>
    </row>
    <row r="3617" spans="1:11" s="2" customFormat="1" x14ac:dyDescent="0.25">
      <c r="A3617" s="28" t="s">
        <v>5984</v>
      </c>
      <c r="B3617" s="29">
        <v>9</v>
      </c>
      <c r="C3617" s="28"/>
      <c r="D3617" s="28" t="s">
        <v>5985</v>
      </c>
      <c r="E3617" s="3"/>
      <c r="H3617" s="7"/>
      <c r="K3617" s="30"/>
    </row>
    <row r="3618" spans="1:11" s="2" customFormat="1" x14ac:dyDescent="0.25">
      <c r="A3618" s="28" t="s">
        <v>5986</v>
      </c>
      <c r="B3618" s="29">
        <v>2</v>
      </c>
      <c r="C3618" s="28"/>
      <c r="D3618" s="28" t="s">
        <v>5985</v>
      </c>
      <c r="E3618" s="3"/>
      <c r="H3618" s="7"/>
      <c r="K3618" s="30"/>
    </row>
    <row r="3619" spans="1:11" s="2" customFormat="1" x14ac:dyDescent="0.25">
      <c r="A3619" s="28" t="s">
        <v>5987</v>
      </c>
      <c r="B3619" s="29">
        <v>12</v>
      </c>
      <c r="C3619" s="28"/>
      <c r="D3619" s="28" t="s">
        <v>5988</v>
      </c>
      <c r="E3619" s="3"/>
      <c r="H3619" s="7"/>
      <c r="K3619" s="30"/>
    </row>
    <row r="3620" spans="1:11" s="2" customFormat="1" x14ac:dyDescent="0.25">
      <c r="A3620" s="28" t="s">
        <v>5989</v>
      </c>
      <c r="B3620" s="29">
        <v>5</v>
      </c>
      <c r="C3620" s="28"/>
      <c r="D3620" s="28" t="s">
        <v>5990</v>
      </c>
      <c r="E3620" s="3"/>
      <c r="H3620" s="7"/>
      <c r="K3620" s="30"/>
    </row>
    <row r="3621" spans="1:11" s="2" customFormat="1" x14ac:dyDescent="0.25">
      <c r="A3621" s="28" t="s">
        <v>5991</v>
      </c>
      <c r="B3621" s="29">
        <v>6</v>
      </c>
      <c r="C3621" s="28"/>
      <c r="D3621" s="28" t="s">
        <v>5992</v>
      </c>
      <c r="E3621" s="3"/>
      <c r="H3621" s="7"/>
      <c r="K3621" s="30"/>
    </row>
    <row r="3622" spans="1:11" s="2" customFormat="1" x14ac:dyDescent="0.25">
      <c r="A3622" s="28" t="s">
        <v>5993</v>
      </c>
      <c r="B3622" s="29">
        <v>2</v>
      </c>
      <c r="C3622" s="28"/>
      <c r="D3622" s="28" t="s">
        <v>5992</v>
      </c>
      <c r="E3622" s="3"/>
      <c r="H3622" s="7"/>
      <c r="K3622" s="30"/>
    </row>
    <row r="3623" spans="1:11" s="2" customFormat="1" x14ac:dyDescent="0.25">
      <c r="A3623" s="28" t="s">
        <v>5994</v>
      </c>
      <c r="B3623" s="29">
        <v>5</v>
      </c>
      <c r="C3623" s="28"/>
      <c r="D3623" s="28" t="s">
        <v>5992</v>
      </c>
      <c r="E3623" s="3"/>
      <c r="H3623" s="7"/>
      <c r="K3623" s="30"/>
    </row>
    <row r="3624" spans="1:11" s="2" customFormat="1" x14ac:dyDescent="0.25">
      <c r="A3624" s="28" t="s">
        <v>5995</v>
      </c>
      <c r="B3624" s="29">
        <v>14</v>
      </c>
      <c r="C3624" s="28"/>
      <c r="D3624" s="28" t="s">
        <v>5992</v>
      </c>
      <c r="E3624" s="3"/>
      <c r="H3624" s="7"/>
      <c r="K3624" s="30"/>
    </row>
    <row r="3625" spans="1:11" s="2" customFormat="1" x14ac:dyDescent="0.25">
      <c r="A3625" s="28" t="s">
        <v>5996</v>
      </c>
      <c r="B3625" s="29">
        <v>8</v>
      </c>
      <c r="C3625" s="28"/>
      <c r="D3625" s="28" t="s">
        <v>5992</v>
      </c>
      <c r="E3625" s="3"/>
      <c r="H3625" s="7"/>
      <c r="K3625" s="30"/>
    </row>
    <row r="3626" spans="1:11" s="2" customFormat="1" x14ac:dyDescent="0.25">
      <c r="A3626" s="28" t="s">
        <v>5997</v>
      </c>
      <c r="B3626" s="29">
        <v>1</v>
      </c>
      <c r="C3626" s="28"/>
      <c r="D3626" s="28" t="s">
        <v>5992</v>
      </c>
      <c r="E3626" s="3"/>
      <c r="H3626" s="7"/>
      <c r="K3626" s="30"/>
    </row>
    <row r="3627" spans="1:11" s="2" customFormat="1" x14ac:dyDescent="0.25">
      <c r="A3627" s="28" t="s">
        <v>5998</v>
      </c>
      <c r="B3627" s="29">
        <v>10</v>
      </c>
      <c r="C3627" s="28"/>
      <c r="D3627" s="28" t="s">
        <v>5999</v>
      </c>
      <c r="E3627" s="3"/>
      <c r="H3627" s="7"/>
      <c r="K3627" s="30"/>
    </row>
    <row r="3628" spans="1:11" s="2" customFormat="1" x14ac:dyDescent="0.25">
      <c r="A3628" s="28" t="s">
        <v>6000</v>
      </c>
      <c r="B3628" s="29">
        <v>10</v>
      </c>
      <c r="C3628" s="28"/>
      <c r="D3628" s="28" t="s">
        <v>5999</v>
      </c>
      <c r="E3628" s="3"/>
      <c r="H3628" s="7"/>
      <c r="K3628" s="30"/>
    </row>
    <row r="3629" spans="1:11" s="2" customFormat="1" x14ac:dyDescent="0.25">
      <c r="A3629" s="28" t="s">
        <v>6001</v>
      </c>
      <c r="B3629" s="29">
        <v>1</v>
      </c>
      <c r="C3629" s="28"/>
      <c r="D3629" s="28" t="s">
        <v>6002</v>
      </c>
      <c r="E3629" s="3"/>
      <c r="H3629" s="7"/>
      <c r="K3629" s="30"/>
    </row>
    <row r="3630" spans="1:11" s="2" customFormat="1" x14ac:dyDescent="0.25">
      <c r="A3630" s="28" t="s">
        <v>6003</v>
      </c>
      <c r="B3630" s="29">
        <v>15</v>
      </c>
      <c r="C3630" s="28"/>
      <c r="D3630" s="28" t="s">
        <v>6004</v>
      </c>
      <c r="E3630" s="3"/>
      <c r="H3630" s="7"/>
      <c r="K3630" s="30"/>
    </row>
    <row r="3631" spans="1:11" s="2" customFormat="1" x14ac:dyDescent="0.25">
      <c r="A3631" s="28" t="s">
        <v>6005</v>
      </c>
      <c r="B3631" s="29">
        <v>200</v>
      </c>
      <c r="C3631" s="28"/>
      <c r="D3631" s="28" t="s">
        <v>6006</v>
      </c>
      <c r="E3631" s="3"/>
      <c r="H3631" s="7"/>
      <c r="K3631" s="30"/>
    </row>
    <row r="3632" spans="1:11" s="2" customFormat="1" x14ac:dyDescent="0.25">
      <c r="A3632" s="28" t="s">
        <v>6007</v>
      </c>
      <c r="B3632" s="29">
        <v>200</v>
      </c>
      <c r="C3632" s="28"/>
      <c r="D3632" s="28" t="s">
        <v>6006</v>
      </c>
      <c r="E3632" s="3"/>
      <c r="H3632" s="7"/>
      <c r="K3632" s="30"/>
    </row>
    <row r="3633" spans="1:11" s="2" customFormat="1" x14ac:dyDescent="0.25">
      <c r="A3633" s="28" t="s">
        <v>6008</v>
      </c>
      <c r="B3633" s="29">
        <v>7</v>
      </c>
      <c r="C3633" s="28"/>
      <c r="D3633" s="28" t="s">
        <v>6006</v>
      </c>
      <c r="E3633" s="3"/>
      <c r="H3633" s="7"/>
      <c r="K3633" s="30"/>
    </row>
    <row r="3634" spans="1:11" s="2" customFormat="1" x14ac:dyDescent="0.25">
      <c r="A3634" s="28" t="s">
        <v>6009</v>
      </c>
      <c r="B3634" s="29">
        <v>20</v>
      </c>
      <c r="C3634" s="28"/>
      <c r="D3634" s="28" t="s">
        <v>6010</v>
      </c>
      <c r="E3634" s="3"/>
      <c r="H3634" s="7"/>
      <c r="K3634" s="30"/>
    </row>
    <row r="3635" spans="1:11" s="2" customFormat="1" x14ac:dyDescent="0.25">
      <c r="A3635" s="28" t="s">
        <v>6011</v>
      </c>
      <c r="B3635" s="29">
        <v>8</v>
      </c>
      <c r="C3635" s="28"/>
      <c r="D3635" s="28" t="s">
        <v>6010</v>
      </c>
      <c r="E3635" s="3"/>
      <c r="H3635" s="7"/>
      <c r="K3635" s="30"/>
    </row>
    <row r="3636" spans="1:11" s="2" customFormat="1" x14ac:dyDescent="0.25">
      <c r="A3636" s="28" t="s">
        <v>6012</v>
      </c>
      <c r="B3636" s="29">
        <v>18</v>
      </c>
      <c r="C3636" s="28"/>
      <c r="D3636" s="28" t="s">
        <v>6013</v>
      </c>
      <c r="E3636" s="3"/>
      <c r="H3636" s="7"/>
      <c r="K3636" s="30"/>
    </row>
    <row r="3637" spans="1:11" s="2" customFormat="1" x14ac:dyDescent="0.25">
      <c r="A3637" s="28" t="s">
        <v>6014</v>
      </c>
      <c r="B3637" s="29">
        <v>86</v>
      </c>
      <c r="C3637" s="28"/>
      <c r="D3637" s="28" t="s">
        <v>6015</v>
      </c>
      <c r="E3637" s="3"/>
      <c r="H3637" s="7"/>
      <c r="K3637" s="30"/>
    </row>
    <row r="3638" spans="1:11" s="2" customFormat="1" x14ac:dyDescent="0.25">
      <c r="A3638" s="28" t="s">
        <v>6016</v>
      </c>
      <c r="B3638" s="29">
        <v>33</v>
      </c>
      <c r="C3638" s="28"/>
      <c r="D3638" s="28" t="s">
        <v>6015</v>
      </c>
      <c r="E3638" s="3"/>
      <c r="H3638" s="7"/>
      <c r="K3638" s="30"/>
    </row>
    <row r="3639" spans="1:11" s="2" customFormat="1" x14ac:dyDescent="0.25">
      <c r="A3639" s="28" t="s">
        <v>6017</v>
      </c>
      <c r="B3639" s="29">
        <v>5</v>
      </c>
      <c r="C3639" s="28"/>
      <c r="D3639" s="28" t="s">
        <v>6015</v>
      </c>
      <c r="E3639" s="3"/>
      <c r="H3639" s="7"/>
      <c r="K3639" s="30"/>
    </row>
    <row r="3640" spans="1:11" s="2" customFormat="1" x14ac:dyDescent="0.25">
      <c r="A3640" s="28" t="s">
        <v>6018</v>
      </c>
      <c r="B3640" s="29">
        <v>6</v>
      </c>
      <c r="C3640" s="28"/>
      <c r="D3640" s="28" t="s">
        <v>6015</v>
      </c>
      <c r="E3640" s="3"/>
      <c r="H3640" s="7"/>
      <c r="K3640" s="30"/>
    </row>
    <row r="3641" spans="1:11" s="2" customFormat="1" x14ac:dyDescent="0.25">
      <c r="A3641" s="28" t="s">
        <v>6019</v>
      </c>
      <c r="B3641" s="29">
        <v>6</v>
      </c>
      <c r="C3641" s="28"/>
      <c r="D3641" s="28" t="s">
        <v>6015</v>
      </c>
      <c r="E3641" s="3"/>
      <c r="H3641" s="7"/>
      <c r="K3641" s="30"/>
    </row>
    <row r="3642" spans="1:11" s="2" customFormat="1" x14ac:dyDescent="0.25">
      <c r="A3642" s="28" t="s">
        <v>6020</v>
      </c>
      <c r="B3642" s="29">
        <v>7</v>
      </c>
      <c r="C3642" s="28"/>
      <c r="D3642" s="28" t="s">
        <v>6015</v>
      </c>
      <c r="E3642" s="3"/>
      <c r="H3642" s="7"/>
      <c r="K3642" s="30"/>
    </row>
    <row r="3643" spans="1:11" s="2" customFormat="1" x14ac:dyDescent="0.25">
      <c r="A3643" s="28" t="s">
        <v>6021</v>
      </c>
      <c r="B3643" s="29">
        <v>1</v>
      </c>
      <c r="C3643" s="28"/>
      <c r="D3643" s="28" t="s">
        <v>6015</v>
      </c>
      <c r="E3643" s="3"/>
      <c r="H3643" s="7"/>
      <c r="K3643" s="30"/>
    </row>
    <row r="3644" spans="1:11" s="2" customFormat="1" x14ac:dyDescent="0.25">
      <c r="A3644" s="28" t="s">
        <v>6022</v>
      </c>
      <c r="B3644" s="29">
        <v>2</v>
      </c>
      <c r="C3644" s="28"/>
      <c r="D3644" s="28" t="s">
        <v>6023</v>
      </c>
      <c r="E3644" s="3"/>
      <c r="H3644" s="7"/>
      <c r="K3644" s="30"/>
    </row>
    <row r="3645" spans="1:11" s="2" customFormat="1" x14ac:dyDescent="0.25">
      <c r="A3645" s="28" t="s">
        <v>6024</v>
      </c>
      <c r="B3645" s="29">
        <v>3</v>
      </c>
      <c r="C3645" s="28"/>
      <c r="D3645" s="28" t="s">
        <v>6023</v>
      </c>
      <c r="E3645" s="3"/>
      <c r="H3645" s="7"/>
      <c r="K3645" s="30"/>
    </row>
    <row r="3646" spans="1:11" s="2" customFormat="1" x14ac:dyDescent="0.25">
      <c r="A3646" s="28" t="s">
        <v>6025</v>
      </c>
      <c r="B3646" s="29">
        <v>1</v>
      </c>
      <c r="C3646" s="28"/>
      <c r="D3646" s="28" t="s">
        <v>6026</v>
      </c>
      <c r="E3646" s="3"/>
      <c r="H3646" s="7"/>
      <c r="K3646" s="30"/>
    </row>
    <row r="3647" spans="1:11" s="2" customFormat="1" x14ac:dyDescent="0.25">
      <c r="A3647" s="28" t="s">
        <v>6027</v>
      </c>
      <c r="B3647" s="29">
        <v>2</v>
      </c>
      <c r="C3647" s="28"/>
      <c r="D3647" s="28" t="s">
        <v>6028</v>
      </c>
      <c r="E3647" s="3"/>
      <c r="H3647" s="7"/>
      <c r="K3647" s="30"/>
    </row>
    <row r="3648" spans="1:11" s="2" customFormat="1" x14ac:dyDescent="0.25">
      <c r="A3648" s="28" t="s">
        <v>6029</v>
      </c>
      <c r="B3648" s="29">
        <v>2</v>
      </c>
      <c r="C3648" s="28"/>
      <c r="D3648" s="28" t="s">
        <v>6028</v>
      </c>
      <c r="E3648" s="3"/>
      <c r="H3648" s="7"/>
      <c r="K3648" s="30"/>
    </row>
    <row r="3649" spans="1:11" s="2" customFormat="1" x14ac:dyDescent="0.25">
      <c r="A3649" s="28" t="s">
        <v>6030</v>
      </c>
      <c r="B3649" s="29">
        <v>16</v>
      </c>
      <c r="C3649" s="28"/>
      <c r="D3649" s="28" t="s">
        <v>26</v>
      </c>
      <c r="E3649" s="3"/>
      <c r="H3649" s="7"/>
      <c r="K3649" s="30"/>
    </row>
    <row r="3650" spans="1:11" s="2" customFormat="1" x14ac:dyDescent="0.25">
      <c r="A3650" s="28" t="s">
        <v>6031</v>
      </c>
      <c r="B3650" s="29">
        <v>345</v>
      </c>
      <c r="C3650" s="28"/>
      <c r="D3650" s="28" t="s">
        <v>26</v>
      </c>
      <c r="E3650" s="3"/>
      <c r="H3650" s="7"/>
      <c r="K3650" s="30"/>
    </row>
    <row r="3651" spans="1:11" s="2" customFormat="1" x14ac:dyDescent="0.25">
      <c r="A3651" s="28" t="s">
        <v>6032</v>
      </c>
      <c r="B3651" s="29">
        <v>15</v>
      </c>
      <c r="C3651" s="28"/>
      <c r="D3651" s="28" t="s">
        <v>26</v>
      </c>
      <c r="E3651" s="3"/>
      <c r="H3651" s="7"/>
      <c r="K3651" s="30"/>
    </row>
    <row r="3652" spans="1:11" s="2" customFormat="1" x14ac:dyDescent="0.25">
      <c r="A3652" s="28" t="s">
        <v>3496</v>
      </c>
      <c r="B3652" s="29">
        <v>29</v>
      </c>
      <c r="C3652" s="28"/>
      <c r="D3652" s="28" t="s">
        <v>26</v>
      </c>
      <c r="E3652" s="3"/>
      <c r="H3652" s="7"/>
      <c r="K3652" s="30"/>
    </row>
    <row r="3653" spans="1:11" s="2" customFormat="1" x14ac:dyDescent="0.25">
      <c r="A3653" s="28" t="s">
        <v>6033</v>
      </c>
      <c r="B3653" s="29">
        <v>33</v>
      </c>
      <c r="C3653" s="28"/>
      <c r="D3653" s="28" t="s">
        <v>26</v>
      </c>
      <c r="E3653" s="3"/>
      <c r="H3653" s="7"/>
      <c r="K3653" s="30"/>
    </row>
    <row r="3654" spans="1:11" s="2" customFormat="1" x14ac:dyDescent="0.25">
      <c r="A3654" s="28" t="s">
        <v>6034</v>
      </c>
      <c r="B3654" s="29">
        <v>4</v>
      </c>
      <c r="C3654" s="28"/>
      <c r="D3654" s="28" t="s">
        <v>26</v>
      </c>
      <c r="E3654" s="3"/>
      <c r="H3654" s="7"/>
      <c r="K3654" s="30"/>
    </row>
    <row r="3655" spans="1:11" s="2" customFormat="1" x14ac:dyDescent="0.25">
      <c r="A3655" s="28" t="s">
        <v>6035</v>
      </c>
      <c r="B3655" s="29">
        <v>3</v>
      </c>
      <c r="C3655" s="28"/>
      <c r="D3655" s="28" t="s">
        <v>26</v>
      </c>
      <c r="E3655" s="3"/>
      <c r="H3655" s="7"/>
      <c r="K3655" s="30"/>
    </row>
    <row r="3656" spans="1:11" s="2" customFormat="1" x14ac:dyDescent="0.25">
      <c r="A3656" s="28" t="s">
        <v>6036</v>
      </c>
      <c r="B3656" s="29">
        <v>10</v>
      </c>
      <c r="C3656" s="28"/>
      <c r="D3656" s="28" t="s">
        <v>26</v>
      </c>
      <c r="E3656" s="3"/>
      <c r="H3656" s="7"/>
      <c r="K3656" s="30"/>
    </row>
    <row r="3657" spans="1:11" s="2" customFormat="1" x14ac:dyDescent="0.25">
      <c r="A3657" s="28" t="s">
        <v>6037</v>
      </c>
      <c r="B3657" s="29">
        <v>5</v>
      </c>
      <c r="C3657" s="28"/>
      <c r="D3657" s="28" t="s">
        <v>26</v>
      </c>
      <c r="E3657" s="3"/>
      <c r="H3657" s="7"/>
      <c r="K3657" s="30"/>
    </row>
    <row r="3658" spans="1:11" s="2" customFormat="1" x14ac:dyDescent="0.25">
      <c r="A3658" s="28" t="s">
        <v>6038</v>
      </c>
      <c r="B3658" s="29">
        <v>180</v>
      </c>
      <c r="C3658" s="28"/>
      <c r="D3658" s="28" t="s">
        <v>26</v>
      </c>
      <c r="E3658" s="3"/>
      <c r="H3658" s="7"/>
      <c r="K3658" s="30"/>
    </row>
    <row r="3659" spans="1:11" s="2" customFormat="1" x14ac:dyDescent="0.25">
      <c r="A3659" s="28" t="s">
        <v>6039</v>
      </c>
      <c r="B3659" s="29">
        <v>900</v>
      </c>
      <c r="C3659" s="28"/>
      <c r="D3659" s="28" t="s">
        <v>26</v>
      </c>
      <c r="E3659" s="3"/>
      <c r="H3659" s="7"/>
      <c r="K3659" s="30"/>
    </row>
    <row r="3660" spans="1:11" s="2" customFormat="1" x14ac:dyDescent="0.25">
      <c r="A3660" s="28" t="s">
        <v>6040</v>
      </c>
      <c r="B3660" s="29">
        <v>5</v>
      </c>
      <c r="C3660" s="28"/>
      <c r="D3660" s="28" t="s">
        <v>26</v>
      </c>
      <c r="E3660" s="3"/>
      <c r="H3660" s="7"/>
      <c r="K3660" s="30"/>
    </row>
    <row r="3661" spans="1:11" s="2" customFormat="1" x14ac:dyDescent="0.25">
      <c r="A3661" s="28" t="s">
        <v>6041</v>
      </c>
      <c r="B3661" s="29">
        <v>304</v>
      </c>
      <c r="C3661" s="28"/>
      <c r="D3661" s="28" t="s">
        <v>26</v>
      </c>
      <c r="E3661" s="3"/>
      <c r="H3661" s="7"/>
      <c r="K3661" s="30"/>
    </row>
    <row r="3662" spans="1:11" s="2" customFormat="1" x14ac:dyDescent="0.25">
      <c r="A3662" s="28" t="s">
        <v>6042</v>
      </c>
      <c r="B3662" s="29">
        <v>8</v>
      </c>
      <c r="C3662" s="28"/>
      <c r="D3662" s="28" t="s">
        <v>26</v>
      </c>
      <c r="E3662" s="3"/>
      <c r="H3662" s="7"/>
      <c r="K3662" s="30"/>
    </row>
    <row r="3663" spans="1:11" s="2" customFormat="1" x14ac:dyDescent="0.25">
      <c r="A3663" s="28" t="s">
        <v>6043</v>
      </c>
      <c r="B3663" s="29">
        <v>618</v>
      </c>
      <c r="C3663" s="28"/>
      <c r="D3663" s="28" t="s">
        <v>26</v>
      </c>
      <c r="E3663" s="3"/>
      <c r="H3663" s="7"/>
      <c r="K3663" s="30"/>
    </row>
    <row r="3664" spans="1:11" s="2" customFormat="1" x14ac:dyDescent="0.25">
      <c r="A3664" s="28" t="s">
        <v>6044</v>
      </c>
      <c r="B3664" s="29">
        <v>1</v>
      </c>
      <c r="C3664" s="28"/>
      <c r="D3664" s="28" t="s">
        <v>26</v>
      </c>
      <c r="E3664" s="3"/>
      <c r="H3664" s="7"/>
      <c r="K3664" s="30"/>
    </row>
    <row r="3665" spans="1:11" s="2" customFormat="1" x14ac:dyDescent="0.25">
      <c r="A3665" s="28" t="s">
        <v>6045</v>
      </c>
      <c r="B3665" s="29">
        <v>4</v>
      </c>
      <c r="C3665" s="28"/>
      <c r="D3665" s="28" t="s">
        <v>26</v>
      </c>
      <c r="E3665" s="3"/>
      <c r="H3665" s="7"/>
      <c r="K3665" s="30"/>
    </row>
    <row r="3666" spans="1:11" s="2" customFormat="1" x14ac:dyDescent="0.25">
      <c r="A3666" s="28" t="s">
        <v>6046</v>
      </c>
      <c r="B3666" s="29">
        <v>17</v>
      </c>
      <c r="C3666" s="28"/>
      <c r="D3666" s="28" t="s">
        <v>26</v>
      </c>
      <c r="E3666" s="3"/>
      <c r="H3666" s="7"/>
      <c r="K3666" s="30"/>
    </row>
    <row r="3667" spans="1:11" s="2" customFormat="1" x14ac:dyDescent="0.25">
      <c r="A3667" s="28" t="s">
        <v>6047</v>
      </c>
      <c r="B3667" s="29">
        <v>10</v>
      </c>
      <c r="C3667" s="28"/>
      <c r="D3667" s="28" t="s">
        <v>26</v>
      </c>
      <c r="E3667" s="3"/>
      <c r="H3667" s="7"/>
      <c r="K3667" s="30"/>
    </row>
    <row r="3668" spans="1:11" s="2" customFormat="1" x14ac:dyDescent="0.25">
      <c r="A3668" s="28" t="s">
        <v>6048</v>
      </c>
      <c r="B3668" s="29">
        <v>3</v>
      </c>
      <c r="C3668" s="28"/>
      <c r="D3668" s="28" t="s">
        <v>26</v>
      </c>
      <c r="E3668" s="3"/>
      <c r="H3668" s="7"/>
      <c r="K3668" s="30"/>
    </row>
    <row r="3669" spans="1:11" s="2" customFormat="1" x14ac:dyDescent="0.25">
      <c r="A3669" s="28" t="s">
        <v>6049</v>
      </c>
      <c r="B3669" s="29">
        <v>3</v>
      </c>
      <c r="C3669" s="28"/>
      <c r="D3669" s="28" t="s">
        <v>26</v>
      </c>
      <c r="E3669" s="3"/>
      <c r="H3669" s="7"/>
      <c r="K3669" s="30"/>
    </row>
    <row r="3670" spans="1:11" s="2" customFormat="1" x14ac:dyDescent="0.25">
      <c r="A3670" s="28" t="s">
        <v>6050</v>
      </c>
      <c r="B3670" s="29">
        <v>15</v>
      </c>
      <c r="C3670" s="28"/>
      <c r="D3670" s="28" t="s">
        <v>26</v>
      </c>
      <c r="E3670" s="3"/>
      <c r="H3670" s="7"/>
      <c r="K3670" s="30"/>
    </row>
    <row r="3671" spans="1:11" s="2" customFormat="1" x14ac:dyDescent="0.25">
      <c r="A3671" s="28" t="s">
        <v>6051</v>
      </c>
      <c r="B3671" s="29">
        <v>5</v>
      </c>
      <c r="C3671" s="28"/>
      <c r="D3671" s="28" t="s">
        <v>26</v>
      </c>
      <c r="E3671" s="3"/>
      <c r="H3671" s="7"/>
      <c r="K3671" s="30"/>
    </row>
    <row r="3672" spans="1:11" s="2" customFormat="1" x14ac:dyDescent="0.25">
      <c r="A3672" s="28" t="s">
        <v>6052</v>
      </c>
      <c r="B3672" s="29">
        <v>1</v>
      </c>
      <c r="C3672" s="28"/>
      <c r="D3672" s="28" t="s">
        <v>26</v>
      </c>
      <c r="E3672" s="3"/>
      <c r="H3672" s="7"/>
      <c r="K3672" s="30"/>
    </row>
    <row r="3673" spans="1:11" s="2" customFormat="1" x14ac:dyDescent="0.25">
      <c r="A3673" s="28" t="s">
        <v>6053</v>
      </c>
      <c r="B3673" s="29">
        <v>10</v>
      </c>
      <c r="C3673" s="28"/>
      <c r="D3673" s="28" t="s">
        <v>26</v>
      </c>
      <c r="E3673" s="3"/>
      <c r="H3673" s="7"/>
      <c r="K3673" s="30"/>
    </row>
    <row r="3674" spans="1:11" s="2" customFormat="1" x14ac:dyDescent="0.25">
      <c r="A3674" s="28" t="s">
        <v>6054</v>
      </c>
      <c r="B3674" s="29">
        <v>25</v>
      </c>
      <c r="C3674" s="28"/>
      <c r="D3674" s="28" t="s">
        <v>26</v>
      </c>
      <c r="E3674" s="3"/>
      <c r="H3674" s="7"/>
      <c r="K3674" s="30"/>
    </row>
    <row r="3675" spans="1:11" s="2" customFormat="1" x14ac:dyDescent="0.25">
      <c r="A3675" s="28" t="s">
        <v>6055</v>
      </c>
      <c r="B3675" s="29">
        <v>7</v>
      </c>
      <c r="C3675" s="28"/>
      <c r="D3675" s="28" t="s">
        <v>26</v>
      </c>
      <c r="E3675" s="3"/>
      <c r="H3675" s="7"/>
      <c r="K3675" s="30"/>
    </row>
    <row r="3676" spans="1:11" s="2" customFormat="1" x14ac:dyDescent="0.25">
      <c r="A3676" s="28" t="s">
        <v>6056</v>
      </c>
      <c r="B3676" s="29">
        <v>8</v>
      </c>
      <c r="C3676" s="28"/>
      <c r="D3676" s="28" t="s">
        <v>26</v>
      </c>
      <c r="E3676" s="3"/>
      <c r="H3676" s="7"/>
      <c r="K3676" s="30"/>
    </row>
    <row r="3677" spans="1:11" s="2" customFormat="1" x14ac:dyDescent="0.25">
      <c r="A3677" s="28" t="s">
        <v>6057</v>
      </c>
      <c r="B3677" s="29">
        <v>2</v>
      </c>
      <c r="C3677" s="28"/>
      <c r="D3677" s="28" t="s">
        <v>26</v>
      </c>
      <c r="E3677" s="3"/>
      <c r="H3677" s="7"/>
      <c r="K3677" s="30"/>
    </row>
    <row r="3678" spans="1:11" s="2" customFormat="1" x14ac:dyDescent="0.25">
      <c r="A3678" s="28" t="s">
        <v>6058</v>
      </c>
      <c r="B3678" s="29">
        <v>8</v>
      </c>
      <c r="C3678" s="28"/>
      <c r="D3678" s="28" t="s">
        <v>26</v>
      </c>
      <c r="E3678" s="3"/>
      <c r="H3678" s="7"/>
      <c r="K3678" s="30"/>
    </row>
    <row r="3679" spans="1:11" s="2" customFormat="1" x14ac:dyDescent="0.25">
      <c r="A3679" s="28" t="s">
        <v>6059</v>
      </c>
      <c r="B3679" s="29">
        <v>7</v>
      </c>
      <c r="C3679" s="28"/>
      <c r="D3679" s="28" t="s">
        <v>26</v>
      </c>
      <c r="E3679" s="3"/>
      <c r="H3679" s="7"/>
      <c r="K3679" s="30"/>
    </row>
    <row r="3680" spans="1:11" s="2" customFormat="1" x14ac:dyDescent="0.25">
      <c r="A3680" s="28" t="s">
        <v>6060</v>
      </c>
      <c r="B3680" s="29">
        <v>2</v>
      </c>
      <c r="C3680" s="28"/>
      <c r="D3680" s="28" t="s">
        <v>26</v>
      </c>
      <c r="E3680" s="3"/>
      <c r="H3680" s="7"/>
      <c r="K3680" s="30"/>
    </row>
    <row r="3681" spans="1:11" s="2" customFormat="1" x14ac:dyDescent="0.25">
      <c r="A3681" s="28" t="s">
        <v>6061</v>
      </c>
      <c r="B3681" s="29">
        <v>2</v>
      </c>
      <c r="C3681" s="28"/>
      <c r="D3681" s="28" t="s">
        <v>26</v>
      </c>
      <c r="E3681" s="3"/>
      <c r="H3681" s="7"/>
      <c r="K3681" s="30"/>
    </row>
    <row r="3682" spans="1:11" s="2" customFormat="1" x14ac:dyDescent="0.25">
      <c r="A3682" s="28" t="s">
        <v>6062</v>
      </c>
      <c r="B3682" s="29">
        <v>25</v>
      </c>
      <c r="C3682" s="28"/>
      <c r="D3682" s="28" t="s">
        <v>26</v>
      </c>
      <c r="E3682" s="3"/>
      <c r="H3682" s="7"/>
      <c r="K3682" s="30"/>
    </row>
    <row r="3683" spans="1:11" s="2" customFormat="1" x14ac:dyDescent="0.25">
      <c r="A3683" s="28" t="s">
        <v>6063</v>
      </c>
      <c r="B3683" s="29">
        <v>7</v>
      </c>
      <c r="C3683" s="28"/>
      <c r="D3683" s="28" t="s">
        <v>26</v>
      </c>
      <c r="E3683" s="3"/>
      <c r="H3683" s="7"/>
      <c r="K3683" s="30"/>
    </row>
    <row r="3684" spans="1:11" s="2" customFormat="1" x14ac:dyDescent="0.25">
      <c r="A3684" s="28" t="s">
        <v>6064</v>
      </c>
      <c r="B3684" s="29">
        <v>4</v>
      </c>
      <c r="C3684" s="28"/>
      <c r="D3684" s="28" t="s">
        <v>26</v>
      </c>
      <c r="E3684" s="3"/>
      <c r="H3684" s="7"/>
      <c r="K3684" s="30"/>
    </row>
    <row r="3685" spans="1:11" s="2" customFormat="1" x14ac:dyDescent="0.25">
      <c r="A3685" s="28" t="s">
        <v>6065</v>
      </c>
      <c r="B3685" s="29">
        <v>1</v>
      </c>
      <c r="C3685" s="28"/>
      <c r="D3685" s="28" t="s">
        <v>26</v>
      </c>
      <c r="E3685" s="3"/>
      <c r="H3685" s="7"/>
      <c r="K3685" s="30"/>
    </row>
    <row r="3686" spans="1:11" s="2" customFormat="1" x14ac:dyDescent="0.25">
      <c r="A3686" s="28" t="s">
        <v>6066</v>
      </c>
      <c r="B3686" s="29">
        <v>3</v>
      </c>
      <c r="C3686" s="28"/>
      <c r="D3686" s="28" t="s">
        <v>6067</v>
      </c>
      <c r="E3686" s="3"/>
      <c r="H3686" s="7"/>
      <c r="K3686" s="30"/>
    </row>
    <row r="3687" spans="1:11" s="2" customFormat="1" x14ac:dyDescent="0.25">
      <c r="A3687" s="28" t="s">
        <v>6068</v>
      </c>
      <c r="B3687" s="29">
        <v>3</v>
      </c>
      <c r="C3687" s="28"/>
      <c r="D3687" s="28" t="s">
        <v>6069</v>
      </c>
      <c r="E3687" s="3"/>
      <c r="H3687" s="7"/>
      <c r="K3687" s="30"/>
    </row>
    <row r="3688" spans="1:11" s="2" customFormat="1" x14ac:dyDescent="0.25">
      <c r="A3688" s="28" t="s">
        <v>6070</v>
      </c>
      <c r="B3688" s="29">
        <v>21</v>
      </c>
      <c r="C3688" s="28"/>
      <c r="D3688" s="28" t="s">
        <v>6071</v>
      </c>
      <c r="E3688" s="3"/>
      <c r="H3688" s="7"/>
      <c r="K3688" s="30"/>
    </row>
    <row r="3689" spans="1:11" s="2" customFormat="1" x14ac:dyDescent="0.25">
      <c r="A3689" s="28" t="s">
        <v>6072</v>
      </c>
      <c r="B3689" s="29">
        <v>16</v>
      </c>
      <c r="C3689" s="28"/>
      <c r="D3689" s="28" t="s">
        <v>6071</v>
      </c>
      <c r="E3689" s="3"/>
      <c r="H3689" s="7"/>
      <c r="K3689" s="30"/>
    </row>
    <row r="3690" spans="1:11" s="2" customFormat="1" x14ac:dyDescent="0.25">
      <c r="A3690" s="28" t="s">
        <v>6073</v>
      </c>
      <c r="B3690" s="29">
        <v>61</v>
      </c>
      <c r="C3690" s="28"/>
      <c r="D3690" s="28" t="s">
        <v>6071</v>
      </c>
      <c r="E3690" s="3"/>
      <c r="H3690" s="7"/>
      <c r="K3690" s="30"/>
    </row>
    <row r="3691" spans="1:11" s="2" customFormat="1" x14ac:dyDescent="0.25">
      <c r="A3691" s="28" t="s">
        <v>6074</v>
      </c>
      <c r="B3691" s="29">
        <v>2</v>
      </c>
      <c r="C3691" s="28"/>
      <c r="D3691" s="28" t="s">
        <v>6071</v>
      </c>
      <c r="E3691" s="3"/>
      <c r="H3691" s="7"/>
      <c r="K3691" s="30"/>
    </row>
    <row r="3692" spans="1:11" s="2" customFormat="1" x14ac:dyDescent="0.25">
      <c r="A3692" s="28" t="s">
        <v>6075</v>
      </c>
      <c r="B3692" s="29">
        <v>6</v>
      </c>
      <c r="C3692" s="28"/>
      <c r="D3692" s="28" t="s">
        <v>6076</v>
      </c>
      <c r="E3692" s="3"/>
      <c r="H3692" s="7"/>
      <c r="K3692" s="30"/>
    </row>
    <row r="3693" spans="1:11" s="2" customFormat="1" x14ac:dyDescent="0.25">
      <c r="A3693" s="28" t="s">
        <v>6077</v>
      </c>
      <c r="B3693" s="29">
        <v>5</v>
      </c>
      <c r="C3693" s="28"/>
      <c r="D3693" s="28" t="s">
        <v>6076</v>
      </c>
      <c r="E3693" s="3"/>
      <c r="H3693" s="7"/>
      <c r="K3693" s="30"/>
    </row>
    <row r="3694" spans="1:11" s="2" customFormat="1" x14ac:dyDescent="0.25">
      <c r="A3694" s="28" t="s">
        <v>6078</v>
      </c>
      <c r="B3694" s="29">
        <v>1</v>
      </c>
      <c r="C3694" s="28"/>
      <c r="D3694" s="28" t="s">
        <v>6076</v>
      </c>
      <c r="E3694" s="3"/>
      <c r="H3694" s="7"/>
      <c r="K3694" s="30"/>
    </row>
    <row r="3695" spans="1:11" s="2" customFormat="1" x14ac:dyDescent="0.25">
      <c r="A3695" s="28" t="s">
        <v>6079</v>
      </c>
      <c r="B3695" s="29">
        <v>100</v>
      </c>
      <c r="C3695" s="28"/>
      <c r="D3695" s="28" t="s">
        <v>6080</v>
      </c>
      <c r="E3695" s="3"/>
      <c r="H3695" s="7"/>
      <c r="K3695" s="30"/>
    </row>
    <row r="3696" spans="1:11" s="2" customFormat="1" x14ac:dyDescent="0.25">
      <c r="A3696" s="28" t="s">
        <v>6081</v>
      </c>
      <c r="B3696" s="29">
        <v>7</v>
      </c>
      <c r="C3696" s="28"/>
      <c r="D3696" s="28" t="s">
        <v>6080</v>
      </c>
      <c r="E3696" s="3"/>
      <c r="H3696" s="7"/>
      <c r="K3696" s="30"/>
    </row>
    <row r="3697" spans="1:11" s="2" customFormat="1" x14ac:dyDescent="0.25">
      <c r="A3697" s="28" t="s">
        <v>6082</v>
      </c>
      <c r="B3697" s="29">
        <v>13</v>
      </c>
      <c r="C3697" s="28"/>
      <c r="D3697" s="28" t="s">
        <v>6083</v>
      </c>
      <c r="E3697" s="3"/>
      <c r="H3697" s="7"/>
      <c r="K3697" s="30"/>
    </row>
    <row r="3698" spans="1:11" s="2" customFormat="1" x14ac:dyDescent="0.25">
      <c r="A3698" s="28" t="s">
        <v>6084</v>
      </c>
      <c r="B3698" s="29">
        <v>9</v>
      </c>
      <c r="C3698" s="28"/>
      <c r="D3698" s="28" t="s">
        <v>6085</v>
      </c>
      <c r="E3698" s="3"/>
      <c r="H3698" s="7"/>
      <c r="K3698" s="30"/>
    </row>
    <row r="3699" spans="1:11" s="2" customFormat="1" x14ac:dyDescent="0.25">
      <c r="A3699" s="28" t="s">
        <v>6086</v>
      </c>
      <c r="B3699" s="29">
        <v>2</v>
      </c>
      <c r="C3699" s="28"/>
      <c r="D3699" s="28" t="s">
        <v>6085</v>
      </c>
      <c r="E3699" s="3"/>
      <c r="H3699" s="7"/>
      <c r="K3699" s="30"/>
    </row>
    <row r="3700" spans="1:11" s="2" customFormat="1" x14ac:dyDescent="0.25">
      <c r="A3700" s="28" t="s">
        <v>6087</v>
      </c>
      <c r="B3700" s="29">
        <v>3</v>
      </c>
      <c r="C3700" s="28"/>
      <c r="D3700" s="28" t="s">
        <v>6085</v>
      </c>
      <c r="E3700" s="3"/>
      <c r="H3700" s="7"/>
      <c r="K3700" s="30"/>
    </row>
    <row r="3701" spans="1:11" s="2" customFormat="1" x14ac:dyDescent="0.25">
      <c r="A3701" s="28" t="s">
        <v>6088</v>
      </c>
      <c r="B3701" s="29">
        <v>1</v>
      </c>
      <c r="C3701" s="28"/>
      <c r="D3701" s="28" t="s">
        <v>6089</v>
      </c>
      <c r="E3701" s="3"/>
      <c r="H3701" s="7"/>
      <c r="K3701" s="30"/>
    </row>
    <row r="3702" spans="1:11" s="2" customFormat="1" x14ac:dyDescent="0.25">
      <c r="A3702" s="28" t="s">
        <v>6090</v>
      </c>
      <c r="B3702" s="29">
        <v>4</v>
      </c>
      <c r="C3702" s="28"/>
      <c r="D3702" s="28" t="s">
        <v>6089</v>
      </c>
      <c r="E3702" s="3"/>
      <c r="H3702" s="7"/>
      <c r="K3702" s="30"/>
    </row>
    <row r="3703" spans="1:11" s="2" customFormat="1" x14ac:dyDescent="0.25">
      <c r="A3703" s="28" t="s">
        <v>6091</v>
      </c>
      <c r="B3703" s="29">
        <v>1</v>
      </c>
      <c r="C3703" s="28"/>
      <c r="D3703" s="28" t="s">
        <v>6089</v>
      </c>
      <c r="E3703" s="3"/>
      <c r="H3703" s="7"/>
      <c r="K3703" s="30"/>
    </row>
    <row r="3704" spans="1:11" s="2" customFormat="1" x14ac:dyDescent="0.25">
      <c r="A3704" s="28" t="s">
        <v>6092</v>
      </c>
      <c r="B3704" s="29">
        <v>1</v>
      </c>
      <c r="C3704" s="28"/>
      <c r="D3704" s="28" t="s">
        <v>6089</v>
      </c>
      <c r="E3704" s="3"/>
      <c r="H3704" s="7"/>
      <c r="K3704" s="30"/>
    </row>
    <row r="3705" spans="1:11" s="2" customFormat="1" x14ac:dyDescent="0.25">
      <c r="A3705" s="28" t="s">
        <v>6093</v>
      </c>
      <c r="B3705" s="29">
        <v>5</v>
      </c>
      <c r="C3705" s="28"/>
      <c r="D3705" s="28" t="s">
        <v>6094</v>
      </c>
      <c r="E3705" s="3"/>
      <c r="H3705" s="7"/>
      <c r="K3705" s="30"/>
    </row>
    <row r="3706" spans="1:11" s="2" customFormat="1" x14ac:dyDescent="0.25">
      <c r="A3706" s="28" t="s">
        <v>6095</v>
      </c>
      <c r="B3706" s="29">
        <v>13</v>
      </c>
      <c r="C3706" s="28"/>
      <c r="D3706" s="28" t="s">
        <v>6094</v>
      </c>
      <c r="E3706" s="3"/>
      <c r="H3706" s="7"/>
      <c r="K3706" s="30"/>
    </row>
    <row r="3707" spans="1:11" s="2" customFormat="1" x14ac:dyDescent="0.25">
      <c r="A3707" s="28" t="s">
        <v>6096</v>
      </c>
      <c r="B3707" s="29">
        <v>4</v>
      </c>
      <c r="C3707" s="28"/>
      <c r="D3707" s="28" t="s">
        <v>6097</v>
      </c>
      <c r="E3707" s="3"/>
      <c r="H3707" s="7"/>
      <c r="K3707" s="30"/>
    </row>
    <row r="3708" spans="1:11" s="2" customFormat="1" x14ac:dyDescent="0.25">
      <c r="A3708" s="28" t="s">
        <v>1269</v>
      </c>
      <c r="B3708" s="29">
        <v>13</v>
      </c>
      <c r="C3708" s="28"/>
      <c r="D3708" s="28" t="s">
        <v>6097</v>
      </c>
      <c r="E3708" s="3"/>
      <c r="H3708" s="7"/>
      <c r="K3708" s="30"/>
    </row>
    <row r="3709" spans="1:11" s="2" customFormat="1" x14ac:dyDescent="0.25">
      <c r="A3709" s="28" t="s">
        <v>6098</v>
      </c>
      <c r="B3709" s="29">
        <v>15</v>
      </c>
      <c r="C3709" s="28"/>
      <c r="D3709" s="28" t="s">
        <v>6097</v>
      </c>
      <c r="E3709" s="3"/>
      <c r="H3709" s="7"/>
      <c r="K3709" s="30"/>
    </row>
    <row r="3710" spans="1:11" s="2" customFormat="1" x14ac:dyDescent="0.25">
      <c r="A3710" s="28" t="s">
        <v>6099</v>
      </c>
      <c r="B3710" s="29">
        <v>17</v>
      </c>
      <c r="C3710" s="28"/>
      <c r="D3710" s="28" t="s">
        <v>6097</v>
      </c>
      <c r="E3710" s="3"/>
      <c r="H3710" s="7"/>
      <c r="K3710" s="30"/>
    </row>
    <row r="3711" spans="1:11" s="2" customFormat="1" x14ac:dyDescent="0.25">
      <c r="A3711" s="28" t="s">
        <v>6100</v>
      </c>
      <c r="B3711" s="29">
        <v>138</v>
      </c>
      <c r="C3711" s="28"/>
      <c r="D3711" s="28" t="s">
        <v>1401</v>
      </c>
      <c r="E3711" s="3"/>
      <c r="H3711" s="7"/>
      <c r="K3711" s="30"/>
    </row>
    <row r="3712" spans="1:11" s="2" customFormat="1" x14ac:dyDescent="0.25">
      <c r="A3712" s="28" t="s">
        <v>6101</v>
      </c>
      <c r="B3712" s="29">
        <v>124</v>
      </c>
      <c r="C3712" s="28"/>
      <c r="D3712" s="28" t="s">
        <v>1401</v>
      </c>
      <c r="E3712" s="3"/>
      <c r="H3712" s="7"/>
      <c r="K3712" s="30"/>
    </row>
    <row r="3713" spans="1:11" s="2" customFormat="1" x14ac:dyDescent="0.25">
      <c r="A3713" s="28" t="s">
        <v>6102</v>
      </c>
      <c r="B3713" s="29">
        <v>50</v>
      </c>
      <c r="C3713" s="28"/>
      <c r="D3713" s="28" t="s">
        <v>1401</v>
      </c>
      <c r="E3713" s="3"/>
      <c r="H3713" s="7"/>
      <c r="K3713" s="30"/>
    </row>
    <row r="3714" spans="1:11" s="2" customFormat="1" x14ac:dyDescent="0.25">
      <c r="A3714" s="28" t="s">
        <v>6103</v>
      </c>
      <c r="B3714" s="29">
        <v>20</v>
      </c>
      <c r="C3714" s="28"/>
      <c r="D3714" s="28" t="s">
        <v>1401</v>
      </c>
      <c r="E3714" s="3"/>
      <c r="H3714" s="7"/>
      <c r="K3714" s="30"/>
    </row>
    <row r="3715" spans="1:11" s="2" customFormat="1" x14ac:dyDescent="0.25">
      <c r="A3715" s="28" t="s">
        <v>6104</v>
      </c>
      <c r="B3715" s="29">
        <v>10</v>
      </c>
      <c r="C3715" s="28"/>
      <c r="D3715" s="28" t="s">
        <v>1401</v>
      </c>
      <c r="E3715" s="3"/>
      <c r="H3715" s="7"/>
      <c r="K3715" s="30"/>
    </row>
    <row r="3716" spans="1:11" s="2" customFormat="1" x14ac:dyDescent="0.25">
      <c r="A3716" s="28" t="s">
        <v>6105</v>
      </c>
      <c r="B3716" s="29">
        <v>46</v>
      </c>
      <c r="C3716" s="28"/>
      <c r="D3716" s="28" t="s">
        <v>1401</v>
      </c>
      <c r="E3716" s="3"/>
      <c r="H3716" s="7"/>
      <c r="K3716" s="30"/>
    </row>
    <row r="3717" spans="1:11" s="2" customFormat="1" x14ac:dyDescent="0.25">
      <c r="A3717" s="28" t="s">
        <v>6106</v>
      </c>
      <c r="B3717" s="29">
        <v>15</v>
      </c>
      <c r="C3717" s="28"/>
      <c r="D3717" s="28" t="s">
        <v>6107</v>
      </c>
      <c r="E3717" s="3"/>
      <c r="H3717" s="7"/>
      <c r="K3717" s="30"/>
    </row>
    <row r="3718" spans="1:11" s="2" customFormat="1" x14ac:dyDescent="0.25">
      <c r="A3718" s="28" t="s">
        <v>6108</v>
      </c>
      <c r="B3718" s="29">
        <v>2996</v>
      </c>
      <c r="C3718" s="28"/>
      <c r="D3718" s="28" t="s">
        <v>366</v>
      </c>
      <c r="E3718" s="3"/>
      <c r="H3718" s="7"/>
      <c r="K3718" s="30"/>
    </row>
    <row r="3719" spans="1:11" s="2" customFormat="1" x14ac:dyDescent="0.25">
      <c r="A3719" s="28" t="s">
        <v>6109</v>
      </c>
      <c r="B3719" s="29">
        <v>3397</v>
      </c>
      <c r="C3719" s="28"/>
      <c r="D3719" s="28" t="s">
        <v>366</v>
      </c>
      <c r="E3719" s="3"/>
      <c r="H3719" s="7"/>
      <c r="K3719" s="30"/>
    </row>
    <row r="3720" spans="1:11" s="2" customFormat="1" x14ac:dyDescent="0.25">
      <c r="A3720" s="28" t="s">
        <v>6110</v>
      </c>
      <c r="B3720" s="29">
        <v>3117</v>
      </c>
      <c r="C3720" s="28"/>
      <c r="D3720" s="28" t="s">
        <v>366</v>
      </c>
      <c r="E3720" s="3"/>
      <c r="H3720" s="7"/>
      <c r="K3720" s="30"/>
    </row>
    <row r="3721" spans="1:11" s="2" customFormat="1" x14ac:dyDescent="0.25">
      <c r="A3721" s="28" t="s">
        <v>6111</v>
      </c>
      <c r="B3721" s="29">
        <v>3640</v>
      </c>
      <c r="C3721" s="28"/>
      <c r="D3721" s="28" t="s">
        <v>366</v>
      </c>
      <c r="E3721" s="3"/>
      <c r="H3721" s="7"/>
      <c r="K3721" s="30"/>
    </row>
    <row r="3722" spans="1:11" s="2" customFormat="1" x14ac:dyDescent="0.25">
      <c r="A3722" s="28" t="s">
        <v>6112</v>
      </c>
      <c r="B3722" s="29">
        <v>3737</v>
      </c>
      <c r="C3722" s="28"/>
      <c r="D3722" s="28" t="s">
        <v>366</v>
      </c>
      <c r="E3722" s="3"/>
      <c r="H3722" s="7"/>
      <c r="K3722" s="30"/>
    </row>
    <row r="3723" spans="1:11" s="2" customFormat="1" x14ac:dyDescent="0.25">
      <c r="A3723" s="28" t="s">
        <v>6113</v>
      </c>
      <c r="B3723" s="29">
        <v>378</v>
      </c>
      <c r="C3723" s="28"/>
      <c r="D3723" s="28" t="s">
        <v>366</v>
      </c>
      <c r="E3723" s="3"/>
      <c r="H3723" s="7"/>
      <c r="K3723" s="30"/>
    </row>
    <row r="3724" spans="1:11" s="2" customFormat="1" x14ac:dyDescent="0.25">
      <c r="A3724" s="28" t="s">
        <v>6114</v>
      </c>
      <c r="B3724" s="29">
        <v>303</v>
      </c>
      <c r="C3724" s="28"/>
      <c r="D3724" s="28" t="s">
        <v>366</v>
      </c>
      <c r="E3724" s="3"/>
      <c r="H3724" s="7"/>
      <c r="K3724" s="30"/>
    </row>
    <row r="3725" spans="1:11" s="2" customFormat="1" x14ac:dyDescent="0.25">
      <c r="A3725" s="28" t="s">
        <v>6115</v>
      </c>
      <c r="B3725" s="29">
        <v>796</v>
      </c>
      <c r="C3725" s="28"/>
      <c r="D3725" s="28" t="s">
        <v>366</v>
      </c>
      <c r="E3725" s="3"/>
      <c r="H3725" s="7"/>
      <c r="K3725" s="30"/>
    </row>
    <row r="3726" spans="1:11" s="2" customFormat="1" x14ac:dyDescent="0.25">
      <c r="A3726" s="28" t="s">
        <v>6116</v>
      </c>
      <c r="B3726" s="29">
        <v>457</v>
      </c>
      <c r="C3726" s="28"/>
      <c r="D3726" s="28" t="s">
        <v>366</v>
      </c>
      <c r="E3726" s="3"/>
      <c r="H3726" s="7"/>
      <c r="K3726" s="30"/>
    </row>
    <row r="3727" spans="1:11" s="2" customFormat="1" x14ac:dyDescent="0.25">
      <c r="A3727" s="28" t="s">
        <v>6117</v>
      </c>
      <c r="B3727" s="29">
        <v>745</v>
      </c>
      <c r="C3727" s="28"/>
      <c r="D3727" s="28" t="s">
        <v>366</v>
      </c>
      <c r="E3727" s="3"/>
      <c r="H3727" s="7"/>
      <c r="K3727" s="30"/>
    </row>
    <row r="3728" spans="1:11" s="2" customFormat="1" x14ac:dyDescent="0.25">
      <c r="A3728" s="28" t="s">
        <v>6118</v>
      </c>
      <c r="B3728" s="29">
        <v>90</v>
      </c>
      <c r="C3728" s="28"/>
      <c r="D3728" s="28" t="s">
        <v>366</v>
      </c>
      <c r="E3728" s="3"/>
      <c r="H3728" s="7"/>
      <c r="K3728" s="30"/>
    </row>
    <row r="3729" spans="1:11" s="2" customFormat="1" x14ac:dyDescent="0.25">
      <c r="A3729" s="28" t="s">
        <v>6119</v>
      </c>
      <c r="B3729" s="29">
        <v>70</v>
      </c>
      <c r="C3729" s="28"/>
      <c r="D3729" s="28" t="s">
        <v>366</v>
      </c>
      <c r="E3729" s="3"/>
      <c r="H3729" s="7"/>
      <c r="K3729" s="30"/>
    </row>
    <row r="3730" spans="1:11" s="2" customFormat="1" x14ac:dyDescent="0.25">
      <c r="A3730" s="28" t="s">
        <v>6120</v>
      </c>
      <c r="B3730" s="29">
        <v>78</v>
      </c>
      <c r="C3730" s="28"/>
      <c r="D3730" s="28" t="s">
        <v>366</v>
      </c>
      <c r="E3730" s="3"/>
      <c r="H3730" s="7"/>
      <c r="K3730" s="30"/>
    </row>
    <row r="3731" spans="1:11" s="2" customFormat="1" x14ac:dyDescent="0.25">
      <c r="A3731" s="28" t="s">
        <v>6121</v>
      </c>
      <c r="B3731" s="29">
        <v>2</v>
      </c>
      <c r="C3731" s="28"/>
      <c r="D3731" s="28" t="s">
        <v>366</v>
      </c>
      <c r="E3731" s="3"/>
      <c r="H3731" s="7"/>
      <c r="K3731" s="30"/>
    </row>
    <row r="3732" spans="1:11" s="2" customFormat="1" x14ac:dyDescent="0.25">
      <c r="A3732" s="28" t="s">
        <v>6122</v>
      </c>
      <c r="B3732" s="29">
        <v>2</v>
      </c>
      <c r="C3732" s="28"/>
      <c r="D3732" s="28" t="s">
        <v>366</v>
      </c>
      <c r="E3732" s="3"/>
      <c r="H3732" s="7"/>
      <c r="K3732" s="30"/>
    </row>
    <row r="3733" spans="1:11" s="2" customFormat="1" x14ac:dyDescent="0.25">
      <c r="A3733" s="28" t="s">
        <v>6123</v>
      </c>
      <c r="B3733" s="29">
        <v>181</v>
      </c>
      <c r="C3733" s="28"/>
      <c r="D3733" s="28" t="s">
        <v>366</v>
      </c>
      <c r="E3733" s="3"/>
      <c r="H3733" s="7"/>
      <c r="K3733" s="30"/>
    </row>
    <row r="3734" spans="1:11" s="2" customFormat="1" x14ac:dyDescent="0.25">
      <c r="A3734" s="28" t="s">
        <v>6124</v>
      </c>
      <c r="B3734" s="29">
        <v>278</v>
      </c>
      <c r="C3734" s="28"/>
      <c r="D3734" s="28" t="s">
        <v>366</v>
      </c>
      <c r="E3734" s="3"/>
      <c r="H3734" s="7"/>
      <c r="K3734" s="30"/>
    </row>
    <row r="3735" spans="1:11" s="2" customFormat="1" x14ac:dyDescent="0.25">
      <c r="A3735" s="28" t="s">
        <v>6125</v>
      </c>
      <c r="B3735" s="29">
        <v>153</v>
      </c>
      <c r="C3735" s="28"/>
      <c r="D3735" s="28" t="s">
        <v>366</v>
      </c>
      <c r="E3735" s="3"/>
      <c r="H3735" s="7"/>
      <c r="K3735" s="30"/>
    </row>
    <row r="3736" spans="1:11" s="2" customFormat="1" x14ac:dyDescent="0.25">
      <c r="A3736" s="28" t="s">
        <v>6126</v>
      </c>
      <c r="B3736" s="29">
        <v>65</v>
      </c>
      <c r="C3736" s="28"/>
      <c r="D3736" s="28" t="s">
        <v>366</v>
      </c>
      <c r="E3736" s="3"/>
      <c r="H3736" s="7"/>
      <c r="K3736" s="30"/>
    </row>
    <row r="3737" spans="1:11" s="2" customFormat="1" x14ac:dyDescent="0.25">
      <c r="A3737" s="28" t="s">
        <v>6127</v>
      </c>
      <c r="B3737" s="29">
        <v>19</v>
      </c>
      <c r="C3737" s="28"/>
      <c r="D3737" s="28" t="s">
        <v>366</v>
      </c>
      <c r="E3737" s="3"/>
      <c r="H3737" s="7"/>
      <c r="K3737" s="30"/>
    </row>
    <row r="3738" spans="1:11" s="2" customFormat="1" x14ac:dyDescent="0.25">
      <c r="A3738" s="28" t="s">
        <v>6128</v>
      </c>
      <c r="B3738" s="29">
        <v>48</v>
      </c>
      <c r="C3738" s="28"/>
      <c r="D3738" s="28" t="s">
        <v>366</v>
      </c>
      <c r="E3738" s="3"/>
      <c r="H3738" s="7"/>
      <c r="K3738" s="30"/>
    </row>
    <row r="3739" spans="1:11" s="2" customFormat="1" x14ac:dyDescent="0.25">
      <c r="A3739" s="28" t="s">
        <v>6129</v>
      </c>
      <c r="B3739" s="29">
        <v>4</v>
      </c>
      <c r="C3739" s="28"/>
      <c r="D3739" s="28" t="s">
        <v>366</v>
      </c>
      <c r="E3739" s="3"/>
      <c r="H3739" s="7"/>
      <c r="K3739" s="30"/>
    </row>
    <row r="3740" spans="1:11" s="2" customFormat="1" x14ac:dyDescent="0.25">
      <c r="A3740" s="28" t="s">
        <v>6130</v>
      </c>
      <c r="B3740" s="29">
        <v>20</v>
      </c>
      <c r="C3740" s="28"/>
      <c r="D3740" s="28" t="s">
        <v>366</v>
      </c>
      <c r="E3740" s="3"/>
      <c r="H3740" s="7"/>
      <c r="K3740" s="30"/>
    </row>
    <row r="3741" spans="1:11" s="2" customFormat="1" x14ac:dyDescent="0.25">
      <c r="A3741" s="28" t="s">
        <v>6131</v>
      </c>
      <c r="B3741" s="29">
        <v>298</v>
      </c>
      <c r="C3741" s="28"/>
      <c r="D3741" s="28" t="s">
        <v>366</v>
      </c>
      <c r="E3741" s="3"/>
      <c r="H3741" s="7"/>
      <c r="K3741" s="30"/>
    </row>
    <row r="3742" spans="1:11" s="2" customFormat="1" x14ac:dyDescent="0.25">
      <c r="A3742" s="28" t="s">
        <v>6132</v>
      </c>
      <c r="B3742" s="29">
        <v>61</v>
      </c>
      <c r="C3742" s="28"/>
      <c r="D3742" s="28" t="s">
        <v>366</v>
      </c>
      <c r="E3742" s="3"/>
      <c r="H3742" s="7"/>
      <c r="K3742" s="30"/>
    </row>
    <row r="3743" spans="1:11" s="2" customFormat="1" x14ac:dyDescent="0.25">
      <c r="A3743" s="28" t="s">
        <v>6133</v>
      </c>
      <c r="B3743" s="29">
        <v>25</v>
      </c>
      <c r="C3743" s="28"/>
      <c r="D3743" s="28" t="s">
        <v>366</v>
      </c>
      <c r="E3743" s="3"/>
      <c r="H3743" s="7"/>
      <c r="K3743" s="30"/>
    </row>
    <row r="3744" spans="1:11" s="2" customFormat="1" x14ac:dyDescent="0.25">
      <c r="A3744" s="28" t="s">
        <v>6134</v>
      </c>
      <c r="B3744" s="29">
        <v>12</v>
      </c>
      <c r="C3744" s="28"/>
      <c r="D3744" s="28" t="s">
        <v>366</v>
      </c>
      <c r="E3744" s="3"/>
      <c r="H3744" s="7"/>
      <c r="K3744" s="30"/>
    </row>
    <row r="3745" spans="1:11" s="2" customFormat="1" x14ac:dyDescent="0.25">
      <c r="A3745" s="28" t="s">
        <v>6135</v>
      </c>
      <c r="B3745" s="29">
        <v>15</v>
      </c>
      <c r="C3745" s="28"/>
      <c r="D3745" s="28" t="s">
        <v>366</v>
      </c>
      <c r="E3745" s="3"/>
      <c r="H3745" s="7"/>
      <c r="K3745" s="30"/>
    </row>
    <row r="3746" spans="1:11" s="2" customFormat="1" x14ac:dyDescent="0.25">
      <c r="A3746" s="28" t="s">
        <v>6130</v>
      </c>
      <c r="B3746" s="29">
        <v>15</v>
      </c>
      <c r="C3746" s="28"/>
      <c r="D3746" s="28" t="s">
        <v>366</v>
      </c>
      <c r="E3746" s="3"/>
      <c r="H3746" s="7"/>
      <c r="K3746" s="30"/>
    </row>
    <row r="3747" spans="1:11" s="2" customFormat="1" x14ac:dyDescent="0.25">
      <c r="A3747" s="28" t="s">
        <v>6136</v>
      </c>
      <c r="B3747" s="29">
        <v>10</v>
      </c>
      <c r="C3747" s="28"/>
      <c r="D3747" s="28" t="s">
        <v>366</v>
      </c>
      <c r="E3747" s="3"/>
      <c r="H3747" s="7"/>
      <c r="K3747" s="30"/>
    </row>
    <row r="3748" spans="1:11" s="2" customFormat="1" x14ac:dyDescent="0.25">
      <c r="A3748" s="28" t="s">
        <v>6137</v>
      </c>
      <c r="B3748" s="29">
        <v>19</v>
      </c>
      <c r="C3748" s="28"/>
      <c r="D3748" s="28" t="s">
        <v>366</v>
      </c>
      <c r="E3748" s="3"/>
      <c r="H3748" s="7"/>
      <c r="K3748" s="30"/>
    </row>
    <row r="3749" spans="1:11" s="2" customFormat="1" x14ac:dyDescent="0.25">
      <c r="A3749" s="28" t="s">
        <v>6138</v>
      </c>
      <c r="B3749" s="29">
        <v>59</v>
      </c>
      <c r="C3749" s="28"/>
      <c r="D3749" s="28" t="s">
        <v>366</v>
      </c>
      <c r="E3749" s="3"/>
      <c r="H3749" s="7"/>
      <c r="K3749" s="30"/>
    </row>
    <row r="3750" spans="1:11" s="2" customFormat="1" x14ac:dyDescent="0.25">
      <c r="A3750" s="28" t="s">
        <v>6139</v>
      </c>
      <c r="B3750" s="29">
        <v>4</v>
      </c>
      <c r="C3750" s="28"/>
      <c r="D3750" s="28" t="s">
        <v>366</v>
      </c>
      <c r="E3750" s="3"/>
      <c r="H3750" s="7"/>
      <c r="K3750" s="30"/>
    </row>
    <row r="3751" spans="1:11" s="2" customFormat="1" x14ac:dyDescent="0.25">
      <c r="A3751" s="28" t="s">
        <v>6140</v>
      </c>
      <c r="B3751" s="29">
        <v>66</v>
      </c>
      <c r="C3751" s="28"/>
      <c r="D3751" s="28" t="s">
        <v>366</v>
      </c>
      <c r="E3751" s="3"/>
      <c r="H3751" s="7"/>
      <c r="K3751" s="30"/>
    </row>
    <row r="3752" spans="1:11" s="2" customFormat="1" x14ac:dyDescent="0.25">
      <c r="A3752" s="28" t="s">
        <v>6141</v>
      </c>
      <c r="B3752" s="29">
        <v>30</v>
      </c>
      <c r="C3752" s="28"/>
      <c r="D3752" s="28" t="s">
        <v>366</v>
      </c>
      <c r="E3752" s="3"/>
      <c r="H3752" s="7"/>
      <c r="K3752" s="30"/>
    </row>
    <row r="3753" spans="1:11" s="2" customFormat="1" x14ac:dyDescent="0.25">
      <c r="A3753" s="28" t="s">
        <v>6142</v>
      </c>
      <c r="B3753" s="29">
        <v>33</v>
      </c>
      <c r="C3753" s="28"/>
      <c r="D3753" s="28" t="s">
        <v>366</v>
      </c>
      <c r="E3753" s="3"/>
      <c r="H3753" s="7"/>
      <c r="K3753" s="30"/>
    </row>
    <row r="3754" spans="1:11" s="2" customFormat="1" x14ac:dyDescent="0.25">
      <c r="A3754" s="28" t="s">
        <v>6143</v>
      </c>
      <c r="B3754" s="29">
        <v>7</v>
      </c>
      <c r="C3754" s="28"/>
      <c r="D3754" s="28" t="s">
        <v>366</v>
      </c>
      <c r="E3754" s="3"/>
      <c r="H3754" s="7"/>
      <c r="K3754" s="30"/>
    </row>
    <row r="3755" spans="1:11" s="2" customFormat="1" x14ac:dyDescent="0.25">
      <c r="A3755" s="28" t="s">
        <v>6144</v>
      </c>
      <c r="B3755" s="29">
        <v>3</v>
      </c>
      <c r="C3755" s="28"/>
      <c r="D3755" s="28" t="s">
        <v>366</v>
      </c>
      <c r="E3755" s="3"/>
      <c r="H3755" s="7"/>
      <c r="K3755" s="30"/>
    </row>
    <row r="3756" spans="1:11" s="2" customFormat="1" x14ac:dyDescent="0.25">
      <c r="A3756" s="28" t="s">
        <v>6145</v>
      </c>
      <c r="B3756" s="29">
        <v>86</v>
      </c>
      <c r="C3756" s="28"/>
      <c r="D3756" s="28" t="s">
        <v>366</v>
      </c>
      <c r="E3756" s="3"/>
      <c r="H3756" s="7"/>
      <c r="K3756" s="30"/>
    </row>
    <row r="3757" spans="1:11" s="2" customFormat="1" x14ac:dyDescent="0.25">
      <c r="A3757" s="28" t="s">
        <v>6146</v>
      </c>
      <c r="B3757" s="29">
        <v>19</v>
      </c>
      <c r="C3757" s="28"/>
      <c r="D3757" s="28" t="s">
        <v>366</v>
      </c>
      <c r="E3757" s="3"/>
      <c r="H3757" s="7"/>
      <c r="K3757" s="30"/>
    </row>
    <row r="3758" spans="1:11" s="2" customFormat="1" x14ac:dyDescent="0.25">
      <c r="A3758" s="28" t="s">
        <v>6147</v>
      </c>
      <c r="B3758" s="29">
        <v>6</v>
      </c>
      <c r="C3758" s="28"/>
      <c r="D3758" s="28" t="s">
        <v>366</v>
      </c>
      <c r="E3758" s="3"/>
      <c r="H3758" s="7"/>
      <c r="K3758" s="30"/>
    </row>
    <row r="3759" spans="1:11" s="2" customFormat="1" x14ac:dyDescent="0.25">
      <c r="A3759" s="28" t="s">
        <v>6148</v>
      </c>
      <c r="B3759" s="29">
        <v>15</v>
      </c>
      <c r="C3759" s="28"/>
      <c r="D3759" s="28" t="s">
        <v>366</v>
      </c>
      <c r="E3759" s="3"/>
      <c r="H3759" s="7"/>
      <c r="K3759" s="30"/>
    </row>
    <row r="3760" spans="1:11" s="2" customFormat="1" x14ac:dyDescent="0.25">
      <c r="A3760" s="28" t="s">
        <v>6149</v>
      </c>
      <c r="B3760" s="29">
        <v>36</v>
      </c>
      <c r="C3760" s="28"/>
      <c r="D3760" s="28" t="s">
        <v>366</v>
      </c>
      <c r="E3760" s="3"/>
      <c r="H3760" s="7"/>
      <c r="K3760" s="30"/>
    </row>
    <row r="3761" spans="1:11" s="2" customFormat="1" x14ac:dyDescent="0.25">
      <c r="A3761" s="28" t="s">
        <v>6150</v>
      </c>
      <c r="B3761" s="29">
        <v>5</v>
      </c>
      <c r="C3761" s="28"/>
      <c r="D3761" s="28" t="s">
        <v>366</v>
      </c>
      <c r="E3761" s="3"/>
      <c r="H3761" s="7"/>
      <c r="K3761" s="30"/>
    </row>
    <row r="3762" spans="1:11" s="2" customFormat="1" x14ac:dyDescent="0.25">
      <c r="A3762" s="28" t="s">
        <v>6151</v>
      </c>
      <c r="B3762" s="29">
        <v>4</v>
      </c>
      <c r="C3762" s="28"/>
      <c r="D3762" s="28" t="s">
        <v>366</v>
      </c>
      <c r="E3762" s="3"/>
      <c r="H3762" s="7"/>
      <c r="K3762" s="30"/>
    </row>
    <row r="3763" spans="1:11" s="2" customFormat="1" x14ac:dyDescent="0.25">
      <c r="A3763" s="28" t="s">
        <v>6152</v>
      </c>
      <c r="B3763" s="29">
        <v>33</v>
      </c>
      <c r="C3763" s="28"/>
      <c r="D3763" s="28" t="s">
        <v>366</v>
      </c>
      <c r="E3763" s="3"/>
      <c r="H3763" s="7"/>
      <c r="K3763" s="30"/>
    </row>
    <row r="3764" spans="1:11" s="2" customFormat="1" x14ac:dyDescent="0.25">
      <c r="A3764" s="28" t="s">
        <v>6153</v>
      </c>
      <c r="B3764" s="29">
        <v>2</v>
      </c>
      <c r="C3764" s="28"/>
      <c r="D3764" s="28" t="s">
        <v>366</v>
      </c>
      <c r="E3764" s="3"/>
      <c r="H3764" s="7"/>
      <c r="K3764" s="30"/>
    </row>
    <row r="3765" spans="1:11" s="2" customFormat="1" x14ac:dyDescent="0.25">
      <c r="A3765" s="28" t="s">
        <v>6154</v>
      </c>
      <c r="B3765" s="29">
        <v>1</v>
      </c>
      <c r="C3765" s="28"/>
      <c r="D3765" s="28" t="s">
        <v>366</v>
      </c>
      <c r="E3765" s="3"/>
      <c r="H3765" s="7"/>
      <c r="K3765" s="30"/>
    </row>
    <row r="3766" spans="1:11" s="2" customFormat="1" x14ac:dyDescent="0.25">
      <c r="A3766" s="28" t="s">
        <v>6155</v>
      </c>
      <c r="B3766" s="29">
        <v>26</v>
      </c>
      <c r="C3766" s="28"/>
      <c r="D3766" s="28" t="s">
        <v>366</v>
      </c>
      <c r="E3766" s="3"/>
      <c r="H3766" s="7"/>
      <c r="K3766" s="30"/>
    </row>
    <row r="3767" spans="1:11" s="2" customFormat="1" x14ac:dyDescent="0.25">
      <c r="A3767" s="28" t="s">
        <v>6156</v>
      </c>
      <c r="B3767" s="29">
        <v>15</v>
      </c>
      <c r="C3767" s="28"/>
      <c r="D3767" s="28" t="s">
        <v>366</v>
      </c>
      <c r="E3767" s="3"/>
      <c r="H3767" s="7"/>
      <c r="K3767" s="30"/>
    </row>
    <row r="3768" spans="1:11" s="2" customFormat="1" x14ac:dyDescent="0.25">
      <c r="A3768" s="28" t="s">
        <v>6157</v>
      </c>
      <c r="B3768" s="29">
        <v>178</v>
      </c>
      <c r="C3768" s="28"/>
      <c r="D3768" s="28" t="s">
        <v>366</v>
      </c>
      <c r="E3768" s="3"/>
      <c r="H3768" s="7"/>
      <c r="K3768" s="30"/>
    </row>
    <row r="3769" spans="1:11" s="2" customFormat="1" x14ac:dyDescent="0.25">
      <c r="A3769" s="28" t="s">
        <v>6158</v>
      </c>
      <c r="B3769" s="29">
        <v>2</v>
      </c>
      <c r="C3769" s="28"/>
      <c r="D3769" s="28" t="s">
        <v>366</v>
      </c>
      <c r="E3769" s="3"/>
      <c r="H3769" s="7"/>
      <c r="K3769" s="30"/>
    </row>
    <row r="3770" spans="1:11" s="2" customFormat="1" x14ac:dyDescent="0.25">
      <c r="A3770" s="28" t="s">
        <v>6159</v>
      </c>
      <c r="B3770" s="29">
        <v>22</v>
      </c>
      <c r="C3770" s="28"/>
      <c r="D3770" s="28" t="s">
        <v>366</v>
      </c>
      <c r="E3770" s="3"/>
      <c r="H3770" s="7"/>
      <c r="K3770" s="30"/>
    </row>
    <row r="3771" spans="1:11" s="2" customFormat="1" x14ac:dyDescent="0.25">
      <c r="A3771" s="28" t="s">
        <v>6160</v>
      </c>
      <c r="B3771" s="29">
        <v>6</v>
      </c>
      <c r="C3771" s="28"/>
      <c r="D3771" s="28" t="s">
        <v>366</v>
      </c>
      <c r="E3771" s="3"/>
      <c r="H3771" s="7"/>
      <c r="K3771" s="30"/>
    </row>
    <row r="3772" spans="1:11" s="2" customFormat="1" x14ac:dyDescent="0.25">
      <c r="A3772" s="28" t="s">
        <v>6161</v>
      </c>
      <c r="B3772" s="29">
        <v>4</v>
      </c>
      <c r="C3772" s="28"/>
      <c r="D3772" s="28" t="s">
        <v>366</v>
      </c>
      <c r="E3772" s="3"/>
      <c r="H3772" s="7"/>
      <c r="K3772" s="30"/>
    </row>
    <row r="3773" spans="1:11" s="2" customFormat="1" x14ac:dyDescent="0.25">
      <c r="A3773" s="28" t="s">
        <v>6162</v>
      </c>
      <c r="B3773" s="29">
        <v>4</v>
      </c>
      <c r="C3773" s="28"/>
      <c r="D3773" s="28" t="s">
        <v>366</v>
      </c>
      <c r="E3773" s="3"/>
      <c r="H3773" s="7"/>
      <c r="K3773" s="30"/>
    </row>
    <row r="3774" spans="1:11" s="2" customFormat="1" x14ac:dyDescent="0.25">
      <c r="A3774" s="28" t="s">
        <v>6163</v>
      </c>
      <c r="B3774" s="29">
        <v>21</v>
      </c>
      <c r="C3774" s="28"/>
      <c r="D3774" s="28" t="s">
        <v>366</v>
      </c>
      <c r="E3774" s="3"/>
      <c r="H3774" s="7"/>
      <c r="K3774" s="30"/>
    </row>
    <row r="3775" spans="1:11" s="2" customFormat="1" x14ac:dyDescent="0.25">
      <c r="A3775" s="28" t="s">
        <v>6164</v>
      </c>
      <c r="B3775" s="29">
        <v>71</v>
      </c>
      <c r="C3775" s="28"/>
      <c r="D3775" s="28" t="s">
        <v>366</v>
      </c>
      <c r="E3775" s="3"/>
      <c r="H3775" s="7"/>
      <c r="K3775" s="30"/>
    </row>
    <row r="3776" spans="1:11" s="2" customFormat="1" x14ac:dyDescent="0.25">
      <c r="A3776" s="28" t="s">
        <v>6165</v>
      </c>
      <c r="B3776" s="29">
        <v>6</v>
      </c>
      <c r="C3776" s="28"/>
      <c r="D3776" s="28" t="s">
        <v>366</v>
      </c>
      <c r="E3776" s="3"/>
      <c r="H3776" s="7"/>
      <c r="K3776" s="30"/>
    </row>
    <row r="3777" spans="1:11" s="2" customFormat="1" x14ac:dyDescent="0.25">
      <c r="A3777" s="28" t="s">
        <v>6166</v>
      </c>
      <c r="B3777" s="29">
        <v>45</v>
      </c>
      <c r="C3777" s="28"/>
      <c r="D3777" s="28" t="s">
        <v>366</v>
      </c>
      <c r="E3777" s="3"/>
      <c r="H3777" s="7"/>
      <c r="K3777" s="30"/>
    </row>
    <row r="3778" spans="1:11" s="2" customFormat="1" x14ac:dyDescent="0.25">
      <c r="A3778" s="28" t="s">
        <v>6167</v>
      </c>
      <c r="B3778" s="29">
        <v>11</v>
      </c>
      <c r="C3778" s="28"/>
      <c r="D3778" s="28" t="s">
        <v>366</v>
      </c>
      <c r="E3778" s="3"/>
      <c r="H3778" s="7"/>
      <c r="K3778" s="30"/>
    </row>
    <row r="3779" spans="1:11" s="2" customFormat="1" x14ac:dyDescent="0.25">
      <c r="A3779" s="28" t="s">
        <v>6168</v>
      </c>
      <c r="B3779" s="29">
        <v>13</v>
      </c>
      <c r="C3779" s="28"/>
      <c r="D3779" s="28" t="s">
        <v>366</v>
      </c>
      <c r="E3779" s="3"/>
      <c r="H3779" s="7"/>
      <c r="K3779" s="30"/>
    </row>
    <row r="3780" spans="1:11" s="2" customFormat="1" x14ac:dyDescent="0.25">
      <c r="A3780" s="28" t="s">
        <v>6169</v>
      </c>
      <c r="B3780" s="29">
        <v>2</v>
      </c>
      <c r="C3780" s="28"/>
      <c r="D3780" s="28" t="s">
        <v>366</v>
      </c>
      <c r="E3780" s="3"/>
      <c r="H3780" s="7"/>
      <c r="K3780" s="30"/>
    </row>
    <row r="3781" spans="1:11" s="2" customFormat="1" x14ac:dyDescent="0.25">
      <c r="A3781" s="28" t="s">
        <v>6170</v>
      </c>
      <c r="B3781" s="29">
        <v>5</v>
      </c>
      <c r="C3781" s="28"/>
      <c r="D3781" s="28" t="s">
        <v>366</v>
      </c>
      <c r="E3781" s="3"/>
      <c r="H3781" s="7"/>
      <c r="K3781" s="30"/>
    </row>
    <row r="3782" spans="1:11" s="2" customFormat="1" x14ac:dyDescent="0.25">
      <c r="A3782" s="28" t="s">
        <v>6171</v>
      </c>
      <c r="B3782" s="29">
        <v>3</v>
      </c>
      <c r="C3782" s="28"/>
      <c r="D3782" s="28" t="s">
        <v>366</v>
      </c>
      <c r="E3782" s="3"/>
      <c r="H3782" s="7"/>
      <c r="K3782" s="30"/>
    </row>
    <row r="3783" spans="1:11" s="2" customFormat="1" x14ac:dyDescent="0.25">
      <c r="A3783" s="28" t="s">
        <v>6172</v>
      </c>
      <c r="B3783" s="29">
        <v>4</v>
      </c>
      <c r="C3783" s="28"/>
      <c r="D3783" s="28" t="s">
        <v>366</v>
      </c>
      <c r="E3783" s="3"/>
      <c r="H3783" s="7"/>
      <c r="K3783" s="30"/>
    </row>
    <row r="3784" spans="1:11" s="2" customFormat="1" x14ac:dyDescent="0.25">
      <c r="A3784" s="28" t="s">
        <v>6173</v>
      </c>
      <c r="B3784" s="29">
        <v>5</v>
      </c>
      <c r="C3784" s="28"/>
      <c r="D3784" s="28" t="s">
        <v>366</v>
      </c>
      <c r="E3784" s="3"/>
      <c r="H3784" s="7"/>
      <c r="K3784" s="30"/>
    </row>
    <row r="3785" spans="1:11" s="2" customFormat="1" x14ac:dyDescent="0.25">
      <c r="A3785" s="28" t="s">
        <v>6174</v>
      </c>
      <c r="B3785" s="29">
        <v>25</v>
      </c>
      <c r="C3785" s="28"/>
      <c r="D3785" s="28" t="s">
        <v>366</v>
      </c>
      <c r="E3785" s="3"/>
      <c r="H3785" s="7"/>
      <c r="K3785" s="30"/>
    </row>
    <row r="3786" spans="1:11" s="2" customFormat="1" x14ac:dyDescent="0.25">
      <c r="A3786" s="28" t="s">
        <v>6175</v>
      </c>
      <c r="B3786" s="29">
        <v>2</v>
      </c>
      <c r="C3786" s="28"/>
      <c r="D3786" s="28" t="s">
        <v>366</v>
      </c>
      <c r="E3786" s="3"/>
      <c r="H3786" s="7"/>
      <c r="K3786" s="30"/>
    </row>
    <row r="3787" spans="1:11" s="2" customFormat="1" x14ac:dyDescent="0.25">
      <c r="A3787" s="28" t="s">
        <v>6176</v>
      </c>
      <c r="B3787" s="29">
        <v>22</v>
      </c>
      <c r="C3787" s="28"/>
      <c r="D3787" s="28" t="s">
        <v>366</v>
      </c>
      <c r="E3787" s="3"/>
      <c r="H3787" s="7"/>
      <c r="K3787" s="30"/>
    </row>
    <row r="3788" spans="1:11" s="2" customFormat="1" x14ac:dyDescent="0.25">
      <c r="A3788" s="28" t="s">
        <v>6177</v>
      </c>
      <c r="B3788" s="29">
        <v>2</v>
      </c>
      <c r="C3788" s="28"/>
      <c r="D3788" s="28" t="s">
        <v>366</v>
      </c>
      <c r="E3788" s="3"/>
      <c r="H3788" s="7"/>
      <c r="K3788" s="30"/>
    </row>
    <row r="3789" spans="1:11" s="2" customFormat="1" x14ac:dyDescent="0.25">
      <c r="A3789" s="28" t="s">
        <v>6178</v>
      </c>
      <c r="B3789" s="29">
        <v>40</v>
      </c>
      <c r="C3789" s="28"/>
      <c r="D3789" s="28" t="s">
        <v>366</v>
      </c>
      <c r="E3789" s="3"/>
      <c r="H3789" s="7"/>
      <c r="K3789" s="30"/>
    </row>
    <row r="3790" spans="1:11" s="2" customFormat="1" x14ac:dyDescent="0.25">
      <c r="A3790" s="28" t="s">
        <v>6179</v>
      </c>
      <c r="B3790" s="29">
        <v>2</v>
      </c>
      <c r="C3790" s="28"/>
      <c r="D3790" s="28" t="s">
        <v>366</v>
      </c>
      <c r="E3790" s="3"/>
      <c r="H3790" s="7"/>
      <c r="K3790" s="30"/>
    </row>
    <row r="3791" spans="1:11" s="2" customFormat="1" x14ac:dyDescent="0.25">
      <c r="A3791" s="28" t="s">
        <v>6180</v>
      </c>
      <c r="B3791" s="29">
        <v>2</v>
      </c>
      <c r="C3791" s="28"/>
      <c r="D3791" s="28" t="s">
        <v>366</v>
      </c>
      <c r="E3791" s="3"/>
      <c r="H3791" s="7"/>
      <c r="K3791" s="30"/>
    </row>
    <row r="3792" spans="1:11" s="2" customFormat="1" x14ac:dyDescent="0.25">
      <c r="A3792" s="28" t="s">
        <v>6181</v>
      </c>
      <c r="B3792" s="29">
        <v>4</v>
      </c>
      <c r="C3792" s="28"/>
      <c r="D3792" s="28" t="s">
        <v>366</v>
      </c>
      <c r="E3792" s="3"/>
      <c r="H3792" s="7"/>
      <c r="K3792" s="30"/>
    </row>
    <row r="3793" spans="1:11" s="2" customFormat="1" x14ac:dyDescent="0.25">
      <c r="A3793" s="28" t="s">
        <v>6182</v>
      </c>
      <c r="B3793" s="29">
        <v>4</v>
      </c>
      <c r="C3793" s="28"/>
      <c r="D3793" s="28" t="s">
        <v>366</v>
      </c>
      <c r="E3793" s="3"/>
      <c r="H3793" s="7"/>
      <c r="K3793" s="30"/>
    </row>
    <row r="3794" spans="1:11" s="2" customFormat="1" x14ac:dyDescent="0.25">
      <c r="A3794" s="28" t="s">
        <v>6183</v>
      </c>
      <c r="B3794" s="29">
        <v>8</v>
      </c>
      <c r="C3794" s="28"/>
      <c r="D3794" s="28" t="s">
        <v>366</v>
      </c>
      <c r="E3794" s="3"/>
      <c r="H3794" s="7"/>
      <c r="K3794" s="30"/>
    </row>
    <row r="3795" spans="1:11" s="2" customFormat="1" x14ac:dyDescent="0.25">
      <c r="A3795" s="28" t="s">
        <v>6184</v>
      </c>
      <c r="B3795" s="29">
        <v>11</v>
      </c>
      <c r="C3795" s="28"/>
      <c r="D3795" s="28" t="s">
        <v>366</v>
      </c>
      <c r="E3795" s="3"/>
      <c r="H3795" s="7"/>
      <c r="K3795" s="30"/>
    </row>
    <row r="3796" spans="1:11" s="2" customFormat="1" x14ac:dyDescent="0.25">
      <c r="A3796" s="28" t="s">
        <v>6185</v>
      </c>
      <c r="B3796" s="29">
        <v>17</v>
      </c>
      <c r="C3796" s="28"/>
      <c r="D3796" s="28" t="s">
        <v>366</v>
      </c>
      <c r="E3796" s="3"/>
      <c r="H3796" s="7"/>
      <c r="K3796" s="30"/>
    </row>
    <row r="3797" spans="1:11" s="2" customFormat="1" x14ac:dyDescent="0.25">
      <c r="A3797" s="28" t="s">
        <v>6186</v>
      </c>
      <c r="B3797" s="29">
        <v>24</v>
      </c>
      <c r="C3797" s="28"/>
      <c r="D3797" s="28" t="s">
        <v>366</v>
      </c>
      <c r="E3797" s="3"/>
      <c r="H3797" s="7"/>
      <c r="K3797" s="30"/>
    </row>
    <row r="3798" spans="1:11" s="2" customFormat="1" x14ac:dyDescent="0.25">
      <c r="A3798" s="28" t="s">
        <v>6187</v>
      </c>
      <c r="B3798" s="29">
        <v>4</v>
      </c>
      <c r="C3798" s="28"/>
      <c r="D3798" s="28" t="s">
        <v>366</v>
      </c>
      <c r="E3798" s="3"/>
      <c r="H3798" s="7"/>
      <c r="K3798" s="30"/>
    </row>
    <row r="3799" spans="1:11" s="2" customFormat="1" x14ac:dyDescent="0.25">
      <c r="A3799" s="28" t="s">
        <v>6188</v>
      </c>
      <c r="B3799" s="29">
        <v>4</v>
      </c>
      <c r="C3799" s="28"/>
      <c r="D3799" s="28" t="s">
        <v>366</v>
      </c>
      <c r="E3799" s="3"/>
      <c r="H3799" s="7"/>
      <c r="K3799" s="30"/>
    </row>
    <row r="3800" spans="1:11" s="2" customFormat="1" x14ac:dyDescent="0.25">
      <c r="A3800" s="28" t="s">
        <v>6189</v>
      </c>
      <c r="B3800" s="29">
        <v>45</v>
      </c>
      <c r="C3800" s="28"/>
      <c r="D3800" s="28" t="s">
        <v>366</v>
      </c>
      <c r="E3800" s="3"/>
      <c r="H3800" s="7"/>
      <c r="K3800" s="30"/>
    </row>
    <row r="3801" spans="1:11" s="2" customFormat="1" x14ac:dyDescent="0.25">
      <c r="A3801" s="28" t="s">
        <v>6190</v>
      </c>
      <c r="B3801" s="29">
        <v>2</v>
      </c>
      <c r="C3801" s="28"/>
      <c r="D3801" s="28" t="s">
        <v>366</v>
      </c>
      <c r="E3801" s="3"/>
      <c r="H3801" s="7"/>
      <c r="K3801" s="30"/>
    </row>
    <row r="3802" spans="1:11" s="2" customFormat="1" x14ac:dyDescent="0.25">
      <c r="A3802" s="28" t="s">
        <v>6191</v>
      </c>
      <c r="B3802" s="29">
        <v>3</v>
      </c>
      <c r="C3802" s="28"/>
      <c r="D3802" s="28" t="s">
        <v>366</v>
      </c>
      <c r="E3802" s="3"/>
      <c r="H3802" s="7"/>
      <c r="K3802" s="30"/>
    </row>
    <row r="3803" spans="1:11" s="2" customFormat="1" x14ac:dyDescent="0.25">
      <c r="A3803" s="28" t="s">
        <v>6192</v>
      </c>
      <c r="B3803" s="29">
        <v>22</v>
      </c>
      <c r="C3803" s="28"/>
      <c r="D3803" s="28" t="s">
        <v>366</v>
      </c>
      <c r="E3803" s="3"/>
      <c r="H3803" s="7"/>
      <c r="K3803" s="30"/>
    </row>
    <row r="3804" spans="1:11" s="2" customFormat="1" x14ac:dyDescent="0.25">
      <c r="A3804" s="28" t="s">
        <v>6193</v>
      </c>
      <c r="B3804" s="29">
        <v>6</v>
      </c>
      <c r="C3804" s="28"/>
      <c r="D3804" s="28" t="s">
        <v>366</v>
      </c>
      <c r="E3804" s="3"/>
      <c r="H3804" s="7"/>
      <c r="K3804" s="30"/>
    </row>
    <row r="3805" spans="1:11" s="2" customFormat="1" x14ac:dyDescent="0.25">
      <c r="A3805" s="28" t="s">
        <v>6194</v>
      </c>
      <c r="B3805" s="29">
        <v>78</v>
      </c>
      <c r="C3805" s="28"/>
      <c r="D3805" s="28" t="s">
        <v>366</v>
      </c>
      <c r="E3805" s="3"/>
      <c r="H3805" s="7"/>
      <c r="K3805" s="30"/>
    </row>
    <row r="3806" spans="1:11" s="2" customFormat="1" x14ac:dyDescent="0.25">
      <c r="A3806" s="28" t="s">
        <v>6195</v>
      </c>
      <c r="B3806" s="29">
        <v>34</v>
      </c>
      <c r="C3806" s="28"/>
      <c r="D3806" s="28" t="s">
        <v>366</v>
      </c>
      <c r="E3806" s="3"/>
      <c r="H3806" s="7"/>
      <c r="K3806" s="30"/>
    </row>
    <row r="3807" spans="1:11" s="2" customFormat="1" x14ac:dyDescent="0.25">
      <c r="A3807" s="28" t="s">
        <v>6196</v>
      </c>
      <c r="B3807" s="29">
        <v>50</v>
      </c>
      <c r="C3807" s="28"/>
      <c r="D3807" s="28" t="s">
        <v>366</v>
      </c>
      <c r="E3807" s="3"/>
      <c r="H3807" s="7"/>
      <c r="K3807" s="30"/>
    </row>
    <row r="3808" spans="1:11" s="2" customFormat="1" x14ac:dyDescent="0.25">
      <c r="A3808" s="28" t="s">
        <v>6197</v>
      </c>
      <c r="B3808" s="29">
        <v>28</v>
      </c>
      <c r="C3808" s="28"/>
      <c r="D3808" s="28" t="s">
        <v>366</v>
      </c>
      <c r="E3808" s="3"/>
      <c r="H3808" s="7"/>
      <c r="K3808" s="30"/>
    </row>
    <row r="3809" spans="1:11" s="2" customFormat="1" x14ac:dyDescent="0.25">
      <c r="A3809" s="28" t="s">
        <v>6198</v>
      </c>
      <c r="B3809" s="29">
        <v>34</v>
      </c>
      <c r="C3809" s="28"/>
      <c r="D3809" s="28" t="s">
        <v>366</v>
      </c>
      <c r="E3809" s="3"/>
      <c r="H3809" s="7"/>
      <c r="K3809" s="30"/>
    </row>
    <row r="3810" spans="1:11" s="2" customFormat="1" x14ac:dyDescent="0.25">
      <c r="A3810" s="28" t="s">
        <v>6199</v>
      </c>
      <c r="B3810" s="29">
        <v>22</v>
      </c>
      <c r="C3810" s="28"/>
      <c r="D3810" s="28" t="s">
        <v>366</v>
      </c>
      <c r="E3810" s="3"/>
      <c r="H3810" s="7"/>
      <c r="K3810" s="30"/>
    </row>
    <row r="3811" spans="1:11" s="2" customFormat="1" x14ac:dyDescent="0.25">
      <c r="A3811" s="28" t="s">
        <v>6200</v>
      </c>
      <c r="B3811" s="29">
        <v>14</v>
      </c>
      <c r="C3811" s="28"/>
      <c r="D3811" s="28" t="s">
        <v>366</v>
      </c>
      <c r="E3811" s="3"/>
      <c r="H3811" s="7"/>
      <c r="K3811" s="30"/>
    </row>
    <row r="3812" spans="1:11" s="2" customFormat="1" x14ac:dyDescent="0.25">
      <c r="A3812" s="28" t="s">
        <v>6201</v>
      </c>
      <c r="B3812" s="29">
        <v>1</v>
      </c>
      <c r="C3812" s="28"/>
      <c r="D3812" s="28" t="s">
        <v>366</v>
      </c>
      <c r="E3812" s="3"/>
      <c r="H3812" s="7"/>
      <c r="K3812" s="30"/>
    </row>
    <row r="3813" spans="1:11" s="2" customFormat="1" x14ac:dyDescent="0.25">
      <c r="A3813" s="28" t="s">
        <v>6202</v>
      </c>
      <c r="B3813" s="29">
        <v>84</v>
      </c>
      <c r="C3813" s="28"/>
      <c r="D3813" s="28" t="s">
        <v>383</v>
      </c>
      <c r="E3813" s="3"/>
      <c r="H3813" s="7"/>
      <c r="K3813" s="30"/>
    </row>
    <row r="3814" spans="1:11" s="2" customFormat="1" x14ac:dyDescent="0.25">
      <c r="A3814" s="28" t="s">
        <v>6203</v>
      </c>
      <c r="B3814" s="29">
        <v>700</v>
      </c>
      <c r="C3814" s="28"/>
      <c r="D3814" s="28" t="s">
        <v>383</v>
      </c>
      <c r="E3814" s="3"/>
      <c r="H3814" s="7"/>
      <c r="K3814" s="30"/>
    </row>
    <row r="3815" spans="1:11" s="2" customFormat="1" x14ac:dyDescent="0.25">
      <c r="A3815" s="28" t="s">
        <v>6204</v>
      </c>
      <c r="B3815" s="29">
        <v>221</v>
      </c>
      <c r="C3815" s="28"/>
      <c r="D3815" s="28" t="s">
        <v>383</v>
      </c>
      <c r="E3815" s="3"/>
      <c r="H3815" s="7"/>
      <c r="K3815" s="30"/>
    </row>
    <row r="3816" spans="1:11" s="2" customFormat="1" x14ac:dyDescent="0.25">
      <c r="A3816" s="28" t="s">
        <v>6205</v>
      </c>
      <c r="B3816" s="29">
        <v>105</v>
      </c>
      <c r="C3816" s="28"/>
      <c r="D3816" s="28" t="s">
        <v>383</v>
      </c>
      <c r="E3816" s="3"/>
      <c r="H3816" s="7"/>
      <c r="K3816" s="30"/>
    </row>
    <row r="3817" spans="1:11" s="2" customFormat="1" x14ac:dyDescent="0.25">
      <c r="A3817" s="28" t="s">
        <v>6206</v>
      </c>
      <c r="B3817" s="29">
        <v>4383</v>
      </c>
      <c r="C3817" s="28"/>
      <c r="D3817" s="28" t="s">
        <v>383</v>
      </c>
      <c r="E3817" s="3"/>
      <c r="H3817" s="7"/>
      <c r="K3817" s="30"/>
    </row>
    <row r="3818" spans="1:11" s="2" customFormat="1" x14ac:dyDescent="0.25">
      <c r="A3818" s="28" t="s">
        <v>6207</v>
      </c>
      <c r="B3818" s="29">
        <v>4191</v>
      </c>
      <c r="C3818" s="28"/>
      <c r="D3818" s="28" t="s">
        <v>383</v>
      </c>
      <c r="E3818" s="3"/>
      <c r="H3818" s="7"/>
      <c r="K3818" s="30"/>
    </row>
    <row r="3819" spans="1:11" s="2" customFormat="1" x14ac:dyDescent="0.25">
      <c r="A3819" s="28" t="s">
        <v>6208</v>
      </c>
      <c r="B3819" s="29">
        <v>4160</v>
      </c>
      <c r="C3819" s="28"/>
      <c r="D3819" s="28" t="s">
        <v>383</v>
      </c>
      <c r="E3819" s="3"/>
      <c r="H3819" s="7"/>
      <c r="K3819" s="30"/>
    </row>
    <row r="3820" spans="1:11" s="2" customFormat="1" x14ac:dyDescent="0.25">
      <c r="A3820" s="28" t="s">
        <v>6209</v>
      </c>
      <c r="B3820" s="29">
        <v>238</v>
      </c>
      <c r="C3820" s="28"/>
      <c r="D3820" s="28" t="s">
        <v>383</v>
      </c>
      <c r="E3820" s="3"/>
      <c r="H3820" s="7"/>
      <c r="K3820" s="30"/>
    </row>
    <row r="3821" spans="1:11" s="2" customFormat="1" x14ac:dyDescent="0.25">
      <c r="A3821" s="28" t="s">
        <v>6210</v>
      </c>
      <c r="B3821" s="29">
        <v>115</v>
      </c>
      <c r="C3821" s="28"/>
      <c r="D3821" s="28" t="s">
        <v>383</v>
      </c>
      <c r="E3821" s="3"/>
      <c r="H3821" s="7"/>
      <c r="K3821" s="30"/>
    </row>
    <row r="3822" spans="1:11" s="2" customFormat="1" x14ac:dyDescent="0.25">
      <c r="A3822" s="28" t="s">
        <v>6211</v>
      </c>
      <c r="B3822" s="29">
        <v>4</v>
      </c>
      <c r="C3822" s="28"/>
      <c r="D3822" s="28" t="s">
        <v>383</v>
      </c>
      <c r="E3822" s="3"/>
      <c r="H3822" s="7"/>
      <c r="K3822" s="30"/>
    </row>
    <row r="3823" spans="1:11" s="2" customFormat="1" x14ac:dyDescent="0.25">
      <c r="A3823" s="28" t="s">
        <v>6212</v>
      </c>
      <c r="B3823" s="29">
        <v>3676</v>
      </c>
      <c r="C3823" s="28"/>
      <c r="D3823" s="28" t="s">
        <v>383</v>
      </c>
      <c r="E3823" s="3"/>
      <c r="H3823" s="7"/>
      <c r="K3823" s="30"/>
    </row>
    <row r="3824" spans="1:11" s="2" customFormat="1" x14ac:dyDescent="0.25">
      <c r="A3824" s="28" t="s">
        <v>6213</v>
      </c>
      <c r="B3824" s="29">
        <v>3559</v>
      </c>
      <c r="C3824" s="28"/>
      <c r="D3824" s="28" t="s">
        <v>383</v>
      </c>
      <c r="E3824" s="3"/>
      <c r="H3824" s="7"/>
      <c r="K3824" s="30"/>
    </row>
    <row r="3825" spans="1:11" s="2" customFormat="1" x14ac:dyDescent="0.25">
      <c r="A3825" s="28" t="s">
        <v>6214</v>
      </c>
      <c r="B3825" s="29">
        <v>3570</v>
      </c>
      <c r="C3825" s="28"/>
      <c r="D3825" s="28" t="s">
        <v>383</v>
      </c>
      <c r="E3825" s="3"/>
      <c r="H3825" s="7"/>
      <c r="K3825" s="30"/>
    </row>
    <row r="3826" spans="1:11" s="2" customFormat="1" x14ac:dyDescent="0.25">
      <c r="A3826" s="28" t="s">
        <v>6215</v>
      </c>
      <c r="B3826" s="29">
        <v>685</v>
      </c>
      <c r="C3826" s="28"/>
      <c r="D3826" s="28" t="s">
        <v>383</v>
      </c>
      <c r="E3826" s="3"/>
      <c r="H3826" s="7"/>
      <c r="K3826" s="30"/>
    </row>
    <row r="3827" spans="1:11" s="2" customFormat="1" x14ac:dyDescent="0.25">
      <c r="A3827" s="28" t="s">
        <v>6216</v>
      </c>
      <c r="B3827" s="29">
        <v>225</v>
      </c>
      <c r="C3827" s="28"/>
      <c r="D3827" s="28" t="s">
        <v>383</v>
      </c>
      <c r="E3827" s="3"/>
      <c r="H3827" s="7"/>
      <c r="K3827" s="30"/>
    </row>
    <row r="3828" spans="1:11" s="2" customFormat="1" x14ac:dyDescent="0.25">
      <c r="A3828" s="28" t="s">
        <v>6217</v>
      </c>
      <c r="B3828" s="29">
        <v>55</v>
      </c>
      <c r="C3828" s="28"/>
      <c r="D3828" s="28" t="s">
        <v>383</v>
      </c>
      <c r="E3828" s="3"/>
      <c r="H3828" s="7"/>
      <c r="K3828" s="30"/>
    </row>
    <row r="3829" spans="1:11" s="2" customFormat="1" x14ac:dyDescent="0.25">
      <c r="A3829" s="28" t="s">
        <v>6218</v>
      </c>
      <c r="B3829" s="29">
        <v>152</v>
      </c>
      <c r="C3829" s="28"/>
      <c r="D3829" s="28" t="s">
        <v>383</v>
      </c>
      <c r="E3829" s="3"/>
      <c r="H3829" s="7"/>
      <c r="K3829" s="30"/>
    </row>
    <row r="3830" spans="1:11" s="2" customFormat="1" x14ac:dyDescent="0.25">
      <c r="A3830" s="28" t="s">
        <v>6219</v>
      </c>
      <c r="B3830" s="29">
        <v>227</v>
      </c>
      <c r="C3830" s="28"/>
      <c r="D3830" s="28" t="s">
        <v>383</v>
      </c>
      <c r="E3830" s="3"/>
      <c r="H3830" s="7"/>
      <c r="K3830" s="30"/>
    </row>
    <row r="3831" spans="1:11" s="2" customFormat="1" x14ac:dyDescent="0.25">
      <c r="A3831" s="28" t="s">
        <v>6220</v>
      </c>
      <c r="B3831" s="29">
        <v>2590</v>
      </c>
      <c r="C3831" s="28"/>
      <c r="D3831" s="28" t="s">
        <v>383</v>
      </c>
      <c r="E3831" s="3"/>
      <c r="H3831" s="7"/>
      <c r="K3831" s="30"/>
    </row>
    <row r="3832" spans="1:11" s="2" customFormat="1" x14ac:dyDescent="0.25">
      <c r="A3832" s="28" t="s">
        <v>6221</v>
      </c>
      <c r="B3832" s="29">
        <v>102</v>
      </c>
      <c r="C3832" s="28"/>
      <c r="D3832" s="28" t="s">
        <v>383</v>
      </c>
      <c r="E3832" s="3"/>
      <c r="H3832" s="7"/>
      <c r="K3832" s="30"/>
    </row>
    <row r="3833" spans="1:11" s="2" customFormat="1" x14ac:dyDescent="0.25">
      <c r="A3833" s="28" t="s">
        <v>6222</v>
      </c>
      <c r="B3833" s="29">
        <v>2116</v>
      </c>
      <c r="C3833" s="28"/>
      <c r="D3833" s="28" t="s">
        <v>383</v>
      </c>
      <c r="E3833" s="3"/>
      <c r="H3833" s="7"/>
      <c r="K3833" s="30"/>
    </row>
    <row r="3834" spans="1:11" s="2" customFormat="1" x14ac:dyDescent="0.25">
      <c r="A3834" s="28" t="s">
        <v>6223</v>
      </c>
      <c r="B3834" s="29">
        <v>81</v>
      </c>
      <c r="C3834" s="28"/>
      <c r="D3834" s="28" t="s">
        <v>383</v>
      </c>
      <c r="E3834" s="3"/>
      <c r="H3834" s="7"/>
      <c r="K3834" s="30"/>
    </row>
    <row r="3835" spans="1:11" s="2" customFormat="1" x14ac:dyDescent="0.25">
      <c r="A3835" s="28" t="s">
        <v>6224</v>
      </c>
      <c r="B3835" s="29">
        <v>89</v>
      </c>
      <c r="C3835" s="28"/>
      <c r="D3835" s="28" t="s">
        <v>383</v>
      </c>
      <c r="E3835" s="3"/>
      <c r="H3835" s="7"/>
      <c r="K3835" s="30"/>
    </row>
    <row r="3836" spans="1:11" s="2" customFormat="1" x14ac:dyDescent="0.25">
      <c r="A3836" s="28" t="s">
        <v>6225</v>
      </c>
      <c r="B3836" s="29">
        <v>46</v>
      </c>
      <c r="C3836" s="28"/>
      <c r="D3836" s="28" t="s">
        <v>383</v>
      </c>
      <c r="E3836" s="3"/>
      <c r="H3836" s="7"/>
      <c r="K3836" s="30"/>
    </row>
    <row r="3837" spans="1:11" s="2" customFormat="1" x14ac:dyDescent="0.25">
      <c r="A3837" s="28" t="s">
        <v>1393</v>
      </c>
      <c r="B3837" s="29">
        <v>163</v>
      </c>
      <c r="C3837" s="28"/>
      <c r="D3837" s="28" t="s">
        <v>383</v>
      </c>
      <c r="E3837" s="3"/>
      <c r="H3837" s="7"/>
      <c r="K3837" s="30"/>
    </row>
    <row r="3838" spans="1:11" s="2" customFormat="1" x14ac:dyDescent="0.25">
      <c r="A3838" s="28" t="s">
        <v>6226</v>
      </c>
      <c r="B3838" s="29">
        <v>69</v>
      </c>
      <c r="C3838" s="28"/>
      <c r="D3838" s="28" t="s">
        <v>383</v>
      </c>
      <c r="E3838" s="3"/>
      <c r="H3838" s="7"/>
      <c r="K3838" s="30"/>
    </row>
    <row r="3839" spans="1:11" s="2" customFormat="1" x14ac:dyDescent="0.25">
      <c r="A3839" s="28" t="s">
        <v>6227</v>
      </c>
      <c r="B3839" s="29">
        <v>157</v>
      </c>
      <c r="C3839" s="28"/>
      <c r="D3839" s="28" t="s">
        <v>383</v>
      </c>
      <c r="E3839" s="3"/>
      <c r="H3839" s="7"/>
      <c r="K3839" s="30"/>
    </row>
    <row r="3840" spans="1:11" s="2" customFormat="1" x14ac:dyDescent="0.25">
      <c r="A3840" s="28" t="s">
        <v>6228</v>
      </c>
      <c r="B3840" s="29">
        <v>25</v>
      </c>
      <c r="C3840" s="28"/>
      <c r="D3840" s="28" t="s">
        <v>383</v>
      </c>
      <c r="E3840" s="3"/>
      <c r="H3840" s="7"/>
      <c r="K3840" s="30"/>
    </row>
    <row r="3841" spans="1:11" s="2" customFormat="1" x14ac:dyDescent="0.25">
      <c r="A3841" s="28" t="s">
        <v>6229</v>
      </c>
      <c r="B3841" s="29">
        <v>100</v>
      </c>
      <c r="C3841" s="28"/>
      <c r="D3841" s="28" t="s">
        <v>383</v>
      </c>
      <c r="E3841" s="3"/>
      <c r="H3841" s="7"/>
      <c r="K3841" s="30"/>
    </row>
    <row r="3842" spans="1:11" s="2" customFormat="1" x14ac:dyDescent="0.25">
      <c r="A3842" s="28" t="s">
        <v>6230</v>
      </c>
      <c r="B3842" s="29">
        <v>89</v>
      </c>
      <c r="C3842" s="28"/>
      <c r="D3842" s="28" t="s">
        <v>383</v>
      </c>
      <c r="E3842" s="3"/>
      <c r="H3842" s="7"/>
      <c r="K3842" s="30"/>
    </row>
    <row r="3843" spans="1:11" s="2" customFormat="1" x14ac:dyDescent="0.25">
      <c r="A3843" s="28" t="s">
        <v>6231</v>
      </c>
      <c r="B3843" s="29">
        <v>122</v>
      </c>
      <c r="C3843" s="28"/>
      <c r="D3843" s="28" t="s">
        <v>383</v>
      </c>
      <c r="E3843" s="3"/>
      <c r="H3843" s="7"/>
      <c r="K3843" s="30"/>
    </row>
    <row r="3844" spans="1:11" s="2" customFormat="1" x14ac:dyDescent="0.25">
      <c r="A3844" s="28" t="s">
        <v>6232</v>
      </c>
      <c r="B3844" s="29">
        <v>5</v>
      </c>
      <c r="C3844" s="28"/>
      <c r="D3844" s="28" t="s">
        <v>383</v>
      </c>
      <c r="E3844" s="3"/>
      <c r="H3844" s="7"/>
      <c r="K3844" s="30"/>
    </row>
    <row r="3845" spans="1:11" s="2" customFormat="1" x14ac:dyDescent="0.25">
      <c r="A3845" s="28" t="s">
        <v>6233</v>
      </c>
      <c r="B3845" s="29">
        <v>12</v>
      </c>
      <c r="C3845" s="28"/>
      <c r="D3845" s="28" t="s">
        <v>383</v>
      </c>
      <c r="E3845" s="3"/>
      <c r="H3845" s="7"/>
      <c r="K3845" s="30"/>
    </row>
    <row r="3846" spans="1:11" s="2" customFormat="1" x14ac:dyDescent="0.25">
      <c r="A3846" s="28" t="s">
        <v>6234</v>
      </c>
      <c r="B3846" s="29">
        <v>74</v>
      </c>
      <c r="C3846" s="28"/>
      <c r="D3846" s="28" t="s">
        <v>383</v>
      </c>
      <c r="E3846" s="3"/>
      <c r="H3846" s="7"/>
      <c r="K3846" s="30"/>
    </row>
    <row r="3847" spans="1:11" s="2" customFormat="1" x14ac:dyDescent="0.25">
      <c r="A3847" s="28" t="s">
        <v>6235</v>
      </c>
      <c r="B3847" s="29">
        <v>593</v>
      </c>
      <c r="C3847" s="28"/>
      <c r="D3847" s="28" t="s">
        <v>383</v>
      </c>
      <c r="E3847" s="3"/>
      <c r="H3847" s="7"/>
      <c r="K3847" s="30"/>
    </row>
    <row r="3848" spans="1:11" s="2" customFormat="1" x14ac:dyDescent="0.25">
      <c r="A3848" s="28" t="s">
        <v>6236</v>
      </c>
      <c r="B3848" s="29">
        <v>81</v>
      </c>
      <c r="C3848" s="28"/>
      <c r="D3848" s="28" t="s">
        <v>383</v>
      </c>
      <c r="E3848" s="3"/>
      <c r="H3848" s="7"/>
      <c r="K3848" s="30"/>
    </row>
    <row r="3849" spans="1:11" s="2" customFormat="1" x14ac:dyDescent="0.25">
      <c r="A3849" s="28" t="s">
        <v>6237</v>
      </c>
      <c r="B3849" s="29">
        <v>100</v>
      </c>
      <c r="C3849" s="28"/>
      <c r="D3849" s="28" t="s">
        <v>383</v>
      </c>
      <c r="E3849" s="3"/>
      <c r="H3849" s="7"/>
      <c r="K3849" s="30"/>
    </row>
    <row r="3850" spans="1:11" s="2" customFormat="1" x14ac:dyDescent="0.25">
      <c r="A3850" s="28" t="s">
        <v>6238</v>
      </c>
      <c r="B3850" s="29">
        <v>16</v>
      </c>
      <c r="C3850" s="28"/>
      <c r="D3850" s="28" t="s">
        <v>383</v>
      </c>
      <c r="E3850" s="3"/>
      <c r="H3850" s="7"/>
      <c r="K3850" s="30"/>
    </row>
    <row r="3851" spans="1:11" s="2" customFormat="1" x14ac:dyDescent="0.25">
      <c r="A3851" s="28" t="s">
        <v>6239</v>
      </c>
      <c r="B3851" s="29">
        <v>11</v>
      </c>
      <c r="C3851" s="28"/>
      <c r="D3851" s="28" t="s">
        <v>383</v>
      </c>
      <c r="E3851" s="3"/>
      <c r="H3851" s="7"/>
      <c r="K3851" s="30"/>
    </row>
    <row r="3852" spans="1:11" s="2" customFormat="1" x14ac:dyDescent="0.25">
      <c r="A3852" s="28" t="s">
        <v>6240</v>
      </c>
      <c r="B3852" s="29">
        <v>81</v>
      </c>
      <c r="C3852" s="28"/>
      <c r="D3852" s="28" t="s">
        <v>383</v>
      </c>
      <c r="E3852" s="3"/>
      <c r="H3852" s="7"/>
      <c r="K3852" s="30"/>
    </row>
    <row r="3853" spans="1:11" s="2" customFormat="1" x14ac:dyDescent="0.25">
      <c r="A3853" s="28" t="s">
        <v>6241</v>
      </c>
      <c r="B3853" s="29">
        <v>56</v>
      </c>
      <c r="C3853" s="28"/>
      <c r="D3853" s="28" t="s">
        <v>383</v>
      </c>
      <c r="E3853" s="3"/>
      <c r="H3853" s="7"/>
      <c r="K3853" s="30"/>
    </row>
    <row r="3854" spans="1:11" s="2" customFormat="1" x14ac:dyDescent="0.25">
      <c r="A3854" s="28" t="s">
        <v>6242</v>
      </c>
      <c r="B3854" s="29">
        <v>84</v>
      </c>
      <c r="C3854" s="28"/>
      <c r="D3854" s="28" t="s">
        <v>383</v>
      </c>
      <c r="E3854" s="3"/>
      <c r="H3854" s="7"/>
      <c r="K3854" s="30"/>
    </row>
    <row r="3855" spans="1:11" s="2" customFormat="1" x14ac:dyDescent="0.25">
      <c r="A3855" s="28" t="s">
        <v>6243</v>
      </c>
      <c r="B3855" s="29">
        <v>20</v>
      </c>
      <c r="C3855" s="28"/>
      <c r="D3855" s="28" t="s">
        <v>383</v>
      </c>
      <c r="E3855" s="3"/>
      <c r="H3855" s="7"/>
      <c r="K3855" s="30"/>
    </row>
    <row r="3856" spans="1:11" s="2" customFormat="1" x14ac:dyDescent="0.25">
      <c r="A3856" s="28" t="s">
        <v>6244</v>
      </c>
      <c r="B3856" s="29">
        <v>18</v>
      </c>
      <c r="C3856" s="28"/>
      <c r="D3856" s="28" t="s">
        <v>383</v>
      </c>
      <c r="E3856" s="3"/>
      <c r="H3856" s="7"/>
      <c r="K3856" s="30"/>
    </row>
    <row r="3857" spans="1:11" s="2" customFormat="1" x14ac:dyDescent="0.25">
      <c r="A3857" s="28" t="s">
        <v>6245</v>
      </c>
      <c r="B3857" s="29">
        <v>50</v>
      </c>
      <c r="C3857" s="28"/>
      <c r="D3857" s="28" t="s">
        <v>383</v>
      </c>
      <c r="E3857" s="3"/>
      <c r="H3857" s="7"/>
      <c r="K3857" s="30"/>
    </row>
    <row r="3858" spans="1:11" s="2" customFormat="1" x14ac:dyDescent="0.25">
      <c r="A3858" s="28" t="s">
        <v>6246</v>
      </c>
      <c r="B3858" s="29">
        <v>18</v>
      </c>
      <c r="C3858" s="28"/>
      <c r="D3858" s="28" t="s">
        <v>383</v>
      </c>
      <c r="E3858" s="3"/>
      <c r="H3858" s="7"/>
      <c r="K3858" s="30"/>
    </row>
    <row r="3859" spans="1:11" s="2" customFormat="1" x14ac:dyDescent="0.25">
      <c r="A3859" s="28" t="s">
        <v>6247</v>
      </c>
      <c r="B3859" s="29">
        <v>48</v>
      </c>
      <c r="C3859" s="28"/>
      <c r="D3859" s="28" t="s">
        <v>383</v>
      </c>
      <c r="E3859" s="3"/>
      <c r="H3859" s="7"/>
      <c r="K3859" s="30"/>
    </row>
    <row r="3860" spans="1:11" s="2" customFormat="1" x14ac:dyDescent="0.25">
      <c r="A3860" s="28" t="s">
        <v>6248</v>
      </c>
      <c r="B3860" s="29">
        <v>78</v>
      </c>
      <c r="C3860" s="28"/>
      <c r="D3860" s="28" t="s">
        <v>383</v>
      </c>
      <c r="E3860" s="3"/>
      <c r="H3860" s="7"/>
      <c r="K3860" s="30"/>
    </row>
    <row r="3861" spans="1:11" s="2" customFormat="1" x14ac:dyDescent="0.25">
      <c r="A3861" s="28" t="s">
        <v>6249</v>
      </c>
      <c r="B3861" s="29">
        <v>223</v>
      </c>
      <c r="C3861" s="28"/>
      <c r="D3861" s="28" t="s">
        <v>383</v>
      </c>
      <c r="E3861" s="3"/>
      <c r="H3861" s="7"/>
      <c r="K3861" s="30"/>
    </row>
    <row r="3862" spans="1:11" s="2" customFormat="1" x14ac:dyDescent="0.25">
      <c r="A3862" s="28" t="s">
        <v>6250</v>
      </c>
      <c r="B3862" s="29">
        <v>87</v>
      </c>
      <c r="C3862" s="28"/>
      <c r="D3862" s="28" t="s">
        <v>383</v>
      </c>
      <c r="E3862" s="3"/>
      <c r="H3862" s="7"/>
      <c r="K3862" s="30"/>
    </row>
    <row r="3863" spans="1:11" s="2" customFormat="1" x14ac:dyDescent="0.25">
      <c r="A3863" s="28" t="s">
        <v>6251</v>
      </c>
      <c r="B3863" s="29">
        <v>50</v>
      </c>
      <c r="C3863" s="28"/>
      <c r="D3863" s="28" t="s">
        <v>383</v>
      </c>
      <c r="E3863" s="3"/>
      <c r="H3863" s="7"/>
      <c r="K3863" s="30"/>
    </row>
    <row r="3864" spans="1:11" s="2" customFormat="1" x14ac:dyDescent="0.25">
      <c r="A3864" s="28" t="s">
        <v>6252</v>
      </c>
      <c r="B3864" s="29">
        <v>19</v>
      </c>
      <c r="C3864" s="28"/>
      <c r="D3864" s="28" t="s">
        <v>383</v>
      </c>
      <c r="E3864" s="3"/>
      <c r="H3864" s="7"/>
      <c r="K3864" s="30"/>
    </row>
    <row r="3865" spans="1:11" s="2" customFormat="1" x14ac:dyDescent="0.25">
      <c r="A3865" s="28" t="s">
        <v>6253</v>
      </c>
      <c r="B3865" s="29">
        <v>41</v>
      </c>
      <c r="C3865" s="28"/>
      <c r="D3865" s="28" t="s">
        <v>383</v>
      </c>
      <c r="E3865" s="3"/>
      <c r="H3865" s="7"/>
      <c r="K3865" s="30"/>
    </row>
    <row r="3866" spans="1:11" s="2" customFormat="1" x14ac:dyDescent="0.25">
      <c r="A3866" s="28" t="s">
        <v>6254</v>
      </c>
      <c r="B3866" s="29">
        <v>16</v>
      </c>
      <c r="C3866" s="28"/>
      <c r="D3866" s="28" t="s">
        <v>383</v>
      </c>
      <c r="E3866" s="3"/>
      <c r="H3866" s="7"/>
      <c r="K3866" s="30"/>
    </row>
    <row r="3867" spans="1:11" s="2" customFormat="1" x14ac:dyDescent="0.25">
      <c r="A3867" s="28" t="s">
        <v>6255</v>
      </c>
      <c r="B3867" s="29">
        <v>242</v>
      </c>
      <c r="C3867" s="28"/>
      <c r="D3867" s="28" t="s">
        <v>383</v>
      </c>
      <c r="E3867" s="3"/>
      <c r="H3867" s="7"/>
      <c r="K3867" s="30"/>
    </row>
    <row r="3868" spans="1:11" s="2" customFormat="1" x14ac:dyDescent="0.25">
      <c r="A3868" s="28" t="s">
        <v>6256</v>
      </c>
      <c r="B3868" s="29">
        <v>2</v>
      </c>
      <c r="C3868" s="28"/>
      <c r="D3868" s="28" t="s">
        <v>383</v>
      </c>
      <c r="E3868" s="3"/>
      <c r="H3868" s="7"/>
      <c r="K3868" s="30"/>
    </row>
    <row r="3869" spans="1:11" s="2" customFormat="1" x14ac:dyDescent="0.25">
      <c r="A3869" s="28" t="s">
        <v>6257</v>
      </c>
      <c r="B3869" s="29">
        <v>36</v>
      </c>
      <c r="C3869" s="28"/>
      <c r="D3869" s="28" t="s">
        <v>383</v>
      </c>
      <c r="E3869" s="3"/>
      <c r="H3869" s="7"/>
      <c r="K3869" s="30"/>
    </row>
    <row r="3870" spans="1:11" s="2" customFormat="1" x14ac:dyDescent="0.25">
      <c r="A3870" s="28" t="s">
        <v>6258</v>
      </c>
      <c r="B3870" s="29">
        <v>19</v>
      </c>
      <c r="C3870" s="28"/>
      <c r="D3870" s="28" t="s">
        <v>383</v>
      </c>
      <c r="E3870" s="3"/>
      <c r="H3870" s="7"/>
      <c r="K3870" s="30"/>
    </row>
    <row r="3871" spans="1:11" s="2" customFormat="1" x14ac:dyDescent="0.25">
      <c r="A3871" s="28" t="s">
        <v>6259</v>
      </c>
      <c r="B3871" s="29">
        <v>29</v>
      </c>
      <c r="C3871" s="28"/>
      <c r="D3871" s="28" t="s">
        <v>383</v>
      </c>
      <c r="E3871" s="3"/>
      <c r="H3871" s="7"/>
      <c r="K3871" s="30"/>
    </row>
    <row r="3872" spans="1:11" s="2" customFormat="1" x14ac:dyDescent="0.25">
      <c r="A3872" s="28" t="s">
        <v>6260</v>
      </c>
      <c r="B3872" s="29">
        <v>22</v>
      </c>
      <c r="C3872" s="28"/>
      <c r="D3872" s="28" t="s">
        <v>383</v>
      </c>
      <c r="E3872" s="3"/>
      <c r="H3872" s="7"/>
      <c r="K3872" s="30"/>
    </row>
    <row r="3873" spans="1:11" s="2" customFormat="1" x14ac:dyDescent="0.25">
      <c r="A3873" s="28" t="s">
        <v>6261</v>
      </c>
      <c r="B3873" s="29">
        <v>71</v>
      </c>
      <c r="C3873" s="28"/>
      <c r="D3873" s="28" t="s">
        <v>383</v>
      </c>
      <c r="E3873" s="3"/>
      <c r="H3873" s="7"/>
      <c r="K3873" s="30"/>
    </row>
    <row r="3874" spans="1:11" s="2" customFormat="1" x14ac:dyDescent="0.25">
      <c r="A3874" s="28" t="s">
        <v>6262</v>
      </c>
      <c r="B3874" s="29">
        <v>19</v>
      </c>
      <c r="C3874" s="28"/>
      <c r="D3874" s="28" t="s">
        <v>383</v>
      </c>
      <c r="E3874" s="3"/>
      <c r="H3874" s="7"/>
      <c r="K3874" s="30"/>
    </row>
    <row r="3875" spans="1:11" s="2" customFormat="1" x14ac:dyDescent="0.25">
      <c r="A3875" s="28" t="s">
        <v>6263</v>
      </c>
      <c r="B3875" s="29">
        <v>6</v>
      </c>
      <c r="C3875" s="28"/>
      <c r="D3875" s="28" t="s">
        <v>383</v>
      </c>
      <c r="E3875" s="3"/>
      <c r="H3875" s="7"/>
      <c r="K3875" s="30"/>
    </row>
    <row r="3876" spans="1:11" s="2" customFormat="1" x14ac:dyDescent="0.25">
      <c r="A3876" s="28" t="s">
        <v>6264</v>
      </c>
      <c r="B3876" s="29">
        <v>54</v>
      </c>
      <c r="C3876" s="28"/>
      <c r="D3876" s="28" t="s">
        <v>383</v>
      </c>
      <c r="E3876" s="3"/>
      <c r="H3876" s="7"/>
      <c r="K3876" s="30"/>
    </row>
    <row r="3877" spans="1:11" s="2" customFormat="1" x14ac:dyDescent="0.25">
      <c r="A3877" s="28" t="s">
        <v>6265</v>
      </c>
      <c r="B3877" s="29">
        <v>22</v>
      </c>
      <c r="C3877" s="28"/>
      <c r="D3877" s="28" t="s">
        <v>383</v>
      </c>
      <c r="E3877" s="3"/>
      <c r="H3877" s="7"/>
      <c r="K3877" s="30"/>
    </row>
    <row r="3878" spans="1:11" s="2" customFormat="1" x14ac:dyDescent="0.25">
      <c r="A3878" s="28" t="s">
        <v>6266</v>
      </c>
      <c r="B3878" s="29">
        <v>1</v>
      </c>
      <c r="C3878" s="28"/>
      <c r="D3878" s="28" t="s">
        <v>383</v>
      </c>
      <c r="E3878" s="3"/>
      <c r="H3878" s="7"/>
      <c r="K3878" s="30"/>
    </row>
    <row r="3879" spans="1:11" s="2" customFormat="1" x14ac:dyDescent="0.25">
      <c r="A3879" s="28" t="s">
        <v>6267</v>
      </c>
      <c r="B3879" s="29">
        <v>98</v>
      </c>
      <c r="C3879" s="28"/>
      <c r="D3879" s="28" t="s">
        <v>383</v>
      </c>
      <c r="E3879" s="3"/>
      <c r="H3879" s="7"/>
      <c r="K3879" s="30"/>
    </row>
    <row r="3880" spans="1:11" s="2" customFormat="1" x14ac:dyDescent="0.25">
      <c r="A3880" s="28" t="s">
        <v>6268</v>
      </c>
      <c r="B3880" s="29">
        <v>58</v>
      </c>
      <c r="C3880" s="28"/>
      <c r="D3880" s="28" t="s">
        <v>383</v>
      </c>
      <c r="E3880" s="3"/>
      <c r="H3880" s="7"/>
      <c r="K3880" s="30"/>
    </row>
    <row r="3881" spans="1:11" s="2" customFormat="1" x14ac:dyDescent="0.25">
      <c r="A3881" s="28" t="s">
        <v>6269</v>
      </c>
      <c r="B3881" s="29">
        <v>91</v>
      </c>
      <c r="C3881" s="28"/>
      <c r="D3881" s="28" t="s">
        <v>383</v>
      </c>
      <c r="E3881" s="3"/>
      <c r="H3881" s="7"/>
      <c r="K3881" s="30"/>
    </row>
    <row r="3882" spans="1:11" s="2" customFormat="1" x14ac:dyDescent="0.25">
      <c r="A3882" s="28" t="s">
        <v>6270</v>
      </c>
      <c r="B3882" s="29">
        <v>6</v>
      </c>
      <c r="C3882" s="28"/>
      <c r="D3882" s="28" t="s">
        <v>383</v>
      </c>
      <c r="E3882" s="3"/>
      <c r="H3882" s="7"/>
      <c r="K3882" s="30"/>
    </row>
    <row r="3883" spans="1:11" s="2" customFormat="1" x14ac:dyDescent="0.25">
      <c r="A3883" s="28" t="s">
        <v>6271</v>
      </c>
      <c r="B3883" s="29">
        <v>36</v>
      </c>
      <c r="C3883" s="28"/>
      <c r="D3883" s="28" t="s">
        <v>383</v>
      </c>
      <c r="E3883" s="3"/>
      <c r="H3883" s="7"/>
      <c r="K3883" s="30"/>
    </row>
    <row r="3884" spans="1:11" s="2" customFormat="1" x14ac:dyDescent="0.25">
      <c r="A3884" s="28" t="s">
        <v>6272</v>
      </c>
      <c r="B3884" s="29">
        <v>8</v>
      </c>
      <c r="C3884" s="28"/>
      <c r="D3884" s="28" t="s">
        <v>383</v>
      </c>
      <c r="E3884" s="3"/>
      <c r="H3884" s="7"/>
      <c r="K3884" s="30"/>
    </row>
    <row r="3885" spans="1:11" s="2" customFormat="1" x14ac:dyDescent="0.25">
      <c r="A3885" s="28" t="s">
        <v>6273</v>
      </c>
      <c r="B3885" s="29">
        <v>25</v>
      </c>
      <c r="C3885" s="28"/>
      <c r="D3885" s="28" t="s">
        <v>383</v>
      </c>
      <c r="E3885" s="3"/>
      <c r="H3885" s="7"/>
      <c r="K3885" s="30"/>
    </row>
    <row r="3886" spans="1:11" s="2" customFormat="1" x14ac:dyDescent="0.25">
      <c r="A3886" s="28" t="s">
        <v>6274</v>
      </c>
      <c r="B3886" s="29">
        <v>39</v>
      </c>
      <c r="C3886" s="28"/>
      <c r="D3886" s="28" t="s">
        <v>383</v>
      </c>
      <c r="E3886" s="3"/>
      <c r="H3886" s="7"/>
      <c r="K3886" s="30"/>
    </row>
    <row r="3887" spans="1:11" s="2" customFormat="1" x14ac:dyDescent="0.25">
      <c r="A3887" s="28" t="s">
        <v>6275</v>
      </c>
      <c r="B3887" s="29">
        <v>10</v>
      </c>
      <c r="C3887" s="28"/>
      <c r="D3887" s="28" t="s">
        <v>383</v>
      </c>
      <c r="E3887" s="3"/>
      <c r="H3887" s="7"/>
      <c r="K3887" s="30"/>
    </row>
    <row r="3888" spans="1:11" s="2" customFormat="1" x14ac:dyDescent="0.25">
      <c r="A3888" s="28" t="s">
        <v>6276</v>
      </c>
      <c r="B3888" s="29">
        <v>1</v>
      </c>
      <c r="C3888" s="28"/>
      <c r="D3888" s="28" t="s">
        <v>383</v>
      </c>
      <c r="E3888" s="3"/>
      <c r="H3888" s="7"/>
      <c r="K3888" s="30"/>
    </row>
    <row r="3889" spans="1:11" s="2" customFormat="1" x14ac:dyDescent="0.25">
      <c r="A3889" s="28" t="s">
        <v>6277</v>
      </c>
      <c r="B3889" s="29">
        <v>40</v>
      </c>
      <c r="C3889" s="28"/>
      <c r="D3889" s="28" t="s">
        <v>383</v>
      </c>
      <c r="E3889" s="3"/>
      <c r="H3889" s="7"/>
      <c r="K3889" s="30"/>
    </row>
    <row r="3890" spans="1:11" s="2" customFormat="1" x14ac:dyDescent="0.25">
      <c r="A3890" s="28" t="s">
        <v>6278</v>
      </c>
      <c r="B3890" s="29">
        <v>120</v>
      </c>
      <c r="C3890" s="28"/>
      <c r="D3890" s="28" t="s">
        <v>383</v>
      </c>
      <c r="E3890" s="3"/>
      <c r="H3890" s="7"/>
      <c r="K3890" s="30"/>
    </row>
    <row r="3891" spans="1:11" s="2" customFormat="1" x14ac:dyDescent="0.25">
      <c r="A3891" s="28" t="s">
        <v>6279</v>
      </c>
      <c r="B3891" s="29">
        <v>29</v>
      </c>
      <c r="C3891" s="28"/>
      <c r="D3891" s="28" t="s">
        <v>383</v>
      </c>
      <c r="E3891" s="3"/>
      <c r="H3891" s="7"/>
      <c r="K3891" s="30"/>
    </row>
    <row r="3892" spans="1:11" s="2" customFormat="1" x14ac:dyDescent="0.25">
      <c r="A3892" s="28" t="s">
        <v>6280</v>
      </c>
      <c r="B3892" s="29">
        <v>2</v>
      </c>
      <c r="C3892" s="28"/>
      <c r="D3892" s="28" t="s">
        <v>383</v>
      </c>
      <c r="E3892" s="3"/>
      <c r="H3892" s="7"/>
      <c r="K3892" s="30"/>
    </row>
    <row r="3893" spans="1:11" s="2" customFormat="1" x14ac:dyDescent="0.25">
      <c r="A3893" s="28" t="s">
        <v>6281</v>
      </c>
      <c r="B3893" s="29">
        <v>22</v>
      </c>
      <c r="C3893" s="28"/>
      <c r="D3893" s="28" t="s">
        <v>383</v>
      </c>
      <c r="E3893" s="3"/>
      <c r="H3893" s="7"/>
      <c r="K3893" s="30"/>
    </row>
    <row r="3894" spans="1:11" s="2" customFormat="1" x14ac:dyDescent="0.25">
      <c r="A3894" s="28" t="s">
        <v>6282</v>
      </c>
      <c r="B3894" s="29">
        <v>2</v>
      </c>
      <c r="C3894" s="28"/>
      <c r="D3894" s="28" t="s">
        <v>383</v>
      </c>
      <c r="E3894" s="3"/>
      <c r="H3894" s="7"/>
      <c r="K3894" s="30"/>
    </row>
    <row r="3895" spans="1:11" s="2" customFormat="1" x14ac:dyDescent="0.25">
      <c r="A3895" s="28" t="s">
        <v>6283</v>
      </c>
      <c r="B3895" s="29">
        <v>10</v>
      </c>
      <c r="C3895" s="28"/>
      <c r="D3895" s="28" t="s">
        <v>383</v>
      </c>
      <c r="E3895" s="3"/>
      <c r="H3895" s="7"/>
      <c r="K3895" s="30"/>
    </row>
    <row r="3896" spans="1:11" s="2" customFormat="1" x14ac:dyDescent="0.25">
      <c r="A3896" s="28" t="s">
        <v>6284</v>
      </c>
      <c r="B3896" s="29">
        <v>2</v>
      </c>
      <c r="C3896" s="28"/>
      <c r="D3896" s="28" t="s">
        <v>383</v>
      </c>
      <c r="E3896" s="3"/>
      <c r="H3896" s="7"/>
      <c r="K3896" s="30"/>
    </row>
    <row r="3897" spans="1:11" s="2" customFormat="1" x14ac:dyDescent="0.25">
      <c r="A3897" s="28" t="s">
        <v>6285</v>
      </c>
      <c r="B3897" s="29">
        <v>2</v>
      </c>
      <c r="C3897" s="28"/>
      <c r="D3897" s="28" t="s">
        <v>383</v>
      </c>
      <c r="E3897" s="3"/>
      <c r="H3897" s="7"/>
      <c r="K3897" s="30"/>
    </row>
    <row r="3898" spans="1:11" s="2" customFormat="1" x14ac:dyDescent="0.25">
      <c r="A3898" s="28" t="s">
        <v>6286</v>
      </c>
      <c r="B3898" s="29">
        <v>230</v>
      </c>
      <c r="C3898" s="28"/>
      <c r="D3898" s="28" t="s">
        <v>383</v>
      </c>
      <c r="E3898" s="3"/>
      <c r="H3898" s="7"/>
      <c r="K3898" s="30"/>
    </row>
    <row r="3899" spans="1:11" s="2" customFormat="1" x14ac:dyDescent="0.25">
      <c r="A3899" s="28" t="s">
        <v>6287</v>
      </c>
      <c r="B3899" s="29">
        <v>3</v>
      </c>
      <c r="C3899" s="28"/>
      <c r="D3899" s="28" t="s">
        <v>383</v>
      </c>
      <c r="E3899" s="3"/>
      <c r="H3899" s="7"/>
      <c r="K3899" s="30"/>
    </row>
    <row r="3900" spans="1:11" s="2" customFormat="1" x14ac:dyDescent="0.25">
      <c r="A3900" s="28" t="s">
        <v>6288</v>
      </c>
      <c r="B3900" s="29">
        <v>224</v>
      </c>
      <c r="C3900" s="28"/>
      <c r="D3900" s="28" t="s">
        <v>383</v>
      </c>
      <c r="E3900" s="3"/>
      <c r="H3900" s="7"/>
      <c r="K3900" s="30"/>
    </row>
    <row r="3901" spans="1:11" s="2" customFormat="1" x14ac:dyDescent="0.25">
      <c r="A3901" s="28" t="s">
        <v>6289</v>
      </c>
      <c r="B3901" s="29">
        <v>4</v>
      </c>
      <c r="C3901" s="28"/>
      <c r="D3901" s="28" t="s">
        <v>383</v>
      </c>
      <c r="E3901" s="3"/>
      <c r="H3901" s="7"/>
      <c r="K3901" s="30"/>
    </row>
    <row r="3902" spans="1:11" s="2" customFormat="1" x14ac:dyDescent="0.25">
      <c r="A3902" s="28" t="s">
        <v>6290</v>
      </c>
      <c r="B3902" s="29">
        <v>220</v>
      </c>
      <c r="C3902" s="28"/>
      <c r="D3902" s="28" t="s">
        <v>383</v>
      </c>
      <c r="E3902" s="3"/>
      <c r="H3902" s="7"/>
      <c r="K3902" s="30"/>
    </row>
    <row r="3903" spans="1:11" s="2" customFormat="1" x14ac:dyDescent="0.25">
      <c r="A3903" s="28" t="s">
        <v>6291</v>
      </c>
      <c r="B3903" s="29">
        <v>16</v>
      </c>
      <c r="C3903" s="28"/>
      <c r="D3903" s="28" t="s">
        <v>383</v>
      </c>
      <c r="E3903" s="3"/>
      <c r="H3903" s="7"/>
      <c r="K3903" s="30"/>
    </row>
    <row r="3904" spans="1:11" s="2" customFormat="1" x14ac:dyDescent="0.25">
      <c r="A3904" s="28" t="s">
        <v>6292</v>
      </c>
      <c r="B3904" s="29">
        <v>2</v>
      </c>
      <c r="C3904" s="28"/>
      <c r="D3904" s="28" t="s">
        <v>383</v>
      </c>
      <c r="E3904" s="3"/>
      <c r="H3904" s="7"/>
      <c r="K3904" s="30"/>
    </row>
    <row r="3905" spans="1:11" s="2" customFormat="1" x14ac:dyDescent="0.25">
      <c r="A3905" s="28" t="s">
        <v>6293</v>
      </c>
      <c r="B3905" s="29">
        <v>2</v>
      </c>
      <c r="C3905" s="28"/>
      <c r="D3905" s="28" t="s">
        <v>383</v>
      </c>
      <c r="E3905" s="3"/>
      <c r="H3905" s="7"/>
      <c r="K3905" s="30"/>
    </row>
    <row r="3906" spans="1:11" s="2" customFormat="1" x14ac:dyDescent="0.25">
      <c r="A3906" s="28" t="s">
        <v>6294</v>
      </c>
      <c r="B3906" s="29">
        <v>1</v>
      </c>
      <c r="C3906" s="28"/>
      <c r="D3906" s="28" t="s">
        <v>383</v>
      </c>
      <c r="E3906" s="3"/>
      <c r="H3906" s="7"/>
      <c r="K3906" s="30"/>
    </row>
    <row r="3907" spans="1:11" s="2" customFormat="1" x14ac:dyDescent="0.25">
      <c r="A3907" s="28" t="s">
        <v>6295</v>
      </c>
      <c r="B3907" s="29">
        <v>1</v>
      </c>
      <c r="C3907" s="28"/>
      <c r="D3907" s="28" t="s">
        <v>383</v>
      </c>
      <c r="E3907" s="3"/>
      <c r="H3907" s="7"/>
      <c r="K3907" s="30"/>
    </row>
    <row r="3908" spans="1:11" s="2" customFormat="1" x14ac:dyDescent="0.25">
      <c r="A3908" s="28" t="s">
        <v>6296</v>
      </c>
      <c r="B3908" s="29">
        <v>4</v>
      </c>
      <c r="C3908" s="28"/>
      <c r="D3908" s="28" t="s">
        <v>383</v>
      </c>
      <c r="E3908" s="3"/>
      <c r="H3908" s="7"/>
      <c r="K3908" s="30"/>
    </row>
    <row r="3909" spans="1:11" s="2" customFormat="1" x14ac:dyDescent="0.25">
      <c r="A3909" s="28" t="s">
        <v>6297</v>
      </c>
      <c r="B3909" s="29">
        <v>4</v>
      </c>
      <c r="C3909" s="28"/>
      <c r="D3909" s="28" t="s">
        <v>383</v>
      </c>
      <c r="E3909" s="3"/>
      <c r="H3909" s="7"/>
      <c r="K3909" s="30"/>
    </row>
    <row r="3910" spans="1:11" s="2" customFormat="1" x14ac:dyDescent="0.25">
      <c r="A3910" s="28" t="s">
        <v>6298</v>
      </c>
      <c r="B3910" s="29">
        <v>10</v>
      </c>
      <c r="C3910" s="28"/>
      <c r="D3910" s="28" t="s">
        <v>383</v>
      </c>
      <c r="E3910" s="3"/>
      <c r="H3910" s="7"/>
      <c r="K3910" s="30"/>
    </row>
    <row r="3911" spans="1:11" s="2" customFormat="1" x14ac:dyDescent="0.25">
      <c r="A3911" s="28" t="s">
        <v>6299</v>
      </c>
      <c r="B3911" s="29">
        <v>9</v>
      </c>
      <c r="C3911" s="28"/>
      <c r="D3911" s="28" t="s">
        <v>383</v>
      </c>
      <c r="E3911" s="3"/>
      <c r="H3911" s="7"/>
      <c r="K3911" s="30"/>
    </row>
    <row r="3912" spans="1:11" s="2" customFormat="1" x14ac:dyDescent="0.25">
      <c r="A3912" s="28" t="s">
        <v>6300</v>
      </c>
      <c r="B3912" s="29">
        <v>4</v>
      </c>
      <c r="C3912" s="28"/>
      <c r="D3912" s="28" t="s">
        <v>383</v>
      </c>
      <c r="E3912" s="3"/>
      <c r="H3912" s="7"/>
      <c r="K3912" s="30"/>
    </row>
    <row r="3913" spans="1:11" s="2" customFormat="1" x14ac:dyDescent="0.25">
      <c r="A3913" s="28" t="s">
        <v>6301</v>
      </c>
      <c r="B3913" s="29">
        <v>2</v>
      </c>
      <c r="C3913" s="28"/>
      <c r="D3913" s="28" t="s">
        <v>383</v>
      </c>
      <c r="E3913" s="3"/>
      <c r="H3913" s="7"/>
      <c r="K3913" s="30"/>
    </row>
    <row r="3914" spans="1:11" s="2" customFormat="1" x14ac:dyDescent="0.25">
      <c r="A3914" s="28" t="s">
        <v>6302</v>
      </c>
      <c r="B3914" s="29">
        <v>5</v>
      </c>
      <c r="C3914" s="28"/>
      <c r="D3914" s="28" t="s">
        <v>383</v>
      </c>
      <c r="E3914" s="3"/>
      <c r="H3914" s="7"/>
      <c r="K3914" s="30"/>
    </row>
    <row r="3915" spans="1:11" s="2" customFormat="1" x14ac:dyDescent="0.25">
      <c r="A3915" s="28" t="s">
        <v>6303</v>
      </c>
      <c r="B3915" s="29">
        <v>2</v>
      </c>
      <c r="C3915" s="28"/>
      <c r="D3915" s="28" t="s">
        <v>383</v>
      </c>
      <c r="E3915" s="3"/>
      <c r="H3915" s="7"/>
      <c r="K3915" s="30"/>
    </row>
    <row r="3916" spans="1:11" s="2" customFormat="1" x14ac:dyDescent="0.25">
      <c r="A3916" s="28" t="s">
        <v>6304</v>
      </c>
      <c r="B3916" s="29">
        <v>1</v>
      </c>
      <c r="C3916" s="28"/>
      <c r="D3916" s="28" t="s">
        <v>383</v>
      </c>
      <c r="E3916" s="3"/>
      <c r="H3916" s="7"/>
      <c r="K3916" s="30"/>
    </row>
    <row r="3917" spans="1:11" s="2" customFormat="1" x14ac:dyDescent="0.25">
      <c r="A3917" s="28" t="s">
        <v>6305</v>
      </c>
      <c r="B3917" s="29">
        <v>1</v>
      </c>
      <c r="C3917" s="28"/>
      <c r="D3917" s="28" t="s">
        <v>383</v>
      </c>
      <c r="E3917" s="3"/>
      <c r="H3917" s="7"/>
      <c r="K3917" s="30"/>
    </row>
    <row r="3918" spans="1:11" s="2" customFormat="1" x14ac:dyDescent="0.25">
      <c r="A3918" s="28" t="s">
        <v>6306</v>
      </c>
      <c r="B3918" s="29">
        <v>6</v>
      </c>
      <c r="C3918" s="28"/>
      <c r="D3918" s="28" t="s">
        <v>1043</v>
      </c>
      <c r="E3918" s="3"/>
      <c r="H3918" s="7"/>
      <c r="K3918" s="30"/>
    </row>
    <row r="3919" spans="1:11" s="2" customFormat="1" x14ac:dyDescent="0.25">
      <c r="A3919" s="28" t="s">
        <v>6307</v>
      </c>
      <c r="B3919" s="29">
        <v>2</v>
      </c>
      <c r="C3919" s="28"/>
      <c r="D3919" s="28" t="s">
        <v>1043</v>
      </c>
      <c r="E3919" s="3"/>
      <c r="H3919" s="7"/>
      <c r="K3919" s="30"/>
    </row>
    <row r="3920" spans="1:11" s="2" customFormat="1" x14ac:dyDescent="0.25">
      <c r="A3920" s="28" t="s">
        <v>6308</v>
      </c>
      <c r="B3920" s="29">
        <v>2</v>
      </c>
      <c r="C3920" s="28"/>
      <c r="D3920" s="28" t="s">
        <v>1043</v>
      </c>
      <c r="E3920" s="3"/>
      <c r="H3920" s="7"/>
      <c r="K3920" s="30"/>
    </row>
    <row r="3921" spans="1:11" s="2" customFormat="1" x14ac:dyDescent="0.25">
      <c r="A3921" s="28" t="s">
        <v>6309</v>
      </c>
      <c r="B3921" s="29">
        <v>1</v>
      </c>
      <c r="C3921" s="28"/>
      <c r="D3921" s="28" t="s">
        <v>1043</v>
      </c>
      <c r="E3921" s="3"/>
      <c r="H3921" s="7"/>
      <c r="K3921" s="30"/>
    </row>
    <row r="3922" spans="1:11" s="2" customFormat="1" x14ac:dyDescent="0.25">
      <c r="A3922" s="28" t="s">
        <v>6310</v>
      </c>
      <c r="B3922" s="29">
        <v>32</v>
      </c>
      <c r="C3922" s="28"/>
      <c r="D3922" s="28" t="s">
        <v>6311</v>
      </c>
      <c r="E3922" s="3"/>
      <c r="H3922" s="7"/>
      <c r="K3922" s="30"/>
    </row>
    <row r="3923" spans="1:11" s="2" customFormat="1" x14ac:dyDescent="0.25">
      <c r="A3923" s="28" t="s">
        <v>6312</v>
      </c>
      <c r="B3923" s="29">
        <v>31023</v>
      </c>
      <c r="C3923" s="28"/>
      <c r="D3923" s="28" t="s">
        <v>1191</v>
      </c>
      <c r="E3923" s="3"/>
      <c r="H3923" s="7"/>
      <c r="K3923" s="30"/>
    </row>
    <row r="3924" spans="1:11" s="2" customFormat="1" x14ac:dyDescent="0.25">
      <c r="A3924" s="28" t="s">
        <v>6313</v>
      </c>
      <c r="B3924" s="29">
        <v>592</v>
      </c>
      <c r="C3924" s="28"/>
      <c r="D3924" s="28" t="s">
        <v>1191</v>
      </c>
      <c r="E3924" s="3"/>
      <c r="H3924" s="7"/>
      <c r="K3924" s="30"/>
    </row>
    <row r="3925" spans="1:11" s="2" customFormat="1" x14ac:dyDescent="0.25">
      <c r="A3925" s="28" t="s">
        <v>6314</v>
      </c>
      <c r="B3925" s="29">
        <v>208</v>
      </c>
      <c r="C3925" s="28"/>
      <c r="D3925" s="28" t="s">
        <v>1191</v>
      </c>
      <c r="E3925" s="3"/>
      <c r="H3925" s="7"/>
      <c r="K3925" s="30"/>
    </row>
    <row r="3926" spans="1:11" s="2" customFormat="1" x14ac:dyDescent="0.25">
      <c r="A3926" s="28" t="s">
        <v>6315</v>
      </c>
      <c r="B3926" s="29">
        <v>98</v>
      </c>
      <c r="C3926" s="28"/>
      <c r="D3926" s="28" t="s">
        <v>1191</v>
      </c>
      <c r="E3926" s="3"/>
      <c r="H3926" s="7"/>
      <c r="K3926" s="30"/>
    </row>
    <row r="3927" spans="1:11" s="2" customFormat="1" x14ac:dyDescent="0.25">
      <c r="A3927" s="28" t="s">
        <v>6316</v>
      </c>
      <c r="B3927" s="29">
        <v>77</v>
      </c>
      <c r="C3927" s="28"/>
      <c r="D3927" s="28" t="s">
        <v>1191</v>
      </c>
      <c r="E3927" s="3"/>
      <c r="H3927" s="7"/>
      <c r="K3927" s="30"/>
    </row>
    <row r="3928" spans="1:11" s="2" customFormat="1" x14ac:dyDescent="0.25">
      <c r="A3928" s="28" t="s">
        <v>6317</v>
      </c>
      <c r="B3928" s="29">
        <v>22</v>
      </c>
      <c r="C3928" s="28"/>
      <c r="D3928" s="28" t="s">
        <v>1191</v>
      </c>
      <c r="E3928" s="3"/>
      <c r="H3928" s="7"/>
      <c r="K3928" s="30"/>
    </row>
    <row r="3929" spans="1:11" s="2" customFormat="1" x14ac:dyDescent="0.25">
      <c r="A3929" s="28" t="s">
        <v>6318</v>
      </c>
      <c r="B3929" s="29">
        <v>85</v>
      </c>
      <c r="C3929" s="28"/>
      <c r="D3929" s="28" t="s">
        <v>1191</v>
      </c>
      <c r="E3929" s="3"/>
      <c r="H3929" s="7"/>
      <c r="K3929" s="30"/>
    </row>
    <row r="3930" spans="1:11" s="2" customFormat="1" x14ac:dyDescent="0.25">
      <c r="A3930" s="28" t="s">
        <v>6319</v>
      </c>
      <c r="B3930" s="29">
        <v>356</v>
      </c>
      <c r="C3930" s="28"/>
      <c r="D3930" s="28" t="s">
        <v>1191</v>
      </c>
      <c r="E3930" s="3"/>
      <c r="H3930" s="7"/>
      <c r="K3930" s="30"/>
    </row>
    <row r="3931" spans="1:11" s="2" customFormat="1" x14ac:dyDescent="0.25">
      <c r="A3931" s="28" t="s">
        <v>6320</v>
      </c>
      <c r="B3931" s="29">
        <v>15</v>
      </c>
      <c r="C3931" s="28"/>
      <c r="D3931" s="28" t="s">
        <v>1191</v>
      </c>
      <c r="E3931" s="3"/>
      <c r="H3931" s="7"/>
      <c r="K3931" s="30"/>
    </row>
    <row r="3932" spans="1:11" s="2" customFormat="1" x14ac:dyDescent="0.25">
      <c r="A3932" s="28" t="s">
        <v>6321</v>
      </c>
      <c r="B3932" s="29">
        <v>9</v>
      </c>
      <c r="C3932" s="28"/>
      <c r="D3932" s="28" t="s">
        <v>1191</v>
      </c>
      <c r="E3932" s="3"/>
      <c r="H3932" s="7"/>
      <c r="K3932" s="30"/>
    </row>
    <row r="3933" spans="1:11" s="2" customFormat="1" x14ac:dyDescent="0.25">
      <c r="A3933" s="28" t="s">
        <v>6322</v>
      </c>
      <c r="B3933" s="29">
        <v>5</v>
      </c>
      <c r="C3933" s="28"/>
      <c r="D3933" s="28" t="s">
        <v>1191</v>
      </c>
      <c r="E3933" s="3"/>
      <c r="H3933" s="7"/>
      <c r="K3933" s="30"/>
    </row>
    <row r="3934" spans="1:11" s="2" customFormat="1" x14ac:dyDescent="0.25">
      <c r="A3934" s="28" t="s">
        <v>6323</v>
      </c>
      <c r="B3934" s="29">
        <v>90</v>
      </c>
      <c r="C3934" s="28"/>
      <c r="D3934" s="28" t="s">
        <v>1191</v>
      </c>
      <c r="E3934" s="3"/>
      <c r="H3934" s="7"/>
      <c r="K3934" s="30"/>
    </row>
    <row r="3935" spans="1:11" s="2" customFormat="1" x14ac:dyDescent="0.25">
      <c r="A3935" s="28" t="s">
        <v>6324</v>
      </c>
      <c r="B3935" s="29">
        <v>20</v>
      </c>
      <c r="C3935" s="28"/>
      <c r="D3935" s="28" t="s">
        <v>1191</v>
      </c>
      <c r="E3935" s="3"/>
      <c r="H3935" s="7"/>
      <c r="K3935" s="30"/>
    </row>
    <row r="3936" spans="1:11" s="2" customFormat="1" x14ac:dyDescent="0.25">
      <c r="A3936" s="28" t="s">
        <v>6325</v>
      </c>
      <c r="B3936" s="29">
        <v>50</v>
      </c>
      <c r="C3936" s="28"/>
      <c r="D3936" s="28" t="s">
        <v>1191</v>
      </c>
      <c r="E3936" s="3"/>
      <c r="H3936" s="7"/>
      <c r="K3936" s="30"/>
    </row>
    <row r="3937" spans="1:11" s="2" customFormat="1" x14ac:dyDescent="0.25">
      <c r="A3937" s="28" t="s">
        <v>6326</v>
      </c>
      <c r="B3937" s="29">
        <v>20</v>
      </c>
      <c r="C3937" s="28"/>
      <c r="D3937" s="28" t="s">
        <v>1191</v>
      </c>
      <c r="E3937" s="3"/>
      <c r="H3937" s="7"/>
      <c r="K3937" s="30"/>
    </row>
    <row r="3938" spans="1:11" s="2" customFormat="1" x14ac:dyDescent="0.25">
      <c r="A3938" s="28" t="s">
        <v>6327</v>
      </c>
      <c r="B3938" s="29">
        <v>2</v>
      </c>
      <c r="C3938" s="28"/>
      <c r="D3938" s="28" t="s">
        <v>1191</v>
      </c>
      <c r="E3938" s="3"/>
      <c r="H3938" s="7"/>
      <c r="K3938" s="30"/>
    </row>
    <row r="3939" spans="1:11" s="2" customFormat="1" x14ac:dyDescent="0.25">
      <c r="A3939" s="28" t="s">
        <v>6328</v>
      </c>
      <c r="B3939" s="29">
        <v>103</v>
      </c>
      <c r="C3939" s="28"/>
      <c r="D3939" s="28" t="s">
        <v>1191</v>
      </c>
      <c r="E3939" s="3"/>
      <c r="H3939" s="7"/>
      <c r="K3939" s="30"/>
    </row>
    <row r="3940" spans="1:11" s="2" customFormat="1" x14ac:dyDescent="0.25">
      <c r="A3940" s="28" t="s">
        <v>1247</v>
      </c>
      <c r="B3940" s="29">
        <v>64</v>
      </c>
      <c r="C3940" s="28"/>
      <c r="D3940" s="28" t="s">
        <v>1191</v>
      </c>
      <c r="E3940" s="3"/>
      <c r="H3940" s="7"/>
      <c r="K3940" s="30"/>
    </row>
    <row r="3941" spans="1:11" s="2" customFormat="1" x14ac:dyDescent="0.25">
      <c r="A3941" s="28" t="s">
        <v>6329</v>
      </c>
      <c r="B3941" s="29">
        <v>28</v>
      </c>
      <c r="C3941" s="28"/>
      <c r="D3941" s="28" t="s">
        <v>1191</v>
      </c>
      <c r="E3941" s="3"/>
      <c r="H3941" s="7"/>
      <c r="K3941" s="30"/>
    </row>
    <row r="3942" spans="1:11" s="2" customFormat="1" x14ac:dyDescent="0.25">
      <c r="A3942" s="28" t="s">
        <v>6330</v>
      </c>
      <c r="B3942" s="29">
        <v>30</v>
      </c>
      <c r="C3942" s="28"/>
      <c r="D3942" s="28" t="s">
        <v>1191</v>
      </c>
      <c r="E3942" s="3"/>
      <c r="H3942" s="7"/>
      <c r="K3942" s="30"/>
    </row>
    <row r="3943" spans="1:11" s="2" customFormat="1" x14ac:dyDescent="0.25">
      <c r="A3943" s="28" t="s">
        <v>6331</v>
      </c>
      <c r="B3943" s="29">
        <v>10</v>
      </c>
      <c r="C3943" s="28"/>
      <c r="D3943" s="28" t="s">
        <v>1191</v>
      </c>
      <c r="E3943" s="3"/>
      <c r="H3943" s="7"/>
      <c r="K3943" s="30"/>
    </row>
    <row r="3944" spans="1:11" s="2" customFormat="1" x14ac:dyDescent="0.25">
      <c r="A3944" s="28" t="s">
        <v>6332</v>
      </c>
      <c r="B3944" s="29">
        <v>4</v>
      </c>
      <c r="C3944" s="28"/>
      <c r="D3944" s="28" t="s">
        <v>1191</v>
      </c>
      <c r="E3944" s="3"/>
      <c r="H3944" s="7"/>
      <c r="K3944" s="30"/>
    </row>
    <row r="3945" spans="1:11" s="2" customFormat="1" x14ac:dyDescent="0.25">
      <c r="A3945" s="28" t="s">
        <v>6333</v>
      </c>
      <c r="B3945" s="29">
        <v>85</v>
      </c>
      <c r="C3945" s="28"/>
      <c r="D3945" s="28" t="s">
        <v>1191</v>
      </c>
      <c r="E3945" s="3"/>
      <c r="H3945" s="7"/>
      <c r="K3945" s="30"/>
    </row>
    <row r="3946" spans="1:11" s="2" customFormat="1" x14ac:dyDescent="0.25">
      <c r="A3946" s="28" t="s">
        <v>1165</v>
      </c>
      <c r="B3946" s="29">
        <v>4</v>
      </c>
      <c r="C3946" s="28"/>
      <c r="D3946" s="28" t="s">
        <v>1191</v>
      </c>
      <c r="E3946" s="3"/>
      <c r="H3946" s="7"/>
      <c r="K3946" s="30"/>
    </row>
    <row r="3947" spans="1:11" s="2" customFormat="1" x14ac:dyDescent="0.25">
      <c r="A3947" s="28" t="s">
        <v>6334</v>
      </c>
      <c r="B3947" s="29">
        <v>18</v>
      </c>
      <c r="C3947" s="28"/>
      <c r="D3947" s="28" t="s">
        <v>1191</v>
      </c>
      <c r="E3947" s="3"/>
      <c r="H3947" s="7"/>
      <c r="K3947" s="30"/>
    </row>
    <row r="3948" spans="1:11" s="2" customFormat="1" x14ac:dyDescent="0.25">
      <c r="A3948" s="28" t="s">
        <v>6335</v>
      </c>
      <c r="B3948" s="29">
        <v>4</v>
      </c>
      <c r="C3948" s="28"/>
      <c r="D3948" s="28" t="s">
        <v>1191</v>
      </c>
      <c r="E3948" s="3"/>
      <c r="H3948" s="7"/>
      <c r="K3948" s="30"/>
    </row>
    <row r="3949" spans="1:11" s="2" customFormat="1" x14ac:dyDescent="0.25">
      <c r="A3949" s="28" t="s">
        <v>6336</v>
      </c>
      <c r="B3949" s="29">
        <v>7</v>
      </c>
      <c r="C3949" s="28"/>
      <c r="D3949" s="28" t="s">
        <v>1191</v>
      </c>
      <c r="E3949" s="3"/>
      <c r="H3949" s="7"/>
      <c r="K3949" s="30"/>
    </row>
    <row r="3950" spans="1:11" s="2" customFormat="1" x14ac:dyDescent="0.25">
      <c r="A3950" s="28" t="s">
        <v>6337</v>
      </c>
      <c r="B3950" s="29">
        <v>12</v>
      </c>
      <c r="C3950" s="28"/>
      <c r="D3950" s="28" t="s">
        <v>1191</v>
      </c>
      <c r="E3950" s="3"/>
      <c r="H3950" s="7"/>
      <c r="K3950" s="30"/>
    </row>
    <row r="3951" spans="1:11" s="2" customFormat="1" x14ac:dyDescent="0.25">
      <c r="A3951" s="28" t="s">
        <v>6338</v>
      </c>
      <c r="B3951" s="29">
        <v>12</v>
      </c>
      <c r="C3951" s="28"/>
      <c r="D3951" s="28" t="s">
        <v>1191</v>
      </c>
      <c r="E3951" s="3"/>
      <c r="H3951" s="7"/>
      <c r="K3951" s="30"/>
    </row>
    <row r="3952" spans="1:11" s="2" customFormat="1" x14ac:dyDescent="0.25">
      <c r="A3952" s="28" t="s">
        <v>6339</v>
      </c>
      <c r="B3952" s="29">
        <v>11</v>
      </c>
      <c r="C3952" s="28"/>
      <c r="D3952" s="28" t="s">
        <v>1191</v>
      </c>
      <c r="E3952" s="3"/>
      <c r="H3952" s="7"/>
      <c r="K3952" s="30"/>
    </row>
    <row r="3953" spans="1:11" s="2" customFormat="1" x14ac:dyDescent="0.25">
      <c r="A3953" s="28" t="s">
        <v>6340</v>
      </c>
      <c r="B3953" s="29">
        <v>5</v>
      </c>
      <c r="C3953" s="28"/>
      <c r="D3953" s="28" t="s">
        <v>1191</v>
      </c>
      <c r="E3953" s="3"/>
      <c r="H3953" s="7"/>
      <c r="K3953" s="30"/>
    </row>
    <row r="3954" spans="1:11" s="2" customFormat="1" x14ac:dyDescent="0.25">
      <c r="A3954" s="28" t="s">
        <v>6341</v>
      </c>
      <c r="B3954" s="29">
        <v>24</v>
      </c>
      <c r="C3954" s="28"/>
      <c r="D3954" s="28" t="s">
        <v>1191</v>
      </c>
      <c r="E3954" s="3"/>
      <c r="H3954" s="7"/>
      <c r="K3954" s="30"/>
    </row>
    <row r="3955" spans="1:11" s="2" customFormat="1" x14ac:dyDescent="0.25">
      <c r="A3955" s="28" t="s">
        <v>6342</v>
      </c>
      <c r="B3955" s="29">
        <v>9</v>
      </c>
      <c r="C3955" s="28"/>
      <c r="D3955" s="28" t="s">
        <v>1191</v>
      </c>
      <c r="E3955" s="3"/>
      <c r="H3955" s="7"/>
      <c r="K3955" s="30"/>
    </row>
    <row r="3956" spans="1:11" s="2" customFormat="1" x14ac:dyDescent="0.25">
      <c r="A3956" s="28" t="s">
        <v>6343</v>
      </c>
      <c r="B3956" s="29">
        <v>9</v>
      </c>
      <c r="C3956" s="28"/>
      <c r="D3956" s="28" t="s">
        <v>1191</v>
      </c>
      <c r="E3956" s="3"/>
      <c r="H3956" s="7"/>
      <c r="K3956" s="30"/>
    </row>
    <row r="3957" spans="1:11" s="2" customFormat="1" x14ac:dyDescent="0.25">
      <c r="A3957" s="28" t="s">
        <v>6344</v>
      </c>
      <c r="B3957" s="29">
        <v>6</v>
      </c>
      <c r="C3957" s="28"/>
      <c r="D3957" s="28" t="s">
        <v>1191</v>
      </c>
      <c r="E3957" s="3"/>
      <c r="H3957" s="7"/>
      <c r="K3957" s="30"/>
    </row>
    <row r="3958" spans="1:11" s="2" customFormat="1" x14ac:dyDescent="0.25">
      <c r="A3958" s="28" t="s">
        <v>6345</v>
      </c>
      <c r="B3958" s="29">
        <v>4</v>
      </c>
      <c r="C3958" s="28"/>
      <c r="D3958" s="28" t="s">
        <v>1191</v>
      </c>
      <c r="E3958" s="3"/>
      <c r="H3958" s="7"/>
      <c r="K3958" s="30"/>
    </row>
    <row r="3959" spans="1:11" s="2" customFormat="1" x14ac:dyDescent="0.25">
      <c r="A3959" s="28" t="s">
        <v>6346</v>
      </c>
      <c r="B3959" s="29">
        <v>6</v>
      </c>
      <c r="C3959" s="28"/>
      <c r="D3959" s="28" t="s">
        <v>1191</v>
      </c>
      <c r="E3959" s="3"/>
      <c r="H3959" s="7"/>
      <c r="K3959" s="30"/>
    </row>
    <row r="3960" spans="1:11" s="2" customFormat="1" x14ac:dyDescent="0.25">
      <c r="A3960" s="28" t="s">
        <v>6347</v>
      </c>
      <c r="B3960" s="29">
        <v>20</v>
      </c>
      <c r="C3960" s="28"/>
      <c r="D3960" s="28" t="s">
        <v>1191</v>
      </c>
      <c r="E3960" s="3"/>
      <c r="H3960" s="7"/>
      <c r="K3960" s="30"/>
    </row>
    <row r="3961" spans="1:11" s="2" customFormat="1" x14ac:dyDescent="0.25">
      <c r="A3961" s="28" t="s">
        <v>6348</v>
      </c>
      <c r="B3961" s="29">
        <v>14</v>
      </c>
      <c r="C3961" s="28"/>
      <c r="D3961" s="28" t="s">
        <v>1191</v>
      </c>
      <c r="E3961" s="3"/>
      <c r="H3961" s="7"/>
      <c r="K3961" s="30"/>
    </row>
    <row r="3962" spans="1:11" s="2" customFormat="1" x14ac:dyDescent="0.25">
      <c r="A3962" s="28" t="s">
        <v>6349</v>
      </c>
      <c r="B3962" s="29">
        <v>24</v>
      </c>
      <c r="C3962" s="28"/>
      <c r="D3962" s="28" t="s">
        <v>1191</v>
      </c>
      <c r="E3962" s="3"/>
      <c r="H3962" s="7"/>
      <c r="K3962" s="30"/>
    </row>
    <row r="3963" spans="1:11" s="2" customFormat="1" x14ac:dyDescent="0.25">
      <c r="A3963" s="28" t="s">
        <v>6350</v>
      </c>
      <c r="B3963" s="29">
        <v>9</v>
      </c>
      <c r="C3963" s="28"/>
      <c r="D3963" s="28" t="s">
        <v>1191</v>
      </c>
      <c r="E3963" s="3"/>
      <c r="H3963" s="7"/>
      <c r="K3963" s="30"/>
    </row>
    <row r="3964" spans="1:11" s="2" customFormat="1" x14ac:dyDescent="0.25">
      <c r="A3964" s="28" t="s">
        <v>6351</v>
      </c>
      <c r="B3964" s="29">
        <v>5</v>
      </c>
      <c r="C3964" s="28"/>
      <c r="D3964" s="28" t="s">
        <v>1191</v>
      </c>
      <c r="E3964" s="3"/>
      <c r="H3964" s="7"/>
      <c r="K3964" s="30"/>
    </row>
    <row r="3965" spans="1:11" s="2" customFormat="1" x14ac:dyDescent="0.25">
      <c r="A3965" s="28" t="s">
        <v>6352</v>
      </c>
      <c r="B3965" s="29">
        <v>30</v>
      </c>
      <c r="C3965" s="28"/>
      <c r="D3965" s="28" t="s">
        <v>1191</v>
      </c>
      <c r="E3965" s="3"/>
      <c r="H3965" s="7"/>
      <c r="K3965" s="30"/>
    </row>
    <row r="3966" spans="1:11" s="2" customFormat="1" x14ac:dyDescent="0.25">
      <c r="A3966" s="28" t="s">
        <v>6353</v>
      </c>
      <c r="B3966" s="29">
        <v>2</v>
      </c>
      <c r="C3966" s="28"/>
      <c r="D3966" s="28" t="s">
        <v>1191</v>
      </c>
      <c r="E3966" s="3"/>
      <c r="H3966" s="7"/>
      <c r="K3966" s="30"/>
    </row>
    <row r="3967" spans="1:11" s="2" customFormat="1" x14ac:dyDescent="0.25">
      <c r="A3967" s="28" t="s">
        <v>6354</v>
      </c>
      <c r="B3967" s="29">
        <v>8</v>
      </c>
      <c r="C3967" s="28"/>
      <c r="D3967" s="28" t="s">
        <v>1191</v>
      </c>
      <c r="E3967" s="3"/>
      <c r="H3967" s="7"/>
      <c r="K3967" s="30"/>
    </row>
    <row r="3968" spans="1:11" s="2" customFormat="1" x14ac:dyDescent="0.25">
      <c r="A3968" s="28" t="s">
        <v>6355</v>
      </c>
      <c r="B3968" s="29">
        <v>22</v>
      </c>
      <c r="C3968" s="28"/>
      <c r="D3968" s="28" t="s">
        <v>1191</v>
      </c>
      <c r="E3968" s="3"/>
      <c r="H3968" s="7"/>
      <c r="K3968" s="30"/>
    </row>
    <row r="3969" spans="1:11" s="2" customFormat="1" x14ac:dyDescent="0.25">
      <c r="A3969" s="28" t="s">
        <v>6356</v>
      </c>
      <c r="B3969" s="29">
        <v>14</v>
      </c>
      <c r="C3969" s="28"/>
      <c r="D3969" s="28" t="s">
        <v>1191</v>
      </c>
      <c r="E3969" s="3"/>
      <c r="H3969" s="7"/>
      <c r="K3969" s="30"/>
    </row>
    <row r="3970" spans="1:11" s="2" customFormat="1" x14ac:dyDescent="0.25">
      <c r="A3970" s="28" t="s">
        <v>6357</v>
      </c>
      <c r="B3970" s="29">
        <v>2</v>
      </c>
      <c r="C3970" s="28"/>
      <c r="D3970" s="28" t="s">
        <v>1191</v>
      </c>
      <c r="E3970" s="3"/>
      <c r="H3970" s="7"/>
      <c r="K3970" s="30"/>
    </row>
    <row r="3971" spans="1:11" s="2" customFormat="1" x14ac:dyDescent="0.25">
      <c r="A3971" s="28" t="s">
        <v>6358</v>
      </c>
      <c r="B3971" s="29">
        <v>7</v>
      </c>
      <c r="C3971" s="28"/>
      <c r="D3971" s="28" t="s">
        <v>1191</v>
      </c>
      <c r="E3971" s="3"/>
      <c r="H3971" s="7"/>
      <c r="K3971" s="30"/>
    </row>
    <row r="3972" spans="1:11" s="2" customFormat="1" x14ac:dyDescent="0.25">
      <c r="A3972" s="28" t="s">
        <v>6359</v>
      </c>
      <c r="B3972" s="29">
        <v>2</v>
      </c>
      <c r="C3972" s="28"/>
      <c r="D3972" s="28" t="s">
        <v>1191</v>
      </c>
      <c r="E3972" s="3"/>
      <c r="H3972" s="7"/>
      <c r="K3972" s="30"/>
    </row>
    <row r="3973" spans="1:11" s="2" customFormat="1" x14ac:dyDescent="0.25">
      <c r="A3973" s="28" t="s">
        <v>6360</v>
      </c>
      <c r="B3973" s="29">
        <v>4</v>
      </c>
      <c r="C3973" s="28"/>
      <c r="D3973" s="28" t="s">
        <v>1191</v>
      </c>
      <c r="E3973" s="3"/>
      <c r="H3973" s="7"/>
      <c r="K3973" s="30"/>
    </row>
    <row r="3974" spans="1:11" s="2" customFormat="1" x14ac:dyDescent="0.25">
      <c r="A3974" s="28" t="s">
        <v>6361</v>
      </c>
      <c r="B3974" s="29">
        <v>110</v>
      </c>
      <c r="C3974" s="28"/>
      <c r="D3974" s="28" t="s">
        <v>1191</v>
      </c>
      <c r="E3974" s="3"/>
      <c r="H3974" s="7"/>
      <c r="K3974" s="30"/>
    </row>
    <row r="3975" spans="1:11" s="2" customFormat="1" x14ac:dyDescent="0.25">
      <c r="A3975" s="28" t="s">
        <v>6362</v>
      </c>
      <c r="B3975" s="29">
        <v>9</v>
      </c>
      <c r="C3975" s="28"/>
      <c r="D3975" s="28" t="s">
        <v>1191</v>
      </c>
      <c r="E3975" s="3"/>
      <c r="H3975" s="7"/>
      <c r="K3975" s="30"/>
    </row>
    <row r="3976" spans="1:11" s="2" customFormat="1" x14ac:dyDescent="0.25">
      <c r="A3976" s="28" t="s">
        <v>6363</v>
      </c>
      <c r="B3976" s="29">
        <v>3</v>
      </c>
      <c r="C3976" s="28"/>
      <c r="D3976" s="28" t="s">
        <v>1191</v>
      </c>
      <c r="E3976" s="3"/>
      <c r="H3976" s="7"/>
      <c r="K3976" s="30"/>
    </row>
    <row r="3977" spans="1:11" s="2" customFormat="1" x14ac:dyDescent="0.25">
      <c r="A3977" s="28" t="s">
        <v>6364</v>
      </c>
      <c r="B3977" s="29">
        <v>2</v>
      </c>
      <c r="C3977" s="28"/>
      <c r="D3977" s="28" t="s">
        <v>1191</v>
      </c>
      <c r="E3977" s="3"/>
      <c r="H3977" s="7"/>
      <c r="K3977" s="30"/>
    </row>
    <row r="3978" spans="1:11" s="2" customFormat="1" x14ac:dyDescent="0.25">
      <c r="A3978" s="28" t="s">
        <v>6365</v>
      </c>
      <c r="B3978" s="29">
        <v>11</v>
      </c>
      <c r="C3978" s="28"/>
      <c r="D3978" s="28" t="s">
        <v>1191</v>
      </c>
      <c r="E3978" s="3"/>
      <c r="H3978" s="7"/>
      <c r="K3978" s="30"/>
    </row>
    <row r="3979" spans="1:11" s="2" customFormat="1" x14ac:dyDescent="0.25">
      <c r="A3979" s="28" t="s">
        <v>6366</v>
      </c>
      <c r="B3979" s="29">
        <v>6</v>
      </c>
      <c r="C3979" s="28"/>
      <c r="D3979" s="28" t="s">
        <v>1191</v>
      </c>
      <c r="E3979" s="3"/>
      <c r="H3979" s="7"/>
      <c r="K3979" s="30"/>
    </row>
    <row r="3980" spans="1:11" s="2" customFormat="1" x14ac:dyDescent="0.25">
      <c r="A3980" s="28" t="s">
        <v>6367</v>
      </c>
      <c r="B3980" s="29">
        <v>3</v>
      </c>
      <c r="C3980" s="28"/>
      <c r="D3980" s="28" t="s">
        <v>1191</v>
      </c>
      <c r="E3980" s="3"/>
      <c r="H3980" s="7"/>
      <c r="K3980" s="30"/>
    </row>
    <row r="3981" spans="1:11" s="2" customFormat="1" x14ac:dyDescent="0.25">
      <c r="A3981" s="28" t="s">
        <v>6368</v>
      </c>
      <c r="B3981" s="29">
        <v>1</v>
      </c>
      <c r="C3981" s="28"/>
      <c r="D3981" s="28" t="s">
        <v>1191</v>
      </c>
      <c r="E3981" s="3"/>
      <c r="H3981" s="7"/>
      <c r="K3981" s="30"/>
    </row>
    <row r="3982" spans="1:11" s="2" customFormat="1" x14ac:dyDescent="0.25">
      <c r="A3982" s="28" t="s">
        <v>6369</v>
      </c>
      <c r="B3982" s="29">
        <v>3</v>
      </c>
      <c r="C3982" s="28"/>
      <c r="D3982" s="28" t="s">
        <v>1191</v>
      </c>
      <c r="E3982" s="3"/>
      <c r="H3982" s="7"/>
      <c r="K3982" s="30"/>
    </row>
    <row r="3983" spans="1:11" s="2" customFormat="1" x14ac:dyDescent="0.25">
      <c r="A3983" s="28" t="s">
        <v>6370</v>
      </c>
      <c r="B3983" s="29">
        <v>1</v>
      </c>
      <c r="C3983" s="28"/>
      <c r="D3983" s="28" t="s">
        <v>1191</v>
      </c>
      <c r="E3983" s="3"/>
      <c r="H3983" s="7"/>
      <c r="K3983" s="30"/>
    </row>
    <row r="3984" spans="1:11" s="2" customFormat="1" x14ac:dyDescent="0.25">
      <c r="A3984" s="28" t="s">
        <v>6371</v>
      </c>
      <c r="B3984" s="29">
        <v>3</v>
      </c>
      <c r="C3984" s="28"/>
      <c r="D3984" s="28" t="s">
        <v>1191</v>
      </c>
      <c r="E3984" s="3"/>
      <c r="H3984" s="7"/>
      <c r="K3984" s="30"/>
    </row>
    <row r="3985" spans="1:11" s="2" customFormat="1" x14ac:dyDescent="0.25">
      <c r="A3985" s="28" t="s">
        <v>6372</v>
      </c>
      <c r="B3985" s="29">
        <v>1</v>
      </c>
      <c r="C3985" s="28"/>
      <c r="D3985" s="28" t="s">
        <v>1191</v>
      </c>
      <c r="E3985" s="3"/>
      <c r="H3985" s="7"/>
      <c r="K3985" s="30"/>
    </row>
    <row r="3986" spans="1:11" s="2" customFormat="1" x14ac:dyDescent="0.25">
      <c r="A3986" s="28" t="s">
        <v>6373</v>
      </c>
      <c r="B3986" s="29">
        <v>5</v>
      </c>
      <c r="C3986" s="28"/>
      <c r="D3986" s="28" t="s">
        <v>1191</v>
      </c>
      <c r="E3986" s="3"/>
      <c r="H3986" s="7"/>
      <c r="K3986" s="30"/>
    </row>
    <row r="3987" spans="1:11" s="2" customFormat="1" x14ac:dyDescent="0.25">
      <c r="A3987" s="28" t="s">
        <v>6374</v>
      </c>
      <c r="B3987" s="29">
        <v>6</v>
      </c>
      <c r="C3987" s="28"/>
      <c r="D3987" s="28" t="s">
        <v>6375</v>
      </c>
      <c r="E3987" s="3"/>
      <c r="H3987" s="7"/>
      <c r="K3987" s="30"/>
    </row>
    <row r="3988" spans="1:11" s="2" customFormat="1" x14ac:dyDescent="0.25">
      <c r="A3988" s="28" t="s">
        <v>6376</v>
      </c>
      <c r="B3988" s="29">
        <v>185</v>
      </c>
      <c r="C3988" s="28"/>
      <c r="D3988" s="28" t="s">
        <v>6377</v>
      </c>
      <c r="E3988" s="3"/>
      <c r="H3988" s="7"/>
      <c r="K3988" s="30"/>
    </row>
    <row r="3989" spans="1:11" s="2" customFormat="1" x14ac:dyDescent="0.25">
      <c r="A3989" s="28" t="s">
        <v>2296</v>
      </c>
      <c r="B3989" s="29">
        <v>2</v>
      </c>
      <c r="C3989" s="28"/>
      <c r="D3989" s="28" t="s">
        <v>6378</v>
      </c>
      <c r="E3989" s="3"/>
      <c r="H3989" s="7"/>
      <c r="K3989" s="30"/>
    </row>
    <row r="3990" spans="1:11" s="2" customFormat="1" x14ac:dyDescent="0.25">
      <c r="A3990" s="28" t="s">
        <v>6379</v>
      </c>
      <c r="B3990" s="29">
        <v>660</v>
      </c>
      <c r="C3990" s="28"/>
      <c r="D3990" s="28" t="s">
        <v>6380</v>
      </c>
      <c r="E3990" s="3"/>
      <c r="H3990" s="7"/>
      <c r="K3990" s="30"/>
    </row>
    <row r="3991" spans="1:11" s="2" customFormat="1" x14ac:dyDescent="0.25">
      <c r="A3991" s="28" t="s">
        <v>6381</v>
      </c>
      <c r="B3991" s="29">
        <v>224</v>
      </c>
      <c r="C3991" s="28"/>
      <c r="D3991" s="28" t="s">
        <v>6382</v>
      </c>
      <c r="E3991" s="3"/>
      <c r="H3991" s="7"/>
      <c r="K3991" s="30"/>
    </row>
    <row r="3992" spans="1:11" s="2" customFormat="1" x14ac:dyDescent="0.25">
      <c r="A3992" s="28" t="s">
        <v>6383</v>
      </c>
      <c r="B3992" s="29">
        <v>180</v>
      </c>
      <c r="C3992" s="28"/>
      <c r="D3992" s="28" t="s">
        <v>6382</v>
      </c>
      <c r="E3992" s="3"/>
      <c r="H3992" s="7"/>
      <c r="K3992" s="30"/>
    </row>
    <row r="3993" spans="1:11" s="2" customFormat="1" x14ac:dyDescent="0.25">
      <c r="A3993" s="28" t="s">
        <v>6384</v>
      </c>
      <c r="B3993" s="29">
        <v>3</v>
      </c>
      <c r="C3993" s="28"/>
      <c r="D3993" s="28" t="s">
        <v>6382</v>
      </c>
      <c r="E3993" s="3"/>
      <c r="H3993" s="7"/>
      <c r="K3993" s="30"/>
    </row>
    <row r="3994" spans="1:11" s="2" customFormat="1" x14ac:dyDescent="0.25">
      <c r="A3994" s="28" t="s">
        <v>6385</v>
      </c>
      <c r="B3994" s="29">
        <v>1</v>
      </c>
      <c r="C3994" s="28"/>
      <c r="D3994" s="28" t="s">
        <v>6382</v>
      </c>
      <c r="E3994" s="3"/>
      <c r="H3994" s="7"/>
      <c r="K3994" s="30"/>
    </row>
    <row r="3995" spans="1:11" s="2" customFormat="1" x14ac:dyDescent="0.25">
      <c r="A3995" s="28" t="s">
        <v>6386</v>
      </c>
      <c r="B3995" s="29">
        <v>3</v>
      </c>
      <c r="C3995" s="28"/>
      <c r="D3995" s="28" t="s">
        <v>6382</v>
      </c>
      <c r="E3995" s="3"/>
      <c r="H3995" s="7"/>
      <c r="K3995" s="30"/>
    </row>
    <row r="3996" spans="1:11" s="2" customFormat="1" x14ac:dyDescent="0.25">
      <c r="A3996" s="28" t="s">
        <v>6387</v>
      </c>
      <c r="B3996" s="29">
        <v>2</v>
      </c>
      <c r="C3996" s="28"/>
      <c r="D3996" s="28" t="s">
        <v>6382</v>
      </c>
      <c r="E3996" s="3"/>
      <c r="H3996" s="7"/>
      <c r="K3996" s="30"/>
    </row>
    <row r="3997" spans="1:11" s="2" customFormat="1" x14ac:dyDescent="0.25">
      <c r="A3997" s="28" t="s">
        <v>6388</v>
      </c>
      <c r="B3997" s="29">
        <v>5</v>
      </c>
      <c r="C3997" s="28"/>
      <c r="D3997" s="28" t="s">
        <v>6382</v>
      </c>
      <c r="E3997" s="3"/>
      <c r="H3997" s="7"/>
      <c r="K3997" s="30"/>
    </row>
    <row r="3998" spans="1:11" s="2" customFormat="1" x14ac:dyDescent="0.25">
      <c r="A3998" s="28" t="s">
        <v>6389</v>
      </c>
      <c r="B3998" s="29">
        <v>2</v>
      </c>
      <c r="C3998" s="28"/>
      <c r="D3998" s="28" t="s">
        <v>6382</v>
      </c>
      <c r="E3998" s="3"/>
      <c r="H3998" s="7"/>
      <c r="K3998" s="30"/>
    </row>
    <row r="3999" spans="1:11" s="2" customFormat="1" x14ac:dyDescent="0.25">
      <c r="A3999" s="28" t="s">
        <v>6390</v>
      </c>
      <c r="B3999" s="29">
        <v>1</v>
      </c>
      <c r="C3999" s="28"/>
      <c r="D3999" s="28" t="s">
        <v>6382</v>
      </c>
      <c r="E3999" s="3"/>
      <c r="H3999" s="7"/>
      <c r="K3999" s="30"/>
    </row>
    <row r="4000" spans="1:11" s="2" customFormat="1" x14ac:dyDescent="0.25">
      <c r="A4000" s="28" t="s">
        <v>6391</v>
      </c>
      <c r="B4000" s="29">
        <v>4</v>
      </c>
      <c r="C4000" s="28"/>
      <c r="D4000" s="28" t="s">
        <v>6382</v>
      </c>
      <c r="E4000" s="3"/>
      <c r="H4000" s="7"/>
      <c r="K4000" s="30"/>
    </row>
    <row r="4001" spans="1:11" s="2" customFormat="1" x14ac:dyDescent="0.25">
      <c r="A4001" s="28" t="s">
        <v>6392</v>
      </c>
      <c r="B4001" s="29">
        <v>3</v>
      </c>
      <c r="C4001" s="28"/>
      <c r="D4001" s="28" t="s">
        <v>6393</v>
      </c>
      <c r="E4001" s="3"/>
      <c r="H4001" s="7"/>
      <c r="K4001" s="30"/>
    </row>
    <row r="4002" spans="1:11" s="2" customFormat="1" x14ac:dyDescent="0.25">
      <c r="A4002" s="28" t="s">
        <v>6394</v>
      </c>
      <c r="B4002" s="29">
        <v>3</v>
      </c>
      <c r="C4002" s="28"/>
      <c r="D4002" s="28" t="s">
        <v>6395</v>
      </c>
      <c r="E4002" s="3"/>
      <c r="H4002" s="7"/>
      <c r="K4002" s="30"/>
    </row>
    <row r="4003" spans="1:11" s="2" customFormat="1" x14ac:dyDescent="0.25">
      <c r="A4003" s="28" t="s">
        <v>6396</v>
      </c>
      <c r="B4003" s="29">
        <v>1</v>
      </c>
      <c r="C4003" s="28"/>
      <c r="D4003" s="28" t="s">
        <v>6397</v>
      </c>
      <c r="E4003" s="3"/>
      <c r="H4003" s="7"/>
      <c r="K4003" s="30"/>
    </row>
    <row r="4004" spans="1:11" s="2" customFormat="1" x14ac:dyDescent="0.25">
      <c r="A4004" s="28" t="s">
        <v>6398</v>
      </c>
      <c r="B4004" s="29">
        <v>54</v>
      </c>
      <c r="C4004" s="28"/>
      <c r="D4004" s="28" t="s">
        <v>6399</v>
      </c>
      <c r="E4004" s="3"/>
      <c r="H4004" s="7"/>
      <c r="K4004" s="30"/>
    </row>
    <row r="4005" spans="1:11" s="2" customFormat="1" x14ac:dyDescent="0.25">
      <c r="A4005" s="28" t="s">
        <v>6400</v>
      </c>
      <c r="B4005" s="29">
        <v>2</v>
      </c>
      <c r="C4005" s="28"/>
      <c r="D4005" s="28" t="s">
        <v>6399</v>
      </c>
      <c r="E4005" s="3"/>
      <c r="H4005" s="7"/>
      <c r="K4005" s="30"/>
    </row>
    <row r="4006" spans="1:11" s="2" customFormat="1" x14ac:dyDescent="0.25">
      <c r="A4006" s="28" t="s">
        <v>6401</v>
      </c>
      <c r="B4006" s="29">
        <v>2</v>
      </c>
      <c r="C4006" s="28"/>
      <c r="D4006" s="28" t="s">
        <v>6399</v>
      </c>
      <c r="E4006" s="3"/>
      <c r="H4006" s="7"/>
      <c r="K4006" s="30"/>
    </row>
    <row r="4007" spans="1:11" s="2" customFormat="1" x14ac:dyDescent="0.25">
      <c r="A4007" s="28" t="s">
        <v>6402</v>
      </c>
      <c r="B4007" s="29">
        <v>2</v>
      </c>
      <c r="C4007" s="28"/>
      <c r="D4007" s="28" t="s">
        <v>6399</v>
      </c>
      <c r="E4007" s="3"/>
      <c r="H4007" s="7"/>
      <c r="K4007" s="30"/>
    </row>
    <row r="4008" spans="1:11" s="2" customFormat="1" x14ac:dyDescent="0.25">
      <c r="A4008" s="28" t="s">
        <v>6403</v>
      </c>
      <c r="B4008" s="29">
        <v>3</v>
      </c>
      <c r="C4008" s="28"/>
      <c r="D4008" s="28" t="s">
        <v>1628</v>
      </c>
      <c r="E4008" s="3"/>
      <c r="H4008" s="7"/>
      <c r="K4008" s="30"/>
    </row>
    <row r="4009" spans="1:11" s="2" customFormat="1" x14ac:dyDescent="0.25">
      <c r="A4009" s="28" t="s">
        <v>6404</v>
      </c>
      <c r="B4009" s="29">
        <v>3</v>
      </c>
      <c r="C4009" s="28"/>
      <c r="D4009" s="28" t="s">
        <v>6405</v>
      </c>
      <c r="E4009" s="3"/>
      <c r="H4009" s="7"/>
      <c r="K4009" s="30"/>
    </row>
    <row r="4010" spans="1:11" s="2" customFormat="1" x14ac:dyDescent="0.25">
      <c r="A4010" s="28" t="s">
        <v>6406</v>
      </c>
      <c r="B4010" s="29">
        <v>4</v>
      </c>
      <c r="C4010" s="28"/>
      <c r="D4010" s="28" t="s">
        <v>6405</v>
      </c>
      <c r="E4010" s="3"/>
      <c r="H4010" s="7"/>
      <c r="K4010" s="30"/>
    </row>
    <row r="4011" spans="1:11" s="2" customFormat="1" x14ac:dyDescent="0.25">
      <c r="A4011" s="28" t="s">
        <v>6407</v>
      </c>
      <c r="B4011" s="29">
        <v>43</v>
      </c>
      <c r="C4011" s="28"/>
      <c r="D4011" s="28" t="s">
        <v>6408</v>
      </c>
      <c r="E4011" s="3"/>
      <c r="H4011" s="7"/>
      <c r="K4011" s="30"/>
    </row>
    <row r="4012" spans="1:11" s="2" customFormat="1" x14ac:dyDescent="0.25">
      <c r="A4012" s="28" t="s">
        <v>6409</v>
      </c>
      <c r="B4012" s="29">
        <v>17</v>
      </c>
      <c r="C4012" s="28"/>
      <c r="D4012" s="28" t="s">
        <v>6408</v>
      </c>
      <c r="E4012" s="3"/>
      <c r="H4012" s="7"/>
      <c r="K4012" s="30"/>
    </row>
    <row r="4013" spans="1:11" s="2" customFormat="1" x14ac:dyDescent="0.25">
      <c r="A4013" s="28" t="s">
        <v>6410</v>
      </c>
      <c r="B4013" s="29">
        <v>15</v>
      </c>
      <c r="C4013" s="28"/>
      <c r="D4013" s="28" t="s">
        <v>6411</v>
      </c>
      <c r="E4013" s="3"/>
      <c r="H4013" s="7"/>
      <c r="K4013" s="30"/>
    </row>
    <row r="4014" spans="1:11" s="2" customFormat="1" x14ac:dyDescent="0.25">
      <c r="A4014" s="28" t="s">
        <v>6412</v>
      </c>
      <c r="B4014" s="29">
        <v>7</v>
      </c>
      <c r="C4014" s="28"/>
      <c r="D4014" s="28" t="s">
        <v>6413</v>
      </c>
      <c r="E4014" s="3"/>
      <c r="H4014" s="7"/>
      <c r="K4014" s="30"/>
    </row>
    <row r="4015" spans="1:11" s="2" customFormat="1" x14ac:dyDescent="0.25">
      <c r="A4015" s="28" t="s">
        <v>6414</v>
      </c>
      <c r="B4015" s="29">
        <v>182</v>
      </c>
      <c r="C4015" s="28"/>
      <c r="D4015" s="28" t="s">
        <v>6415</v>
      </c>
      <c r="E4015" s="3"/>
      <c r="H4015" s="7"/>
      <c r="K4015" s="30"/>
    </row>
    <row r="4016" spans="1:11" s="2" customFormat="1" x14ac:dyDescent="0.25">
      <c r="A4016" s="28" t="s">
        <v>2722</v>
      </c>
      <c r="B4016" s="29">
        <v>40</v>
      </c>
      <c r="C4016" s="28"/>
      <c r="D4016" s="28" t="s">
        <v>6416</v>
      </c>
      <c r="E4016" s="3"/>
      <c r="H4016" s="7"/>
      <c r="K4016" s="30"/>
    </row>
    <row r="4017" spans="1:11" s="2" customFormat="1" x14ac:dyDescent="0.25">
      <c r="A4017" s="28" t="s">
        <v>6417</v>
      </c>
      <c r="B4017" s="29">
        <v>10</v>
      </c>
      <c r="C4017" s="28"/>
      <c r="D4017" s="28" t="s">
        <v>6416</v>
      </c>
      <c r="E4017" s="3"/>
      <c r="H4017" s="7"/>
      <c r="K4017" s="30"/>
    </row>
    <row r="4018" spans="1:11" s="2" customFormat="1" x14ac:dyDescent="0.25">
      <c r="A4018" s="28" t="s">
        <v>6418</v>
      </c>
      <c r="B4018" s="29">
        <v>3</v>
      </c>
      <c r="C4018" s="28"/>
      <c r="D4018" s="28" t="s">
        <v>6419</v>
      </c>
      <c r="E4018" s="3"/>
      <c r="H4018" s="7"/>
      <c r="K4018" s="30"/>
    </row>
    <row r="4019" spans="1:11" s="2" customFormat="1" x14ac:dyDescent="0.25">
      <c r="A4019" s="28" t="s">
        <v>6420</v>
      </c>
      <c r="B4019" s="29">
        <v>5</v>
      </c>
      <c r="C4019" s="28"/>
      <c r="D4019" s="28" t="s">
        <v>6421</v>
      </c>
      <c r="E4019" s="3"/>
      <c r="H4019" s="7"/>
      <c r="K4019" s="30"/>
    </row>
    <row r="4020" spans="1:11" s="2" customFormat="1" x14ac:dyDescent="0.25">
      <c r="A4020" s="28" t="s">
        <v>6422</v>
      </c>
      <c r="B4020" s="29">
        <v>100</v>
      </c>
      <c r="C4020" s="28"/>
      <c r="D4020" s="28" t="s">
        <v>6423</v>
      </c>
      <c r="E4020" s="3"/>
      <c r="H4020" s="7"/>
      <c r="K4020" s="30"/>
    </row>
    <row r="4021" spans="1:11" s="2" customFormat="1" x14ac:dyDescent="0.25">
      <c r="A4021" s="28" t="s">
        <v>6424</v>
      </c>
      <c r="B4021" s="29">
        <v>60</v>
      </c>
      <c r="C4021" s="28"/>
      <c r="D4021" s="28" t="s">
        <v>6423</v>
      </c>
      <c r="E4021" s="3"/>
      <c r="H4021" s="7"/>
      <c r="K4021" s="30"/>
    </row>
    <row r="4022" spans="1:11" s="2" customFormat="1" x14ac:dyDescent="0.25">
      <c r="A4022" s="28" t="s">
        <v>6425</v>
      </c>
      <c r="B4022" s="29">
        <v>57</v>
      </c>
      <c r="C4022" s="28"/>
      <c r="D4022" s="28" t="s">
        <v>6426</v>
      </c>
      <c r="E4022" s="3"/>
      <c r="H4022" s="7"/>
      <c r="K4022" s="30"/>
    </row>
    <row r="4023" spans="1:11" s="2" customFormat="1" x14ac:dyDescent="0.25">
      <c r="A4023" s="28" t="s">
        <v>6427</v>
      </c>
      <c r="B4023" s="29">
        <v>4705</v>
      </c>
      <c r="C4023" s="28"/>
      <c r="D4023" s="28" t="s">
        <v>244</v>
      </c>
      <c r="E4023" s="3"/>
      <c r="H4023" s="7"/>
      <c r="K4023" s="30"/>
    </row>
    <row r="4024" spans="1:11" s="2" customFormat="1" x14ac:dyDescent="0.25">
      <c r="A4024" s="28" t="s">
        <v>6428</v>
      </c>
      <c r="B4024" s="29">
        <v>203</v>
      </c>
      <c r="C4024" s="28"/>
      <c r="D4024" s="28" t="s">
        <v>244</v>
      </c>
      <c r="E4024" s="3"/>
      <c r="H4024" s="7"/>
      <c r="K4024" s="30"/>
    </row>
    <row r="4025" spans="1:11" s="2" customFormat="1" x14ac:dyDescent="0.25">
      <c r="A4025" s="28" t="s">
        <v>6429</v>
      </c>
      <c r="B4025" s="29">
        <v>391</v>
      </c>
      <c r="C4025" s="28"/>
      <c r="D4025" s="28" t="s">
        <v>244</v>
      </c>
      <c r="E4025" s="3"/>
      <c r="H4025" s="7"/>
      <c r="K4025" s="30"/>
    </row>
    <row r="4026" spans="1:11" s="2" customFormat="1" x14ac:dyDescent="0.25">
      <c r="A4026" s="28" t="s">
        <v>6430</v>
      </c>
      <c r="B4026" s="29">
        <v>160</v>
      </c>
      <c r="C4026" s="28"/>
      <c r="D4026" s="28" t="s">
        <v>244</v>
      </c>
      <c r="E4026" s="3"/>
      <c r="H4026" s="7"/>
      <c r="K4026" s="30"/>
    </row>
    <row r="4027" spans="1:11" s="2" customFormat="1" x14ac:dyDescent="0.25">
      <c r="A4027" s="28" t="s">
        <v>6431</v>
      </c>
      <c r="B4027" s="29">
        <v>500</v>
      </c>
      <c r="C4027" s="28"/>
      <c r="D4027" s="28" t="s">
        <v>244</v>
      </c>
      <c r="E4027" s="3"/>
      <c r="H4027" s="7"/>
      <c r="K4027" s="30"/>
    </row>
    <row r="4028" spans="1:11" s="2" customFormat="1" x14ac:dyDescent="0.25">
      <c r="A4028" s="28" t="s">
        <v>6432</v>
      </c>
      <c r="B4028" s="29">
        <v>6</v>
      </c>
      <c r="C4028" s="28"/>
      <c r="D4028" s="28" t="s">
        <v>244</v>
      </c>
      <c r="E4028" s="3"/>
      <c r="H4028" s="7"/>
      <c r="K4028" s="30"/>
    </row>
    <row r="4029" spans="1:11" s="2" customFormat="1" x14ac:dyDescent="0.25">
      <c r="A4029" s="28" t="s">
        <v>6433</v>
      </c>
      <c r="B4029" s="29">
        <v>110</v>
      </c>
      <c r="C4029" s="28"/>
      <c r="D4029" s="28" t="s">
        <v>244</v>
      </c>
      <c r="E4029" s="3"/>
      <c r="H4029" s="7"/>
      <c r="K4029" s="30"/>
    </row>
    <row r="4030" spans="1:11" s="2" customFormat="1" x14ac:dyDescent="0.25">
      <c r="A4030" s="28" t="s">
        <v>6434</v>
      </c>
      <c r="B4030" s="29">
        <v>48</v>
      </c>
      <c r="C4030" s="28"/>
      <c r="D4030" s="28" t="s">
        <v>244</v>
      </c>
      <c r="E4030" s="3"/>
      <c r="H4030" s="7"/>
      <c r="K4030" s="30"/>
    </row>
    <row r="4031" spans="1:11" s="2" customFormat="1" x14ac:dyDescent="0.25">
      <c r="A4031" s="28" t="s">
        <v>6435</v>
      </c>
      <c r="B4031" s="29">
        <v>1346</v>
      </c>
      <c r="C4031" s="28"/>
      <c r="D4031" s="28" t="s">
        <v>244</v>
      </c>
      <c r="E4031" s="3"/>
      <c r="H4031" s="7"/>
      <c r="K4031" s="30"/>
    </row>
    <row r="4032" spans="1:11" s="2" customFormat="1" x14ac:dyDescent="0.25">
      <c r="A4032" s="28" t="s">
        <v>6436</v>
      </c>
      <c r="B4032" s="29">
        <v>100</v>
      </c>
      <c r="C4032" s="28"/>
      <c r="D4032" s="28" t="s">
        <v>244</v>
      </c>
      <c r="E4032" s="3"/>
      <c r="H4032" s="7"/>
      <c r="K4032" s="30"/>
    </row>
    <row r="4033" spans="1:11" s="2" customFormat="1" x14ac:dyDescent="0.25">
      <c r="A4033" s="28" t="s">
        <v>6437</v>
      </c>
      <c r="B4033" s="29">
        <v>44</v>
      </c>
      <c r="C4033" s="28"/>
      <c r="D4033" s="28" t="s">
        <v>244</v>
      </c>
      <c r="E4033" s="3"/>
      <c r="H4033" s="7"/>
      <c r="K4033" s="30"/>
    </row>
    <row r="4034" spans="1:11" s="2" customFormat="1" x14ac:dyDescent="0.25">
      <c r="A4034" s="28" t="s">
        <v>6438</v>
      </c>
      <c r="B4034" s="29">
        <v>131</v>
      </c>
      <c r="C4034" s="28"/>
      <c r="D4034" s="28" t="s">
        <v>244</v>
      </c>
      <c r="E4034" s="3"/>
      <c r="H4034" s="7"/>
      <c r="K4034" s="30"/>
    </row>
    <row r="4035" spans="1:11" s="2" customFormat="1" x14ac:dyDescent="0.25">
      <c r="A4035" s="28" t="s">
        <v>6439</v>
      </c>
      <c r="B4035" s="29">
        <v>168</v>
      </c>
      <c r="C4035" s="28"/>
      <c r="D4035" s="28" t="s">
        <v>244</v>
      </c>
      <c r="E4035" s="3"/>
      <c r="H4035" s="7"/>
      <c r="K4035" s="30"/>
    </row>
    <row r="4036" spans="1:11" s="2" customFormat="1" x14ac:dyDescent="0.25">
      <c r="A4036" s="28" t="s">
        <v>6440</v>
      </c>
      <c r="B4036" s="29">
        <v>5</v>
      </c>
      <c r="C4036" s="28"/>
      <c r="D4036" s="28" t="s">
        <v>244</v>
      </c>
      <c r="E4036" s="3"/>
      <c r="H4036" s="7"/>
      <c r="K4036" s="30"/>
    </row>
    <row r="4037" spans="1:11" s="2" customFormat="1" x14ac:dyDescent="0.25">
      <c r="A4037" s="28" t="s">
        <v>6441</v>
      </c>
      <c r="B4037" s="29">
        <v>18</v>
      </c>
      <c r="C4037" s="28"/>
      <c r="D4037" s="28" t="s">
        <v>244</v>
      </c>
      <c r="E4037" s="3"/>
      <c r="H4037" s="7"/>
      <c r="K4037" s="30"/>
    </row>
    <row r="4038" spans="1:11" s="2" customFormat="1" x14ac:dyDescent="0.25">
      <c r="A4038" s="28" t="s">
        <v>6442</v>
      </c>
      <c r="B4038" s="29">
        <v>10</v>
      </c>
      <c r="C4038" s="28"/>
      <c r="D4038" s="28" t="s">
        <v>244</v>
      </c>
      <c r="E4038" s="3"/>
      <c r="H4038" s="7"/>
      <c r="K4038" s="30"/>
    </row>
    <row r="4039" spans="1:11" s="2" customFormat="1" x14ac:dyDescent="0.25">
      <c r="A4039" s="28" t="s">
        <v>6443</v>
      </c>
      <c r="B4039" s="29">
        <v>52</v>
      </c>
      <c r="C4039" s="28"/>
      <c r="D4039" s="28" t="s">
        <v>244</v>
      </c>
      <c r="E4039" s="3"/>
      <c r="H4039" s="7"/>
      <c r="K4039" s="30"/>
    </row>
    <row r="4040" spans="1:11" s="2" customFormat="1" x14ac:dyDescent="0.25">
      <c r="A4040" s="28" t="s">
        <v>5757</v>
      </c>
      <c r="B4040" s="29">
        <v>1410</v>
      </c>
      <c r="C4040" s="28"/>
      <c r="D4040" s="28" t="s">
        <v>244</v>
      </c>
      <c r="E4040" s="3"/>
      <c r="H4040" s="7"/>
      <c r="K4040" s="30"/>
    </row>
    <row r="4041" spans="1:11" s="2" customFormat="1" x14ac:dyDescent="0.25">
      <c r="A4041" s="28" t="s">
        <v>6444</v>
      </c>
      <c r="B4041" s="29">
        <v>88</v>
      </c>
      <c r="C4041" s="28"/>
      <c r="D4041" s="28" t="s">
        <v>244</v>
      </c>
      <c r="E4041" s="3"/>
      <c r="H4041" s="7"/>
      <c r="K4041" s="30"/>
    </row>
    <row r="4042" spans="1:11" s="2" customFormat="1" x14ac:dyDescent="0.25">
      <c r="A4042" s="28" t="s">
        <v>6445</v>
      </c>
      <c r="B4042" s="29">
        <v>587</v>
      </c>
      <c r="C4042" s="28"/>
      <c r="D4042" s="28" t="s">
        <v>244</v>
      </c>
      <c r="E4042" s="3"/>
      <c r="H4042" s="7"/>
      <c r="K4042" s="30"/>
    </row>
    <row r="4043" spans="1:11" s="2" customFormat="1" x14ac:dyDescent="0.25">
      <c r="A4043" s="28" t="s">
        <v>6446</v>
      </c>
      <c r="B4043" s="29">
        <v>20</v>
      </c>
      <c r="C4043" s="28"/>
      <c r="D4043" s="28" t="s">
        <v>244</v>
      </c>
      <c r="E4043" s="3"/>
      <c r="H4043" s="7"/>
      <c r="K4043" s="30"/>
    </row>
    <row r="4044" spans="1:11" s="2" customFormat="1" x14ac:dyDescent="0.25">
      <c r="A4044" s="28" t="s">
        <v>6447</v>
      </c>
      <c r="B4044" s="29">
        <v>3</v>
      </c>
      <c r="C4044" s="28"/>
      <c r="D4044" s="28" t="s">
        <v>244</v>
      </c>
      <c r="E4044" s="3"/>
      <c r="H4044" s="7"/>
      <c r="K4044" s="30"/>
    </row>
    <row r="4045" spans="1:11" s="2" customFormat="1" x14ac:dyDescent="0.25">
      <c r="A4045" s="28" t="s">
        <v>6448</v>
      </c>
      <c r="B4045" s="29">
        <v>45</v>
      </c>
      <c r="C4045" s="28"/>
      <c r="D4045" s="28" t="s">
        <v>244</v>
      </c>
      <c r="E4045" s="3"/>
      <c r="H4045" s="7"/>
      <c r="K4045" s="30"/>
    </row>
    <row r="4046" spans="1:11" s="2" customFormat="1" x14ac:dyDescent="0.25">
      <c r="A4046" s="28" t="s">
        <v>6449</v>
      </c>
      <c r="B4046" s="29">
        <v>50</v>
      </c>
      <c r="C4046" s="28"/>
      <c r="D4046" s="28" t="s">
        <v>244</v>
      </c>
      <c r="E4046" s="3"/>
      <c r="H4046" s="7"/>
      <c r="K4046" s="30"/>
    </row>
    <row r="4047" spans="1:11" s="2" customFormat="1" x14ac:dyDescent="0.25">
      <c r="A4047" s="28" t="s">
        <v>6450</v>
      </c>
      <c r="B4047" s="29">
        <v>20</v>
      </c>
      <c r="C4047" s="28"/>
      <c r="D4047" s="28" t="s">
        <v>244</v>
      </c>
      <c r="E4047" s="3"/>
      <c r="H4047" s="7"/>
      <c r="K4047" s="30"/>
    </row>
    <row r="4048" spans="1:11" s="2" customFormat="1" x14ac:dyDescent="0.25">
      <c r="A4048" s="28" t="s">
        <v>6451</v>
      </c>
      <c r="B4048" s="29">
        <v>8</v>
      </c>
      <c r="C4048" s="28"/>
      <c r="D4048" s="28" t="s">
        <v>244</v>
      </c>
      <c r="E4048" s="3"/>
      <c r="H4048" s="7"/>
      <c r="K4048" s="30"/>
    </row>
    <row r="4049" spans="1:11" s="2" customFormat="1" x14ac:dyDescent="0.25">
      <c r="A4049" s="28" t="s">
        <v>6452</v>
      </c>
      <c r="B4049" s="29">
        <v>35</v>
      </c>
      <c r="C4049" s="28"/>
      <c r="D4049" s="28" t="s">
        <v>244</v>
      </c>
      <c r="E4049" s="3"/>
      <c r="H4049" s="7"/>
      <c r="K4049" s="30"/>
    </row>
    <row r="4050" spans="1:11" s="2" customFormat="1" x14ac:dyDescent="0.25">
      <c r="A4050" s="28" t="s">
        <v>6453</v>
      </c>
      <c r="B4050" s="29">
        <v>110</v>
      </c>
      <c r="C4050" s="28"/>
      <c r="D4050" s="28" t="s">
        <v>244</v>
      </c>
      <c r="E4050" s="3"/>
      <c r="H4050" s="7"/>
      <c r="K4050" s="30"/>
    </row>
    <row r="4051" spans="1:11" s="2" customFormat="1" x14ac:dyDescent="0.25">
      <c r="A4051" s="28" t="s">
        <v>6454</v>
      </c>
      <c r="B4051" s="29">
        <v>3</v>
      </c>
      <c r="C4051" s="28"/>
      <c r="D4051" s="28" t="s">
        <v>244</v>
      </c>
      <c r="E4051" s="3"/>
      <c r="H4051" s="7"/>
      <c r="K4051" s="30"/>
    </row>
    <row r="4052" spans="1:11" s="2" customFormat="1" x14ac:dyDescent="0.25">
      <c r="A4052" s="28" t="s">
        <v>6455</v>
      </c>
      <c r="B4052" s="29">
        <v>112</v>
      </c>
      <c r="C4052" s="28"/>
      <c r="D4052" s="28" t="s">
        <v>244</v>
      </c>
      <c r="E4052" s="3"/>
      <c r="H4052" s="7"/>
      <c r="K4052" s="30"/>
    </row>
    <row r="4053" spans="1:11" s="2" customFormat="1" x14ac:dyDescent="0.25">
      <c r="A4053" s="28" t="s">
        <v>6456</v>
      </c>
      <c r="B4053" s="29">
        <v>70</v>
      </c>
      <c r="C4053" s="28"/>
      <c r="D4053" s="28" t="s">
        <v>244</v>
      </c>
      <c r="E4053" s="3"/>
      <c r="H4053" s="7"/>
      <c r="K4053" s="30"/>
    </row>
    <row r="4054" spans="1:11" s="2" customFormat="1" x14ac:dyDescent="0.25">
      <c r="A4054" s="28" t="s">
        <v>6457</v>
      </c>
      <c r="B4054" s="29">
        <v>130</v>
      </c>
      <c r="C4054" s="28"/>
      <c r="D4054" s="28" t="s">
        <v>244</v>
      </c>
      <c r="E4054" s="3"/>
      <c r="H4054" s="7"/>
      <c r="K4054" s="30"/>
    </row>
    <row r="4055" spans="1:11" s="2" customFormat="1" x14ac:dyDescent="0.25">
      <c r="A4055" s="28" t="s">
        <v>5106</v>
      </c>
      <c r="B4055" s="29">
        <v>36</v>
      </c>
      <c r="C4055" s="28"/>
      <c r="D4055" s="28" t="s">
        <v>244</v>
      </c>
      <c r="E4055" s="3"/>
      <c r="H4055" s="7"/>
      <c r="K4055" s="30"/>
    </row>
    <row r="4056" spans="1:11" s="2" customFormat="1" x14ac:dyDescent="0.25">
      <c r="A4056" s="28" t="s">
        <v>6458</v>
      </c>
      <c r="B4056" s="29">
        <v>22</v>
      </c>
      <c r="C4056" s="28"/>
      <c r="D4056" s="28" t="s">
        <v>244</v>
      </c>
      <c r="E4056" s="3"/>
      <c r="H4056" s="7"/>
      <c r="K4056" s="30"/>
    </row>
    <row r="4057" spans="1:11" s="2" customFormat="1" x14ac:dyDescent="0.25">
      <c r="A4057" s="28" t="s">
        <v>6459</v>
      </c>
      <c r="B4057" s="29">
        <v>24</v>
      </c>
      <c r="C4057" s="28"/>
      <c r="D4057" s="28" t="s">
        <v>244</v>
      </c>
      <c r="E4057" s="3"/>
      <c r="H4057" s="7"/>
      <c r="K4057" s="30"/>
    </row>
    <row r="4058" spans="1:11" s="2" customFormat="1" x14ac:dyDescent="0.25">
      <c r="A4058" s="28" t="s">
        <v>6460</v>
      </c>
      <c r="B4058" s="29">
        <v>35</v>
      </c>
      <c r="C4058" s="28"/>
      <c r="D4058" s="28" t="s">
        <v>244</v>
      </c>
      <c r="E4058" s="3"/>
      <c r="H4058" s="7"/>
      <c r="K4058" s="30"/>
    </row>
    <row r="4059" spans="1:11" s="2" customFormat="1" x14ac:dyDescent="0.25">
      <c r="A4059" s="28" t="s">
        <v>6461</v>
      </c>
      <c r="B4059" s="29">
        <v>10</v>
      </c>
      <c r="C4059" s="28"/>
      <c r="D4059" s="28" t="s">
        <v>244</v>
      </c>
      <c r="E4059" s="3"/>
      <c r="H4059" s="7"/>
      <c r="K4059" s="30"/>
    </row>
    <row r="4060" spans="1:11" s="2" customFormat="1" x14ac:dyDescent="0.25">
      <c r="A4060" s="28" t="s">
        <v>6462</v>
      </c>
      <c r="B4060" s="29">
        <v>7</v>
      </c>
      <c r="C4060" s="28"/>
      <c r="D4060" s="28" t="s">
        <v>244</v>
      </c>
      <c r="E4060" s="3"/>
      <c r="H4060" s="7"/>
      <c r="K4060" s="30"/>
    </row>
    <row r="4061" spans="1:11" s="2" customFormat="1" x14ac:dyDescent="0.25">
      <c r="A4061" s="28" t="s">
        <v>6463</v>
      </c>
      <c r="B4061" s="29">
        <v>6</v>
      </c>
      <c r="C4061" s="28"/>
      <c r="D4061" s="28" t="s">
        <v>244</v>
      </c>
      <c r="E4061" s="3"/>
      <c r="H4061" s="7"/>
      <c r="K4061" s="30"/>
    </row>
    <row r="4062" spans="1:11" s="2" customFormat="1" x14ac:dyDescent="0.25">
      <c r="A4062" s="28" t="s">
        <v>6464</v>
      </c>
      <c r="B4062" s="29">
        <v>392</v>
      </c>
      <c r="C4062" s="28"/>
      <c r="D4062" s="28" t="s">
        <v>244</v>
      </c>
      <c r="E4062" s="3"/>
      <c r="H4062" s="7"/>
      <c r="K4062" s="30"/>
    </row>
    <row r="4063" spans="1:11" s="2" customFormat="1" x14ac:dyDescent="0.25">
      <c r="A4063" s="28" t="s">
        <v>6465</v>
      </c>
      <c r="B4063" s="29">
        <v>2</v>
      </c>
      <c r="C4063" s="28"/>
      <c r="D4063" s="28" t="s">
        <v>244</v>
      </c>
      <c r="E4063" s="3"/>
      <c r="H4063" s="7"/>
      <c r="K4063" s="30"/>
    </row>
    <row r="4064" spans="1:11" s="2" customFormat="1" x14ac:dyDescent="0.25">
      <c r="A4064" s="28" t="s">
        <v>6466</v>
      </c>
      <c r="B4064" s="29">
        <v>72</v>
      </c>
      <c r="C4064" s="28"/>
      <c r="D4064" s="28" t="s">
        <v>244</v>
      </c>
      <c r="E4064" s="3"/>
      <c r="H4064" s="7"/>
      <c r="K4064" s="30"/>
    </row>
    <row r="4065" spans="1:11" s="2" customFormat="1" x14ac:dyDescent="0.25">
      <c r="A4065" s="28" t="s">
        <v>6467</v>
      </c>
      <c r="B4065" s="29">
        <v>15</v>
      </c>
      <c r="C4065" s="28"/>
      <c r="D4065" s="28" t="s">
        <v>244</v>
      </c>
      <c r="E4065" s="3"/>
      <c r="H4065" s="7"/>
      <c r="K4065" s="30"/>
    </row>
    <row r="4066" spans="1:11" s="2" customFormat="1" x14ac:dyDescent="0.25">
      <c r="A4066" s="28" t="s">
        <v>6468</v>
      </c>
      <c r="B4066" s="29">
        <v>6</v>
      </c>
      <c r="C4066" s="28"/>
      <c r="D4066" s="28" t="s">
        <v>244</v>
      </c>
      <c r="E4066" s="3"/>
      <c r="H4066" s="7"/>
      <c r="K4066" s="30"/>
    </row>
    <row r="4067" spans="1:11" s="2" customFormat="1" x14ac:dyDescent="0.25">
      <c r="A4067" s="28" t="s">
        <v>6469</v>
      </c>
      <c r="B4067" s="29">
        <v>47</v>
      </c>
      <c r="C4067" s="28"/>
      <c r="D4067" s="28" t="s">
        <v>244</v>
      </c>
      <c r="E4067" s="3"/>
      <c r="H4067" s="7"/>
      <c r="K4067" s="30"/>
    </row>
    <row r="4068" spans="1:11" s="2" customFormat="1" x14ac:dyDescent="0.25">
      <c r="A4068" s="28" t="s">
        <v>6470</v>
      </c>
      <c r="B4068" s="29">
        <v>4</v>
      </c>
      <c r="C4068" s="28"/>
      <c r="D4068" s="28" t="s">
        <v>244</v>
      </c>
      <c r="E4068" s="3"/>
      <c r="H4068" s="7"/>
      <c r="K4068" s="30"/>
    </row>
    <row r="4069" spans="1:11" s="2" customFormat="1" x14ac:dyDescent="0.25">
      <c r="A4069" s="28" t="s">
        <v>6471</v>
      </c>
      <c r="B4069" s="29">
        <v>4</v>
      </c>
      <c r="C4069" s="28"/>
      <c r="D4069" s="28" t="s">
        <v>244</v>
      </c>
      <c r="E4069" s="3"/>
      <c r="H4069" s="7"/>
      <c r="K4069" s="30"/>
    </row>
    <row r="4070" spans="1:11" s="2" customFormat="1" x14ac:dyDescent="0.25">
      <c r="A4070" s="28" t="s">
        <v>6472</v>
      </c>
      <c r="B4070" s="29">
        <v>20</v>
      </c>
      <c r="C4070" s="28"/>
      <c r="D4070" s="28" t="s">
        <v>244</v>
      </c>
      <c r="E4070" s="3"/>
      <c r="H4070" s="7"/>
      <c r="K4070" s="30"/>
    </row>
    <row r="4071" spans="1:11" s="2" customFormat="1" x14ac:dyDescent="0.25">
      <c r="A4071" s="28" t="s">
        <v>6473</v>
      </c>
      <c r="B4071" s="29">
        <v>70</v>
      </c>
      <c r="C4071" s="28"/>
      <c r="D4071" s="28" t="s">
        <v>244</v>
      </c>
      <c r="E4071" s="3"/>
      <c r="H4071" s="7"/>
      <c r="K4071" s="30"/>
    </row>
    <row r="4072" spans="1:11" s="2" customFormat="1" x14ac:dyDescent="0.25">
      <c r="A4072" s="28" t="s">
        <v>1474</v>
      </c>
      <c r="B4072" s="29">
        <v>15</v>
      </c>
      <c r="C4072" s="28"/>
      <c r="D4072" s="28" t="s">
        <v>244</v>
      </c>
      <c r="E4072" s="3"/>
      <c r="H4072" s="7"/>
      <c r="K4072" s="30"/>
    </row>
    <row r="4073" spans="1:11" s="2" customFormat="1" x14ac:dyDescent="0.25">
      <c r="A4073" s="28" t="s">
        <v>6474</v>
      </c>
      <c r="B4073" s="29">
        <v>9</v>
      </c>
      <c r="C4073" s="28"/>
      <c r="D4073" s="28" t="s">
        <v>244</v>
      </c>
      <c r="E4073" s="3"/>
      <c r="H4073" s="7"/>
      <c r="K4073" s="30"/>
    </row>
    <row r="4074" spans="1:11" s="2" customFormat="1" x14ac:dyDescent="0.25">
      <c r="A4074" s="28" t="s">
        <v>6475</v>
      </c>
      <c r="B4074" s="29">
        <v>4</v>
      </c>
      <c r="C4074" s="28"/>
      <c r="D4074" s="28" t="s">
        <v>244</v>
      </c>
      <c r="E4074" s="3"/>
      <c r="H4074" s="7"/>
      <c r="K4074" s="30"/>
    </row>
    <row r="4075" spans="1:11" s="2" customFormat="1" x14ac:dyDescent="0.25">
      <c r="A4075" s="28" t="s">
        <v>6476</v>
      </c>
      <c r="B4075" s="29">
        <v>50</v>
      </c>
      <c r="C4075" s="28"/>
      <c r="D4075" s="28" t="s">
        <v>244</v>
      </c>
      <c r="E4075" s="3"/>
      <c r="H4075" s="7"/>
      <c r="K4075" s="30"/>
    </row>
    <row r="4076" spans="1:11" s="2" customFormat="1" x14ac:dyDescent="0.25">
      <c r="A4076" s="28" t="s">
        <v>6477</v>
      </c>
      <c r="B4076" s="29">
        <v>26</v>
      </c>
      <c r="C4076" s="28"/>
      <c r="D4076" s="28" t="s">
        <v>244</v>
      </c>
      <c r="E4076" s="3"/>
      <c r="H4076" s="7"/>
      <c r="K4076" s="30"/>
    </row>
    <row r="4077" spans="1:11" s="2" customFormat="1" x14ac:dyDescent="0.25">
      <c r="A4077" s="28" t="s">
        <v>6478</v>
      </c>
      <c r="B4077" s="29">
        <v>26</v>
      </c>
      <c r="C4077" s="28"/>
      <c r="D4077" s="28" t="s">
        <v>244</v>
      </c>
      <c r="E4077" s="3"/>
      <c r="H4077" s="7"/>
      <c r="K4077" s="30"/>
    </row>
    <row r="4078" spans="1:11" s="2" customFormat="1" x14ac:dyDescent="0.25">
      <c r="A4078" s="28" t="s">
        <v>6479</v>
      </c>
      <c r="B4078" s="29">
        <v>26</v>
      </c>
      <c r="C4078" s="28"/>
      <c r="D4078" s="28" t="s">
        <v>244</v>
      </c>
      <c r="E4078" s="3"/>
      <c r="H4078" s="7"/>
      <c r="K4078" s="30"/>
    </row>
    <row r="4079" spans="1:11" s="2" customFormat="1" x14ac:dyDescent="0.25">
      <c r="A4079" s="28" t="s">
        <v>6480</v>
      </c>
      <c r="B4079" s="29">
        <v>5</v>
      </c>
      <c r="C4079" s="28"/>
      <c r="D4079" s="28" t="s">
        <v>244</v>
      </c>
      <c r="E4079" s="3"/>
      <c r="H4079" s="7"/>
      <c r="K4079" s="30"/>
    </row>
    <row r="4080" spans="1:11" s="2" customFormat="1" x14ac:dyDescent="0.25">
      <c r="A4080" s="28" t="s">
        <v>6481</v>
      </c>
      <c r="B4080" s="29">
        <v>100</v>
      </c>
      <c r="C4080" s="28"/>
      <c r="D4080" s="28" t="s">
        <v>244</v>
      </c>
      <c r="E4080" s="3"/>
      <c r="H4080" s="7"/>
      <c r="K4080" s="30"/>
    </row>
    <row r="4081" spans="1:11" s="2" customFormat="1" x14ac:dyDescent="0.25">
      <c r="A4081" s="28" t="s">
        <v>6482</v>
      </c>
      <c r="B4081" s="29">
        <v>1</v>
      </c>
      <c r="C4081" s="28"/>
      <c r="D4081" s="28" t="s">
        <v>244</v>
      </c>
      <c r="E4081" s="3"/>
      <c r="H4081" s="7"/>
      <c r="K4081" s="30"/>
    </row>
    <row r="4082" spans="1:11" s="2" customFormat="1" x14ac:dyDescent="0.25">
      <c r="A4082" s="28" t="s">
        <v>6483</v>
      </c>
      <c r="B4082" s="29">
        <v>22</v>
      </c>
      <c r="C4082" s="28"/>
      <c r="D4082" s="28" t="s">
        <v>244</v>
      </c>
      <c r="E4082" s="3"/>
      <c r="H4082" s="7"/>
      <c r="K4082" s="30"/>
    </row>
    <row r="4083" spans="1:11" s="2" customFormat="1" x14ac:dyDescent="0.25">
      <c r="A4083" s="28" t="s">
        <v>6484</v>
      </c>
      <c r="B4083" s="29">
        <v>42</v>
      </c>
      <c r="C4083" s="28"/>
      <c r="D4083" s="28" t="s">
        <v>244</v>
      </c>
      <c r="E4083" s="3"/>
      <c r="H4083" s="7"/>
      <c r="K4083" s="30"/>
    </row>
    <row r="4084" spans="1:11" s="2" customFormat="1" x14ac:dyDescent="0.25">
      <c r="A4084" s="28" t="s">
        <v>6485</v>
      </c>
      <c r="B4084" s="29">
        <v>42</v>
      </c>
      <c r="C4084" s="28"/>
      <c r="D4084" s="28" t="s">
        <v>244</v>
      </c>
      <c r="E4084" s="3"/>
      <c r="H4084" s="7"/>
      <c r="K4084" s="30"/>
    </row>
    <row r="4085" spans="1:11" s="2" customFormat="1" x14ac:dyDescent="0.25">
      <c r="A4085" s="28" t="s">
        <v>6486</v>
      </c>
      <c r="B4085" s="29">
        <v>42</v>
      </c>
      <c r="C4085" s="28"/>
      <c r="D4085" s="28" t="s">
        <v>244</v>
      </c>
      <c r="E4085" s="3"/>
      <c r="H4085" s="7"/>
      <c r="K4085" s="30"/>
    </row>
    <row r="4086" spans="1:11" s="2" customFormat="1" x14ac:dyDescent="0.25">
      <c r="A4086" s="28" t="s">
        <v>6487</v>
      </c>
      <c r="B4086" s="29">
        <v>42</v>
      </c>
      <c r="C4086" s="28"/>
      <c r="D4086" s="28" t="s">
        <v>244</v>
      </c>
      <c r="E4086" s="3"/>
      <c r="H4086" s="7"/>
      <c r="K4086" s="30"/>
    </row>
    <row r="4087" spans="1:11" s="2" customFormat="1" x14ac:dyDescent="0.25">
      <c r="A4087" s="28" t="s">
        <v>6488</v>
      </c>
      <c r="B4087" s="29">
        <v>144</v>
      </c>
      <c r="C4087" s="28"/>
      <c r="D4087" s="28" t="s">
        <v>244</v>
      </c>
      <c r="E4087" s="3"/>
      <c r="H4087" s="7"/>
      <c r="K4087" s="30"/>
    </row>
    <row r="4088" spans="1:11" s="2" customFormat="1" x14ac:dyDescent="0.25">
      <c r="A4088" s="28" t="s">
        <v>6489</v>
      </c>
      <c r="B4088" s="29">
        <v>4</v>
      </c>
      <c r="C4088" s="28"/>
      <c r="D4088" s="28" t="s">
        <v>244</v>
      </c>
      <c r="E4088" s="3"/>
      <c r="H4088" s="7"/>
      <c r="K4088" s="30"/>
    </row>
    <row r="4089" spans="1:11" s="2" customFormat="1" x14ac:dyDescent="0.25">
      <c r="A4089" s="28" t="s">
        <v>6490</v>
      </c>
      <c r="B4089" s="29">
        <v>20</v>
      </c>
      <c r="C4089" s="28"/>
      <c r="D4089" s="28" t="s">
        <v>244</v>
      </c>
      <c r="E4089" s="3"/>
      <c r="H4089" s="7"/>
      <c r="K4089" s="30"/>
    </row>
    <row r="4090" spans="1:11" s="2" customFormat="1" x14ac:dyDescent="0.25">
      <c r="A4090" s="28" t="s">
        <v>6491</v>
      </c>
      <c r="B4090" s="29">
        <v>20</v>
      </c>
      <c r="C4090" s="28"/>
      <c r="D4090" s="28" t="s">
        <v>244</v>
      </c>
      <c r="E4090" s="3"/>
      <c r="H4090" s="7"/>
      <c r="K4090" s="30"/>
    </row>
    <row r="4091" spans="1:11" s="2" customFormat="1" x14ac:dyDescent="0.25">
      <c r="A4091" s="28" t="s">
        <v>6492</v>
      </c>
      <c r="B4091" s="29">
        <v>20</v>
      </c>
      <c r="C4091" s="28"/>
      <c r="D4091" s="28" t="s">
        <v>244</v>
      </c>
      <c r="E4091" s="3"/>
      <c r="H4091" s="7"/>
      <c r="K4091" s="30"/>
    </row>
    <row r="4092" spans="1:11" s="2" customFormat="1" x14ac:dyDescent="0.25">
      <c r="A4092" s="28" t="s">
        <v>6493</v>
      </c>
      <c r="B4092" s="29">
        <v>9</v>
      </c>
      <c r="C4092" s="28"/>
      <c r="D4092" s="28" t="s">
        <v>244</v>
      </c>
      <c r="E4092" s="3"/>
      <c r="H4092" s="7"/>
      <c r="K4092" s="30"/>
    </row>
    <row r="4093" spans="1:11" s="2" customFormat="1" x14ac:dyDescent="0.25">
      <c r="A4093" s="28" t="s">
        <v>6494</v>
      </c>
      <c r="B4093" s="29">
        <v>8</v>
      </c>
      <c r="C4093" s="28"/>
      <c r="D4093" s="28" t="s">
        <v>244</v>
      </c>
      <c r="E4093" s="3"/>
      <c r="H4093" s="7"/>
      <c r="K4093" s="30"/>
    </row>
    <row r="4094" spans="1:11" s="2" customFormat="1" x14ac:dyDescent="0.25">
      <c r="A4094" s="28" t="s">
        <v>6495</v>
      </c>
      <c r="B4094" s="29">
        <v>70</v>
      </c>
      <c r="C4094" s="28"/>
      <c r="D4094" s="28" t="s">
        <v>244</v>
      </c>
      <c r="E4094" s="3"/>
      <c r="H4094" s="7"/>
      <c r="K4094" s="30"/>
    </row>
    <row r="4095" spans="1:11" s="2" customFormat="1" x14ac:dyDescent="0.25">
      <c r="A4095" s="28" t="s">
        <v>6496</v>
      </c>
      <c r="B4095" s="29">
        <v>3</v>
      </c>
      <c r="C4095" s="28"/>
      <c r="D4095" s="28" t="s">
        <v>244</v>
      </c>
      <c r="E4095" s="3"/>
      <c r="H4095" s="7"/>
      <c r="K4095" s="30"/>
    </row>
    <row r="4096" spans="1:11" s="2" customFormat="1" x14ac:dyDescent="0.25">
      <c r="A4096" s="28" t="s">
        <v>6497</v>
      </c>
      <c r="B4096" s="29">
        <v>6</v>
      </c>
      <c r="C4096" s="28"/>
      <c r="D4096" s="28" t="s">
        <v>244</v>
      </c>
      <c r="E4096" s="3"/>
      <c r="H4096" s="7"/>
      <c r="K4096" s="30"/>
    </row>
    <row r="4097" spans="1:11" s="2" customFormat="1" x14ac:dyDescent="0.25">
      <c r="A4097" s="28" t="s">
        <v>6498</v>
      </c>
      <c r="B4097" s="29">
        <v>34</v>
      </c>
      <c r="C4097" s="28"/>
      <c r="D4097" s="28" t="s">
        <v>244</v>
      </c>
      <c r="E4097" s="3"/>
      <c r="H4097" s="7"/>
      <c r="K4097" s="30"/>
    </row>
    <row r="4098" spans="1:11" s="2" customFormat="1" x14ac:dyDescent="0.25">
      <c r="A4098" s="28" t="s">
        <v>6499</v>
      </c>
      <c r="B4098" s="29">
        <v>20</v>
      </c>
      <c r="C4098" s="28"/>
      <c r="D4098" s="28" t="s">
        <v>244</v>
      </c>
      <c r="E4098" s="3"/>
      <c r="H4098" s="7"/>
      <c r="K4098" s="30"/>
    </row>
    <row r="4099" spans="1:11" s="2" customFormat="1" x14ac:dyDescent="0.25">
      <c r="A4099" s="28" t="s">
        <v>6500</v>
      </c>
      <c r="B4099" s="29">
        <v>10</v>
      </c>
      <c r="C4099" s="28"/>
      <c r="D4099" s="28" t="s">
        <v>244</v>
      </c>
      <c r="E4099" s="3"/>
      <c r="H4099" s="7"/>
      <c r="K4099" s="30"/>
    </row>
    <row r="4100" spans="1:11" s="2" customFormat="1" x14ac:dyDescent="0.25">
      <c r="A4100" s="28" t="s">
        <v>6501</v>
      </c>
      <c r="B4100" s="29">
        <v>14</v>
      </c>
      <c r="C4100" s="28"/>
      <c r="D4100" s="28" t="s">
        <v>244</v>
      </c>
      <c r="E4100" s="3"/>
      <c r="H4100" s="7"/>
      <c r="K4100" s="30"/>
    </row>
    <row r="4101" spans="1:11" s="2" customFormat="1" x14ac:dyDescent="0.25">
      <c r="A4101" s="28" t="s">
        <v>6502</v>
      </c>
      <c r="B4101" s="29">
        <v>25</v>
      </c>
      <c r="C4101" s="28"/>
      <c r="D4101" s="28" t="s">
        <v>244</v>
      </c>
      <c r="E4101" s="3"/>
      <c r="H4101" s="7"/>
      <c r="K4101" s="30"/>
    </row>
    <row r="4102" spans="1:11" s="2" customFormat="1" x14ac:dyDescent="0.25">
      <c r="A4102" s="28" t="s">
        <v>6503</v>
      </c>
      <c r="B4102" s="29">
        <v>387</v>
      </c>
      <c r="C4102" s="28"/>
      <c r="D4102" s="28" t="s">
        <v>244</v>
      </c>
      <c r="E4102" s="3"/>
      <c r="H4102" s="7"/>
      <c r="K4102" s="30"/>
    </row>
    <row r="4103" spans="1:11" s="2" customFormat="1" x14ac:dyDescent="0.25">
      <c r="A4103" s="28" t="s">
        <v>6504</v>
      </c>
      <c r="B4103" s="29">
        <v>34</v>
      </c>
      <c r="C4103" s="28"/>
      <c r="D4103" s="28" t="s">
        <v>244</v>
      </c>
      <c r="E4103" s="3"/>
      <c r="H4103" s="7"/>
      <c r="K4103" s="30"/>
    </row>
    <row r="4104" spans="1:11" s="2" customFormat="1" x14ac:dyDescent="0.25">
      <c r="A4104" s="28" t="s">
        <v>6505</v>
      </c>
      <c r="B4104" s="29">
        <v>388</v>
      </c>
      <c r="C4104" s="28"/>
      <c r="D4104" s="28" t="s">
        <v>244</v>
      </c>
      <c r="E4104" s="3"/>
      <c r="H4104" s="7"/>
      <c r="K4104" s="30"/>
    </row>
    <row r="4105" spans="1:11" s="2" customFormat="1" x14ac:dyDescent="0.25">
      <c r="A4105" s="28" t="s">
        <v>6506</v>
      </c>
      <c r="B4105" s="29">
        <v>7</v>
      </c>
      <c r="C4105" s="28"/>
      <c r="D4105" s="28" t="s">
        <v>244</v>
      </c>
      <c r="E4105" s="3"/>
      <c r="H4105" s="7"/>
      <c r="K4105" s="30"/>
    </row>
    <row r="4106" spans="1:11" s="2" customFormat="1" x14ac:dyDescent="0.25">
      <c r="A4106" s="28" t="s">
        <v>6507</v>
      </c>
      <c r="B4106" s="29">
        <v>5</v>
      </c>
      <c r="C4106" s="28"/>
      <c r="D4106" s="28" t="s">
        <v>244</v>
      </c>
      <c r="E4106" s="3"/>
      <c r="H4106" s="7"/>
      <c r="K4106" s="30"/>
    </row>
    <row r="4107" spans="1:11" s="2" customFormat="1" x14ac:dyDescent="0.25">
      <c r="A4107" s="28" t="s">
        <v>6508</v>
      </c>
      <c r="B4107" s="29">
        <v>4</v>
      </c>
      <c r="C4107" s="28"/>
      <c r="D4107" s="28" t="s">
        <v>244</v>
      </c>
      <c r="E4107" s="3"/>
      <c r="H4107" s="7"/>
      <c r="K4107" s="30"/>
    </row>
    <row r="4108" spans="1:11" s="2" customFormat="1" x14ac:dyDescent="0.25">
      <c r="A4108" s="28" t="s">
        <v>6509</v>
      </c>
      <c r="B4108" s="29">
        <v>92</v>
      </c>
      <c r="C4108" s="28"/>
      <c r="D4108" s="28" t="s">
        <v>244</v>
      </c>
      <c r="E4108" s="3"/>
      <c r="H4108" s="7"/>
      <c r="K4108" s="30"/>
    </row>
    <row r="4109" spans="1:11" s="2" customFormat="1" x14ac:dyDescent="0.25">
      <c r="A4109" s="28" t="s">
        <v>6510</v>
      </c>
      <c r="B4109" s="29">
        <v>26</v>
      </c>
      <c r="C4109" s="28"/>
      <c r="D4109" s="28" t="s">
        <v>244</v>
      </c>
      <c r="E4109" s="3"/>
      <c r="H4109" s="7"/>
      <c r="K4109" s="30"/>
    </row>
    <row r="4110" spans="1:11" s="2" customFormat="1" x14ac:dyDescent="0.25">
      <c r="A4110" s="28" t="s">
        <v>6511</v>
      </c>
      <c r="B4110" s="29">
        <v>14</v>
      </c>
      <c r="C4110" s="28"/>
      <c r="D4110" s="28" t="s">
        <v>244</v>
      </c>
      <c r="E4110" s="3"/>
      <c r="H4110" s="7"/>
      <c r="K4110" s="30"/>
    </row>
    <row r="4111" spans="1:11" s="2" customFormat="1" x14ac:dyDescent="0.25">
      <c r="A4111" s="28" t="s">
        <v>6512</v>
      </c>
      <c r="B4111" s="29">
        <v>4</v>
      </c>
      <c r="C4111" s="28"/>
      <c r="D4111" s="28" t="s">
        <v>244</v>
      </c>
      <c r="E4111" s="3"/>
      <c r="H4111" s="7"/>
      <c r="K4111" s="30"/>
    </row>
    <row r="4112" spans="1:11" s="2" customFormat="1" x14ac:dyDescent="0.25">
      <c r="A4112" s="28" t="s">
        <v>989</v>
      </c>
      <c r="B4112" s="29">
        <v>19</v>
      </c>
      <c r="C4112" s="28"/>
      <c r="D4112" s="28" t="s">
        <v>244</v>
      </c>
      <c r="E4112" s="3"/>
      <c r="H4112" s="7"/>
      <c r="K4112" s="30"/>
    </row>
    <row r="4113" spans="1:11" s="2" customFormat="1" x14ac:dyDescent="0.25">
      <c r="A4113" s="28" t="s">
        <v>6513</v>
      </c>
      <c r="B4113" s="29">
        <v>18</v>
      </c>
      <c r="C4113" s="28"/>
      <c r="D4113" s="28" t="s">
        <v>244</v>
      </c>
      <c r="E4113" s="3"/>
      <c r="H4113" s="7"/>
      <c r="K4113" s="30"/>
    </row>
    <row r="4114" spans="1:11" s="2" customFormat="1" x14ac:dyDescent="0.25">
      <c r="A4114" s="28" t="s">
        <v>6514</v>
      </c>
      <c r="B4114" s="29">
        <v>18</v>
      </c>
      <c r="C4114" s="28"/>
      <c r="D4114" s="28" t="s">
        <v>244</v>
      </c>
      <c r="E4114" s="3"/>
      <c r="H4114" s="7"/>
      <c r="K4114" s="30"/>
    </row>
    <row r="4115" spans="1:11" s="2" customFormat="1" x14ac:dyDescent="0.25">
      <c r="A4115" s="28" t="s">
        <v>6515</v>
      </c>
      <c r="B4115" s="29">
        <v>19</v>
      </c>
      <c r="C4115" s="28"/>
      <c r="D4115" s="28" t="s">
        <v>244</v>
      </c>
      <c r="E4115" s="3"/>
      <c r="H4115" s="7"/>
      <c r="K4115" s="30"/>
    </row>
    <row r="4116" spans="1:11" s="2" customFormat="1" x14ac:dyDescent="0.25">
      <c r="A4116" s="28" t="s">
        <v>6516</v>
      </c>
      <c r="B4116" s="29">
        <v>30</v>
      </c>
      <c r="C4116" s="28"/>
      <c r="D4116" s="28" t="s">
        <v>244</v>
      </c>
      <c r="E4116" s="3"/>
      <c r="H4116" s="7"/>
      <c r="K4116" s="30"/>
    </row>
    <row r="4117" spans="1:11" s="2" customFormat="1" x14ac:dyDescent="0.25">
      <c r="A4117" s="28" t="s">
        <v>6517</v>
      </c>
      <c r="B4117" s="29">
        <v>26</v>
      </c>
      <c r="C4117" s="28"/>
      <c r="D4117" s="28" t="s">
        <v>244</v>
      </c>
      <c r="E4117" s="3"/>
      <c r="H4117" s="7"/>
      <c r="K4117" s="30"/>
    </row>
    <row r="4118" spans="1:11" s="2" customFormat="1" x14ac:dyDescent="0.25">
      <c r="A4118" s="28" t="s">
        <v>6518</v>
      </c>
      <c r="B4118" s="29">
        <v>1</v>
      </c>
      <c r="C4118" s="28"/>
      <c r="D4118" s="28" t="s">
        <v>244</v>
      </c>
      <c r="E4118" s="3"/>
      <c r="H4118" s="7"/>
      <c r="K4118" s="30"/>
    </row>
    <row r="4119" spans="1:11" s="2" customFormat="1" x14ac:dyDescent="0.25">
      <c r="A4119" s="28" t="s">
        <v>6519</v>
      </c>
      <c r="B4119" s="29">
        <v>25</v>
      </c>
      <c r="C4119" s="28"/>
      <c r="D4119" s="28" t="s">
        <v>244</v>
      </c>
      <c r="E4119" s="3"/>
      <c r="H4119" s="7"/>
      <c r="K4119" s="30"/>
    </row>
    <row r="4120" spans="1:11" s="2" customFormat="1" x14ac:dyDescent="0.25">
      <c r="A4120" s="28" t="s">
        <v>6520</v>
      </c>
      <c r="B4120" s="29">
        <v>1</v>
      </c>
      <c r="C4120" s="28"/>
      <c r="D4120" s="28" t="s">
        <v>244</v>
      </c>
      <c r="E4120" s="3"/>
      <c r="H4120" s="7"/>
      <c r="K4120" s="30"/>
    </row>
    <row r="4121" spans="1:11" s="2" customFormat="1" x14ac:dyDescent="0.25">
      <c r="A4121" s="28" t="s">
        <v>6521</v>
      </c>
      <c r="B4121" s="29">
        <v>22</v>
      </c>
      <c r="C4121" s="28"/>
      <c r="D4121" s="28" t="s">
        <v>244</v>
      </c>
      <c r="E4121" s="3"/>
      <c r="H4121" s="7"/>
      <c r="K4121" s="30"/>
    </row>
    <row r="4122" spans="1:11" s="2" customFormat="1" x14ac:dyDescent="0.25">
      <c r="A4122" s="28" t="s">
        <v>6522</v>
      </c>
      <c r="B4122" s="29">
        <v>4</v>
      </c>
      <c r="C4122" s="28"/>
      <c r="D4122" s="28" t="s">
        <v>244</v>
      </c>
      <c r="E4122" s="3"/>
      <c r="H4122" s="7"/>
      <c r="K4122" s="30"/>
    </row>
    <row r="4123" spans="1:11" s="2" customFormat="1" x14ac:dyDescent="0.25">
      <c r="A4123" s="28" t="s">
        <v>6523</v>
      </c>
      <c r="B4123" s="29">
        <v>50</v>
      </c>
      <c r="C4123" s="28"/>
      <c r="D4123" s="28" t="s">
        <v>244</v>
      </c>
      <c r="E4123" s="3"/>
      <c r="H4123" s="7"/>
      <c r="K4123" s="30"/>
    </row>
    <row r="4124" spans="1:11" s="2" customFormat="1" x14ac:dyDescent="0.25">
      <c r="A4124" s="28" t="s">
        <v>6524</v>
      </c>
      <c r="B4124" s="29">
        <v>26</v>
      </c>
      <c r="C4124" s="28"/>
      <c r="D4124" s="28" t="s">
        <v>244</v>
      </c>
      <c r="E4124" s="3"/>
      <c r="H4124" s="7"/>
      <c r="K4124" s="30"/>
    </row>
    <row r="4125" spans="1:11" s="2" customFormat="1" x14ac:dyDescent="0.25">
      <c r="A4125" s="28" t="s">
        <v>6525</v>
      </c>
      <c r="B4125" s="29">
        <v>12</v>
      </c>
      <c r="C4125" s="28"/>
      <c r="D4125" s="28" t="s">
        <v>244</v>
      </c>
      <c r="E4125" s="3"/>
      <c r="H4125" s="7"/>
      <c r="K4125" s="30"/>
    </row>
    <row r="4126" spans="1:11" s="2" customFormat="1" x14ac:dyDescent="0.25">
      <c r="A4126" s="28" t="s">
        <v>6526</v>
      </c>
      <c r="B4126" s="29">
        <v>18</v>
      </c>
      <c r="C4126" s="28"/>
      <c r="D4126" s="28" t="s">
        <v>244</v>
      </c>
      <c r="E4126" s="3"/>
      <c r="H4126" s="7"/>
      <c r="K4126" s="30"/>
    </row>
    <row r="4127" spans="1:11" s="2" customFormat="1" x14ac:dyDescent="0.25">
      <c r="A4127" s="28" t="s">
        <v>6527</v>
      </c>
      <c r="B4127" s="29">
        <v>16</v>
      </c>
      <c r="C4127" s="28"/>
      <c r="D4127" s="28" t="s">
        <v>244</v>
      </c>
      <c r="E4127" s="3"/>
      <c r="H4127" s="7"/>
      <c r="K4127" s="30"/>
    </row>
    <row r="4128" spans="1:11" s="2" customFormat="1" x14ac:dyDescent="0.25">
      <c r="A4128" s="28" t="s">
        <v>6528</v>
      </c>
      <c r="B4128" s="29">
        <v>10</v>
      </c>
      <c r="C4128" s="28"/>
      <c r="D4128" s="28" t="s">
        <v>244</v>
      </c>
      <c r="E4128" s="3"/>
      <c r="H4128" s="7"/>
      <c r="K4128" s="30"/>
    </row>
    <row r="4129" spans="1:11" s="2" customFormat="1" x14ac:dyDescent="0.25">
      <c r="A4129" s="28" t="s">
        <v>6529</v>
      </c>
      <c r="B4129" s="29">
        <v>5</v>
      </c>
      <c r="C4129" s="28"/>
      <c r="D4129" s="28" t="s">
        <v>244</v>
      </c>
      <c r="E4129" s="3"/>
      <c r="H4129" s="7"/>
      <c r="K4129" s="30"/>
    </row>
    <row r="4130" spans="1:11" s="2" customFormat="1" x14ac:dyDescent="0.25">
      <c r="A4130" s="28" t="s">
        <v>6530</v>
      </c>
      <c r="B4130" s="29">
        <v>19</v>
      </c>
      <c r="C4130" s="28"/>
      <c r="D4130" s="28" t="s">
        <v>244</v>
      </c>
      <c r="E4130" s="3"/>
      <c r="H4130" s="7"/>
      <c r="K4130" s="30"/>
    </row>
    <row r="4131" spans="1:11" s="2" customFormat="1" x14ac:dyDescent="0.25">
      <c r="A4131" s="28" t="s">
        <v>6531</v>
      </c>
      <c r="B4131" s="29">
        <v>44</v>
      </c>
      <c r="C4131" s="28"/>
      <c r="D4131" s="28" t="s">
        <v>244</v>
      </c>
      <c r="E4131" s="3"/>
      <c r="H4131" s="7"/>
      <c r="K4131" s="30"/>
    </row>
    <row r="4132" spans="1:11" s="2" customFormat="1" x14ac:dyDescent="0.25">
      <c r="A4132" s="28" t="s">
        <v>6532</v>
      </c>
      <c r="B4132" s="29">
        <v>6</v>
      </c>
      <c r="C4132" s="28"/>
      <c r="D4132" s="28" t="s">
        <v>244</v>
      </c>
      <c r="E4132" s="3"/>
      <c r="H4132" s="7"/>
      <c r="K4132" s="30"/>
    </row>
    <row r="4133" spans="1:11" s="2" customFormat="1" x14ac:dyDescent="0.25">
      <c r="A4133" s="28" t="s">
        <v>6533</v>
      </c>
      <c r="B4133" s="29">
        <v>6</v>
      </c>
      <c r="C4133" s="28"/>
      <c r="D4133" s="28" t="s">
        <v>244</v>
      </c>
      <c r="E4133" s="3"/>
      <c r="H4133" s="7"/>
      <c r="K4133" s="30"/>
    </row>
    <row r="4134" spans="1:11" s="2" customFormat="1" x14ac:dyDescent="0.25">
      <c r="A4134" s="28" t="s">
        <v>6534</v>
      </c>
      <c r="B4134" s="29">
        <v>6</v>
      </c>
      <c r="C4134" s="28"/>
      <c r="D4134" s="28" t="s">
        <v>244</v>
      </c>
      <c r="E4134" s="3"/>
      <c r="H4134" s="7"/>
      <c r="K4134" s="30"/>
    </row>
    <row r="4135" spans="1:11" s="2" customFormat="1" x14ac:dyDescent="0.25">
      <c r="A4135" s="28" t="s">
        <v>6535</v>
      </c>
      <c r="B4135" s="29">
        <v>4</v>
      </c>
      <c r="C4135" s="28"/>
      <c r="D4135" s="28" t="s">
        <v>244</v>
      </c>
      <c r="E4135" s="3"/>
      <c r="H4135" s="7"/>
      <c r="K4135" s="30"/>
    </row>
    <row r="4136" spans="1:11" s="2" customFormat="1" x14ac:dyDescent="0.25">
      <c r="A4136" s="28" t="s">
        <v>6536</v>
      </c>
      <c r="B4136" s="29">
        <v>6</v>
      </c>
      <c r="C4136" s="28"/>
      <c r="D4136" s="28" t="s">
        <v>244</v>
      </c>
      <c r="E4136" s="3"/>
      <c r="H4136" s="7"/>
      <c r="K4136" s="30"/>
    </row>
    <row r="4137" spans="1:11" s="2" customFormat="1" x14ac:dyDescent="0.25">
      <c r="A4137" s="28" t="s">
        <v>6537</v>
      </c>
      <c r="B4137" s="29">
        <v>10</v>
      </c>
      <c r="C4137" s="28"/>
      <c r="D4137" s="28" t="s">
        <v>244</v>
      </c>
      <c r="E4137" s="3"/>
      <c r="H4137" s="7"/>
      <c r="K4137" s="30"/>
    </row>
    <row r="4138" spans="1:11" s="2" customFormat="1" x14ac:dyDescent="0.25">
      <c r="A4138" s="28" t="s">
        <v>6538</v>
      </c>
      <c r="B4138" s="29">
        <v>1</v>
      </c>
      <c r="C4138" s="28"/>
      <c r="D4138" s="28" t="s">
        <v>244</v>
      </c>
      <c r="E4138" s="3"/>
      <c r="H4138" s="7"/>
      <c r="K4138" s="30"/>
    </row>
    <row r="4139" spans="1:11" s="2" customFormat="1" x14ac:dyDescent="0.25">
      <c r="A4139" s="28" t="s">
        <v>6539</v>
      </c>
      <c r="B4139" s="29">
        <v>2</v>
      </c>
      <c r="C4139" s="28"/>
      <c r="D4139" s="28" t="s">
        <v>244</v>
      </c>
      <c r="E4139" s="3"/>
      <c r="H4139" s="7"/>
      <c r="K4139" s="30"/>
    </row>
    <row r="4140" spans="1:11" s="2" customFormat="1" x14ac:dyDescent="0.25">
      <c r="A4140" s="28" t="s">
        <v>6540</v>
      </c>
      <c r="B4140" s="29">
        <v>2</v>
      </c>
      <c r="C4140" s="28"/>
      <c r="D4140" s="28" t="s">
        <v>244</v>
      </c>
      <c r="E4140" s="3"/>
      <c r="H4140" s="7"/>
      <c r="K4140" s="30"/>
    </row>
    <row r="4141" spans="1:11" s="2" customFormat="1" x14ac:dyDescent="0.25">
      <c r="A4141" s="28" t="s">
        <v>6541</v>
      </c>
      <c r="B4141" s="29">
        <v>1</v>
      </c>
      <c r="C4141" s="28"/>
      <c r="D4141" s="28" t="s">
        <v>244</v>
      </c>
      <c r="E4141" s="3"/>
      <c r="H4141" s="7"/>
      <c r="K4141" s="30"/>
    </row>
    <row r="4142" spans="1:11" s="2" customFormat="1" x14ac:dyDescent="0.25">
      <c r="A4142" s="28" t="s">
        <v>6542</v>
      </c>
      <c r="B4142" s="29">
        <v>35</v>
      </c>
      <c r="C4142" s="28"/>
      <c r="D4142" s="28" t="s">
        <v>244</v>
      </c>
      <c r="E4142" s="3"/>
      <c r="H4142" s="7"/>
      <c r="K4142" s="30"/>
    </row>
    <row r="4143" spans="1:11" s="2" customFormat="1" x14ac:dyDescent="0.25">
      <c r="A4143" s="28" t="s">
        <v>6543</v>
      </c>
      <c r="B4143" s="29">
        <v>5</v>
      </c>
      <c r="C4143" s="28"/>
      <c r="D4143" s="28" t="s">
        <v>6544</v>
      </c>
      <c r="E4143" s="3"/>
      <c r="H4143" s="7"/>
      <c r="K4143" s="30"/>
    </row>
    <row r="4144" spans="1:11" s="2" customFormat="1" x14ac:dyDescent="0.25">
      <c r="A4144" s="28" t="s">
        <v>6545</v>
      </c>
      <c r="B4144" s="29">
        <v>14</v>
      </c>
      <c r="C4144" s="28"/>
      <c r="D4144" s="28" t="s">
        <v>6546</v>
      </c>
      <c r="E4144" s="3"/>
      <c r="H4144" s="7"/>
      <c r="K4144" s="30"/>
    </row>
    <row r="4145" spans="1:11" s="2" customFormat="1" x14ac:dyDescent="0.25">
      <c r="A4145" s="28" t="s">
        <v>6547</v>
      </c>
      <c r="B4145" s="29">
        <v>50</v>
      </c>
      <c r="C4145" s="28"/>
      <c r="D4145" s="28" t="s">
        <v>6548</v>
      </c>
      <c r="E4145" s="3"/>
      <c r="H4145" s="7"/>
      <c r="K4145" s="30"/>
    </row>
    <row r="4146" spans="1:11" s="2" customFormat="1" x14ac:dyDescent="0.25">
      <c r="A4146" s="28" t="s">
        <v>6549</v>
      </c>
      <c r="B4146" s="29">
        <v>50</v>
      </c>
      <c r="C4146" s="28"/>
      <c r="D4146" s="28" t="s">
        <v>6548</v>
      </c>
      <c r="E4146" s="3"/>
      <c r="H4146" s="7"/>
      <c r="K4146" s="30"/>
    </row>
    <row r="4147" spans="1:11" s="2" customFormat="1" x14ac:dyDescent="0.25">
      <c r="A4147" s="28" t="s">
        <v>6550</v>
      </c>
      <c r="B4147" s="29">
        <v>10</v>
      </c>
      <c r="C4147" s="28"/>
      <c r="D4147" s="28" t="s">
        <v>6551</v>
      </c>
      <c r="E4147" s="3"/>
      <c r="H4147" s="7"/>
      <c r="K4147" s="30"/>
    </row>
    <row r="4148" spans="1:11" s="2" customFormat="1" x14ac:dyDescent="0.25">
      <c r="A4148" s="28" t="s">
        <v>6552</v>
      </c>
      <c r="B4148" s="29">
        <v>293</v>
      </c>
      <c r="C4148" s="28"/>
      <c r="D4148" s="28" t="s">
        <v>6553</v>
      </c>
      <c r="E4148" s="3"/>
      <c r="H4148" s="7"/>
      <c r="K4148" s="30"/>
    </row>
    <row r="4149" spans="1:11" s="2" customFormat="1" x14ac:dyDescent="0.25">
      <c r="A4149" s="28" t="s">
        <v>6554</v>
      </c>
      <c r="B4149" s="29">
        <v>2</v>
      </c>
      <c r="C4149" s="28"/>
      <c r="D4149" s="28" t="s">
        <v>6555</v>
      </c>
      <c r="E4149" s="3"/>
      <c r="H4149" s="7"/>
      <c r="K4149" s="30"/>
    </row>
    <row r="4150" spans="1:11" s="2" customFormat="1" x14ac:dyDescent="0.25">
      <c r="A4150" s="28" t="s">
        <v>6556</v>
      </c>
      <c r="B4150" s="29">
        <v>1</v>
      </c>
      <c r="C4150" s="28"/>
      <c r="D4150" s="28" t="s">
        <v>6557</v>
      </c>
      <c r="E4150" s="3"/>
      <c r="H4150" s="7"/>
      <c r="K4150" s="30"/>
    </row>
    <row r="4151" spans="1:11" s="2" customFormat="1" x14ac:dyDescent="0.25">
      <c r="A4151" s="28" t="s">
        <v>6558</v>
      </c>
      <c r="B4151" s="29">
        <v>4</v>
      </c>
      <c r="C4151" s="28"/>
      <c r="D4151" s="28" t="s">
        <v>6559</v>
      </c>
      <c r="E4151" s="3"/>
      <c r="H4151" s="7"/>
      <c r="K4151" s="30"/>
    </row>
    <row r="4152" spans="1:11" s="2" customFormat="1" x14ac:dyDescent="0.25">
      <c r="A4152" s="28" t="s">
        <v>6560</v>
      </c>
      <c r="B4152" s="29">
        <v>31</v>
      </c>
      <c r="C4152" s="28"/>
      <c r="D4152" s="28" t="s">
        <v>6561</v>
      </c>
      <c r="E4152" s="3"/>
      <c r="H4152" s="7"/>
      <c r="K4152" s="30"/>
    </row>
    <row r="4153" spans="1:11" s="2" customFormat="1" x14ac:dyDescent="0.25">
      <c r="A4153" s="28" t="s">
        <v>6562</v>
      </c>
      <c r="B4153" s="29">
        <v>427</v>
      </c>
      <c r="C4153" s="28"/>
      <c r="D4153" s="28" t="s">
        <v>6563</v>
      </c>
      <c r="E4153" s="3"/>
      <c r="H4153" s="7"/>
      <c r="K4153" s="30"/>
    </row>
    <row r="4154" spans="1:11" s="2" customFormat="1" x14ac:dyDescent="0.25">
      <c r="A4154" s="28" t="s">
        <v>6564</v>
      </c>
      <c r="B4154" s="29">
        <v>473</v>
      </c>
      <c r="C4154" s="28"/>
      <c r="D4154" s="28" t="s">
        <v>6563</v>
      </c>
      <c r="E4154" s="3"/>
      <c r="H4154" s="7"/>
      <c r="K4154" s="30"/>
    </row>
    <row r="4155" spans="1:11" s="2" customFormat="1" x14ac:dyDescent="0.25">
      <c r="A4155" s="31">
        <v>742792511</v>
      </c>
      <c r="B4155" s="29">
        <v>18</v>
      </c>
      <c r="C4155" s="28"/>
      <c r="D4155" s="28" t="s">
        <v>6563</v>
      </c>
      <c r="E4155" s="3"/>
      <c r="H4155" s="7"/>
      <c r="K4155" s="30"/>
    </row>
    <row r="4156" spans="1:11" s="2" customFormat="1" x14ac:dyDescent="0.25">
      <c r="A4156" s="31">
        <v>782423100</v>
      </c>
      <c r="B4156" s="29">
        <v>30</v>
      </c>
      <c r="C4156" s="28"/>
      <c r="D4156" s="28" t="s">
        <v>6563</v>
      </c>
      <c r="E4156" s="3"/>
      <c r="H4156" s="7"/>
      <c r="K4156" s="30"/>
    </row>
    <row r="4157" spans="1:11" s="2" customFormat="1" x14ac:dyDescent="0.25">
      <c r="A4157" s="35" t="s">
        <v>6565</v>
      </c>
      <c r="B4157" s="29">
        <v>3</v>
      </c>
      <c r="C4157" s="28"/>
      <c r="D4157" s="28" t="s">
        <v>6563</v>
      </c>
      <c r="E4157" s="3"/>
      <c r="H4157" s="7"/>
      <c r="K4157" s="30"/>
    </row>
    <row r="4158" spans="1:11" s="2" customFormat="1" x14ac:dyDescent="0.25">
      <c r="A4158" s="35" t="s">
        <v>6566</v>
      </c>
      <c r="B4158" s="29">
        <v>5</v>
      </c>
      <c r="C4158" s="28"/>
      <c r="D4158" s="28" t="s">
        <v>6563</v>
      </c>
      <c r="E4158" s="3"/>
      <c r="H4158" s="7"/>
      <c r="K4158" s="30"/>
    </row>
    <row r="4159" spans="1:11" s="2" customFormat="1" x14ac:dyDescent="0.25">
      <c r="A4159" s="35" t="s">
        <v>6567</v>
      </c>
      <c r="B4159" s="29">
        <v>2</v>
      </c>
      <c r="C4159" s="28"/>
      <c r="D4159" s="28" t="s">
        <v>6563</v>
      </c>
      <c r="E4159" s="3"/>
      <c r="H4159" s="7"/>
      <c r="K4159" s="30"/>
    </row>
    <row r="4160" spans="1:11" s="2" customFormat="1" x14ac:dyDescent="0.25">
      <c r="A4160" s="35" t="s">
        <v>6568</v>
      </c>
      <c r="B4160" s="29">
        <v>2</v>
      </c>
      <c r="C4160" s="28"/>
      <c r="D4160" s="28" t="s">
        <v>6563</v>
      </c>
      <c r="E4160" s="3"/>
      <c r="H4160" s="7"/>
      <c r="K4160" s="30"/>
    </row>
    <row r="4161" spans="1:11" s="2" customFormat="1" x14ac:dyDescent="0.25">
      <c r="A4161" s="28" t="s">
        <v>6376</v>
      </c>
      <c r="B4161" s="29">
        <v>80</v>
      </c>
      <c r="C4161" s="28"/>
      <c r="D4161" s="28" t="s">
        <v>6569</v>
      </c>
      <c r="E4161" s="3"/>
      <c r="H4161" s="7"/>
      <c r="K4161" s="30"/>
    </row>
    <row r="4162" spans="1:11" s="2" customFormat="1" x14ac:dyDescent="0.25">
      <c r="A4162" s="28" t="s">
        <v>6570</v>
      </c>
      <c r="B4162" s="29">
        <v>27</v>
      </c>
      <c r="C4162" s="28"/>
      <c r="D4162" s="28" t="s">
        <v>6571</v>
      </c>
      <c r="E4162" s="3"/>
      <c r="H4162" s="7"/>
      <c r="K4162" s="30"/>
    </row>
    <row r="4163" spans="1:11" s="2" customFormat="1" x14ac:dyDescent="0.25">
      <c r="A4163" s="28" t="s">
        <v>6572</v>
      </c>
      <c r="B4163" s="29">
        <v>64407</v>
      </c>
      <c r="C4163" s="28"/>
      <c r="D4163" s="28" t="s">
        <v>0</v>
      </c>
      <c r="E4163" s="3"/>
      <c r="H4163" s="7"/>
      <c r="K4163" s="30"/>
    </row>
    <row r="4164" spans="1:11" s="2" customFormat="1" x14ac:dyDescent="0.25">
      <c r="A4164" s="28" t="s">
        <v>6573</v>
      </c>
      <c r="B4164" s="29">
        <v>64407</v>
      </c>
      <c r="C4164" s="28"/>
      <c r="D4164" s="28" t="s">
        <v>0</v>
      </c>
      <c r="E4164" s="3"/>
      <c r="H4164" s="7"/>
      <c r="K4164" s="30"/>
    </row>
    <row r="4165" spans="1:11" s="2" customFormat="1" x14ac:dyDescent="0.25">
      <c r="A4165" s="28" t="s">
        <v>6574</v>
      </c>
      <c r="B4165" s="29">
        <v>240</v>
      </c>
      <c r="C4165" s="28"/>
      <c r="D4165" s="28" t="s">
        <v>0</v>
      </c>
      <c r="E4165" s="3"/>
      <c r="H4165" s="7"/>
      <c r="K4165" s="30"/>
    </row>
    <row r="4166" spans="1:11" s="2" customFormat="1" x14ac:dyDescent="0.25">
      <c r="A4166" s="28" t="s">
        <v>248</v>
      </c>
      <c r="B4166" s="29">
        <v>1546</v>
      </c>
      <c r="C4166" s="28"/>
      <c r="D4166" s="28" t="s">
        <v>0</v>
      </c>
      <c r="E4166" s="3"/>
      <c r="H4166" s="7"/>
      <c r="K4166" s="30"/>
    </row>
    <row r="4167" spans="1:11" s="2" customFormat="1" x14ac:dyDescent="0.25">
      <c r="A4167" s="28" t="s">
        <v>415</v>
      </c>
      <c r="B4167" s="29">
        <v>1390</v>
      </c>
      <c r="C4167" s="28"/>
      <c r="D4167" s="28" t="s">
        <v>0</v>
      </c>
      <c r="E4167" s="3"/>
      <c r="H4167" s="7"/>
      <c r="K4167" s="30"/>
    </row>
    <row r="4168" spans="1:11" s="2" customFormat="1" x14ac:dyDescent="0.25">
      <c r="A4168" s="28" t="s">
        <v>6575</v>
      </c>
      <c r="B4168" s="29">
        <v>32207</v>
      </c>
      <c r="C4168" s="28"/>
      <c r="D4168" s="28" t="s">
        <v>0</v>
      </c>
      <c r="E4168" s="3"/>
      <c r="H4168" s="7"/>
      <c r="K4168" s="30"/>
    </row>
    <row r="4169" spans="1:11" s="2" customFormat="1" x14ac:dyDescent="0.25">
      <c r="A4169" s="28" t="s">
        <v>6576</v>
      </c>
      <c r="B4169" s="29">
        <v>101</v>
      </c>
      <c r="C4169" s="28"/>
      <c r="D4169" s="28" t="s">
        <v>0</v>
      </c>
      <c r="E4169" s="3"/>
      <c r="H4169" s="7"/>
      <c r="K4169" s="30"/>
    </row>
    <row r="4170" spans="1:11" s="2" customFormat="1" x14ac:dyDescent="0.25">
      <c r="A4170" s="28" t="s">
        <v>6577</v>
      </c>
      <c r="B4170" s="29">
        <v>2500</v>
      </c>
      <c r="C4170" s="28"/>
      <c r="D4170" s="28" t="s">
        <v>0</v>
      </c>
      <c r="E4170" s="3"/>
      <c r="H4170" s="7"/>
      <c r="K4170" s="30"/>
    </row>
    <row r="4171" spans="1:11" s="2" customFormat="1" x14ac:dyDescent="0.25">
      <c r="A4171" s="28" t="s">
        <v>3183</v>
      </c>
      <c r="B4171" s="29">
        <v>24</v>
      </c>
      <c r="C4171" s="28"/>
      <c r="D4171" s="28" t="s">
        <v>0</v>
      </c>
      <c r="E4171" s="3"/>
      <c r="H4171" s="7"/>
      <c r="K4171" s="30"/>
    </row>
    <row r="4172" spans="1:11" s="2" customFormat="1" x14ac:dyDescent="0.25">
      <c r="A4172" s="28" t="s">
        <v>6578</v>
      </c>
      <c r="B4172" s="29">
        <v>94</v>
      </c>
      <c r="C4172" s="28"/>
      <c r="D4172" s="28" t="s">
        <v>0</v>
      </c>
      <c r="E4172" s="3"/>
      <c r="H4172" s="7"/>
      <c r="K4172" s="30"/>
    </row>
    <row r="4173" spans="1:11" s="2" customFormat="1" x14ac:dyDescent="0.25">
      <c r="A4173" s="28" t="s">
        <v>6579</v>
      </c>
      <c r="B4173" s="29">
        <v>90</v>
      </c>
      <c r="C4173" s="28"/>
      <c r="D4173" s="28" t="s">
        <v>0</v>
      </c>
      <c r="E4173" s="3"/>
      <c r="H4173" s="7"/>
      <c r="K4173" s="30"/>
    </row>
    <row r="4174" spans="1:11" s="2" customFormat="1" x14ac:dyDescent="0.25">
      <c r="A4174" s="28" t="s">
        <v>6580</v>
      </c>
      <c r="B4174" s="29">
        <v>156</v>
      </c>
      <c r="C4174" s="28"/>
      <c r="D4174" s="28" t="s">
        <v>0</v>
      </c>
      <c r="E4174" s="3"/>
      <c r="H4174" s="7"/>
      <c r="K4174" s="30"/>
    </row>
    <row r="4175" spans="1:11" s="2" customFormat="1" x14ac:dyDescent="0.25">
      <c r="A4175" s="28" t="s">
        <v>6581</v>
      </c>
      <c r="B4175" s="29">
        <v>68</v>
      </c>
      <c r="C4175" s="28"/>
      <c r="D4175" s="28" t="s">
        <v>0</v>
      </c>
      <c r="E4175" s="3"/>
      <c r="H4175" s="7"/>
      <c r="K4175" s="30"/>
    </row>
    <row r="4176" spans="1:11" s="2" customFormat="1" x14ac:dyDescent="0.25">
      <c r="A4176" s="28" t="s">
        <v>6582</v>
      </c>
      <c r="B4176" s="29">
        <v>45</v>
      </c>
      <c r="C4176" s="28"/>
      <c r="D4176" s="28" t="s">
        <v>0</v>
      </c>
      <c r="E4176" s="3"/>
      <c r="H4176" s="7"/>
      <c r="K4176" s="30"/>
    </row>
    <row r="4177" spans="1:11" s="2" customFormat="1" x14ac:dyDescent="0.25">
      <c r="A4177" s="28" t="s">
        <v>6583</v>
      </c>
      <c r="B4177" s="29">
        <v>70</v>
      </c>
      <c r="C4177" s="28"/>
      <c r="D4177" s="28" t="s">
        <v>0</v>
      </c>
      <c r="E4177" s="3"/>
      <c r="H4177" s="7"/>
      <c r="K4177" s="30"/>
    </row>
    <row r="4178" spans="1:11" s="2" customFormat="1" x14ac:dyDescent="0.25">
      <c r="A4178" s="28" t="s">
        <v>354</v>
      </c>
      <c r="B4178" s="29">
        <v>45</v>
      </c>
      <c r="C4178" s="28"/>
      <c r="D4178" s="28" t="s">
        <v>0</v>
      </c>
      <c r="E4178" s="3"/>
      <c r="H4178" s="7"/>
      <c r="K4178" s="30"/>
    </row>
    <row r="4179" spans="1:11" s="2" customFormat="1" x14ac:dyDescent="0.25">
      <c r="A4179" s="28" t="s">
        <v>6584</v>
      </c>
      <c r="B4179" s="29">
        <v>99</v>
      </c>
      <c r="C4179" s="28"/>
      <c r="D4179" s="28" t="s">
        <v>0</v>
      </c>
      <c r="E4179" s="3"/>
      <c r="H4179" s="7"/>
      <c r="K4179" s="30"/>
    </row>
    <row r="4180" spans="1:11" s="2" customFormat="1" x14ac:dyDescent="0.25">
      <c r="A4180" s="28" t="s">
        <v>6585</v>
      </c>
      <c r="B4180" s="29">
        <v>8</v>
      </c>
      <c r="C4180" s="28"/>
      <c r="D4180" s="28" t="s">
        <v>0</v>
      </c>
      <c r="E4180" s="3"/>
      <c r="H4180" s="7"/>
      <c r="K4180" s="30"/>
    </row>
    <row r="4181" spans="1:11" s="2" customFormat="1" x14ac:dyDescent="0.25">
      <c r="A4181" s="28" t="s">
        <v>6586</v>
      </c>
      <c r="B4181" s="29">
        <v>120</v>
      </c>
      <c r="C4181" s="28"/>
      <c r="D4181" s="28" t="s">
        <v>0</v>
      </c>
      <c r="E4181" s="3"/>
      <c r="H4181" s="7"/>
      <c r="K4181" s="30"/>
    </row>
    <row r="4182" spans="1:11" s="2" customFormat="1" x14ac:dyDescent="0.25">
      <c r="A4182" s="28" t="s">
        <v>6587</v>
      </c>
      <c r="B4182" s="29">
        <v>180</v>
      </c>
      <c r="C4182" s="28"/>
      <c r="D4182" s="28" t="s">
        <v>0</v>
      </c>
      <c r="E4182" s="3"/>
      <c r="H4182" s="7"/>
      <c r="K4182" s="30"/>
    </row>
    <row r="4183" spans="1:11" s="2" customFormat="1" x14ac:dyDescent="0.25">
      <c r="A4183" s="28" t="s">
        <v>6588</v>
      </c>
      <c r="B4183" s="29">
        <v>60</v>
      </c>
      <c r="C4183" s="28"/>
      <c r="D4183" s="28" t="s">
        <v>0</v>
      </c>
      <c r="E4183" s="3"/>
      <c r="H4183" s="7"/>
      <c r="K4183" s="30"/>
    </row>
    <row r="4184" spans="1:11" s="2" customFormat="1" x14ac:dyDescent="0.25">
      <c r="A4184" s="28" t="s">
        <v>6589</v>
      </c>
      <c r="B4184" s="29">
        <v>76</v>
      </c>
      <c r="C4184" s="28"/>
      <c r="D4184" s="28" t="s">
        <v>0</v>
      </c>
      <c r="E4184" s="3"/>
      <c r="H4184" s="7"/>
      <c r="K4184" s="30"/>
    </row>
    <row r="4185" spans="1:11" s="2" customFormat="1" x14ac:dyDescent="0.25">
      <c r="A4185" s="28" t="s">
        <v>6590</v>
      </c>
      <c r="B4185" s="29">
        <v>387</v>
      </c>
      <c r="C4185" s="28"/>
      <c r="D4185" s="28" t="s">
        <v>0</v>
      </c>
      <c r="E4185" s="3"/>
      <c r="H4185" s="7"/>
      <c r="K4185" s="30"/>
    </row>
    <row r="4186" spans="1:11" s="2" customFormat="1" x14ac:dyDescent="0.25">
      <c r="A4186" s="28" t="s">
        <v>6591</v>
      </c>
      <c r="B4186" s="29">
        <v>14</v>
      </c>
      <c r="C4186" s="28"/>
      <c r="D4186" s="28" t="s">
        <v>0</v>
      </c>
      <c r="E4186" s="3"/>
      <c r="H4186" s="7"/>
      <c r="K4186" s="30"/>
    </row>
    <row r="4187" spans="1:11" s="2" customFormat="1" x14ac:dyDescent="0.25">
      <c r="A4187" s="28" t="s">
        <v>6592</v>
      </c>
      <c r="B4187" s="29">
        <v>16</v>
      </c>
      <c r="C4187" s="28"/>
      <c r="D4187" s="28" t="s">
        <v>0</v>
      </c>
      <c r="E4187" s="3"/>
      <c r="H4187" s="7"/>
      <c r="K4187" s="30"/>
    </row>
    <row r="4188" spans="1:11" s="2" customFormat="1" x14ac:dyDescent="0.25">
      <c r="A4188" s="28" t="s">
        <v>6593</v>
      </c>
      <c r="B4188" s="29">
        <v>122</v>
      </c>
      <c r="C4188" s="28"/>
      <c r="D4188" s="28" t="s">
        <v>0</v>
      </c>
      <c r="E4188" s="3"/>
      <c r="H4188" s="7"/>
      <c r="K4188" s="30"/>
    </row>
    <row r="4189" spans="1:11" s="2" customFormat="1" x14ac:dyDescent="0.25">
      <c r="A4189" s="28" t="s">
        <v>6594</v>
      </c>
      <c r="B4189" s="29">
        <v>9</v>
      </c>
      <c r="C4189" s="28"/>
      <c r="D4189" s="28" t="s">
        <v>0</v>
      </c>
      <c r="E4189" s="3"/>
      <c r="H4189" s="7"/>
      <c r="K4189" s="30"/>
    </row>
    <row r="4190" spans="1:11" s="2" customFormat="1" x14ac:dyDescent="0.25">
      <c r="A4190" s="28" t="s">
        <v>6595</v>
      </c>
      <c r="B4190" s="29">
        <v>188</v>
      </c>
      <c r="C4190" s="28"/>
      <c r="D4190" s="28" t="s">
        <v>0</v>
      </c>
      <c r="E4190" s="3"/>
      <c r="H4190" s="7"/>
      <c r="K4190" s="30"/>
    </row>
    <row r="4191" spans="1:11" s="2" customFormat="1" x14ac:dyDescent="0.25">
      <c r="A4191" s="28" t="s">
        <v>6596</v>
      </c>
      <c r="B4191" s="29">
        <v>20</v>
      </c>
      <c r="C4191" s="28"/>
      <c r="D4191" s="28" t="s">
        <v>0</v>
      </c>
      <c r="E4191" s="3"/>
      <c r="H4191" s="7"/>
      <c r="K4191" s="30"/>
    </row>
    <row r="4192" spans="1:11" s="2" customFormat="1" x14ac:dyDescent="0.25">
      <c r="A4192" s="28" t="s">
        <v>6597</v>
      </c>
      <c r="B4192" s="29">
        <v>132</v>
      </c>
      <c r="C4192" s="28"/>
      <c r="D4192" s="28" t="s">
        <v>0</v>
      </c>
      <c r="E4192" s="3"/>
      <c r="H4192" s="7"/>
      <c r="K4192" s="30"/>
    </row>
    <row r="4193" spans="1:11" s="2" customFormat="1" x14ac:dyDescent="0.25">
      <c r="A4193" s="28" t="s">
        <v>6598</v>
      </c>
      <c r="B4193" s="29">
        <v>140</v>
      </c>
      <c r="C4193" s="28"/>
      <c r="D4193" s="28" t="s">
        <v>0</v>
      </c>
      <c r="E4193" s="3"/>
      <c r="H4193" s="7"/>
      <c r="K4193" s="30"/>
    </row>
    <row r="4194" spans="1:11" s="2" customFormat="1" x14ac:dyDescent="0.25">
      <c r="A4194" s="28" t="s">
        <v>6599</v>
      </c>
      <c r="B4194" s="29">
        <v>8</v>
      </c>
      <c r="C4194" s="28"/>
      <c r="D4194" s="28" t="s">
        <v>0</v>
      </c>
      <c r="E4194" s="3"/>
      <c r="H4194" s="7"/>
      <c r="K4194" s="30"/>
    </row>
    <row r="4195" spans="1:11" s="2" customFormat="1" x14ac:dyDescent="0.25">
      <c r="A4195" s="28" t="s">
        <v>6600</v>
      </c>
      <c r="B4195" s="29">
        <v>94</v>
      </c>
      <c r="C4195" s="28"/>
      <c r="D4195" s="28" t="s">
        <v>0</v>
      </c>
      <c r="E4195" s="3"/>
      <c r="H4195" s="7"/>
      <c r="K4195" s="30"/>
    </row>
    <row r="4196" spans="1:11" s="2" customFormat="1" x14ac:dyDescent="0.25">
      <c r="A4196" s="28" t="s">
        <v>6601</v>
      </c>
      <c r="B4196" s="29">
        <v>29</v>
      </c>
      <c r="C4196" s="28"/>
      <c r="D4196" s="28" t="s">
        <v>0</v>
      </c>
      <c r="E4196" s="3"/>
      <c r="H4196" s="7"/>
      <c r="K4196" s="30"/>
    </row>
    <row r="4197" spans="1:11" s="2" customFormat="1" x14ac:dyDescent="0.25">
      <c r="A4197" s="28" t="s">
        <v>6602</v>
      </c>
      <c r="B4197" s="29">
        <v>85</v>
      </c>
      <c r="C4197" s="28"/>
      <c r="D4197" s="28" t="s">
        <v>0</v>
      </c>
      <c r="E4197" s="3"/>
      <c r="H4197" s="7"/>
      <c r="K4197" s="30"/>
    </row>
    <row r="4198" spans="1:11" s="2" customFormat="1" x14ac:dyDescent="0.25">
      <c r="A4198" s="28" t="s">
        <v>6603</v>
      </c>
      <c r="B4198" s="29">
        <v>6</v>
      </c>
      <c r="C4198" s="28"/>
      <c r="D4198" s="28" t="s">
        <v>0</v>
      </c>
      <c r="E4198" s="3"/>
      <c r="H4198" s="7"/>
      <c r="K4198" s="30"/>
    </row>
    <row r="4199" spans="1:11" s="2" customFormat="1" x14ac:dyDescent="0.25">
      <c r="A4199" s="28" t="s">
        <v>6604</v>
      </c>
      <c r="B4199" s="29">
        <v>95</v>
      </c>
      <c r="C4199" s="28"/>
      <c r="D4199" s="28" t="s">
        <v>0</v>
      </c>
      <c r="E4199" s="3"/>
      <c r="H4199" s="7"/>
      <c r="K4199" s="30"/>
    </row>
    <row r="4200" spans="1:11" s="2" customFormat="1" x14ac:dyDescent="0.25">
      <c r="A4200" s="28" t="s">
        <v>6605</v>
      </c>
      <c r="B4200" s="29">
        <v>8</v>
      </c>
      <c r="C4200" s="28"/>
      <c r="D4200" s="28" t="s">
        <v>0</v>
      </c>
      <c r="E4200" s="3"/>
      <c r="H4200" s="7"/>
      <c r="K4200" s="30"/>
    </row>
    <row r="4201" spans="1:11" s="2" customFormat="1" x14ac:dyDescent="0.25">
      <c r="A4201" s="28" t="s">
        <v>6606</v>
      </c>
      <c r="B4201" s="29">
        <v>60</v>
      </c>
      <c r="C4201" s="28"/>
      <c r="D4201" s="28" t="s">
        <v>0</v>
      </c>
      <c r="E4201" s="3"/>
      <c r="H4201" s="7"/>
      <c r="K4201" s="30"/>
    </row>
    <row r="4202" spans="1:11" s="2" customFormat="1" x14ac:dyDescent="0.25">
      <c r="A4202" s="28" t="s">
        <v>6607</v>
      </c>
      <c r="B4202" s="29">
        <v>8</v>
      </c>
      <c r="C4202" s="28"/>
      <c r="D4202" s="28" t="s">
        <v>0</v>
      </c>
      <c r="E4202" s="3"/>
      <c r="H4202" s="7"/>
      <c r="K4202" s="30"/>
    </row>
    <row r="4203" spans="1:11" s="2" customFormat="1" x14ac:dyDescent="0.25">
      <c r="A4203" s="28" t="s">
        <v>6608</v>
      </c>
      <c r="B4203" s="29">
        <v>4</v>
      </c>
      <c r="C4203" s="28"/>
      <c r="D4203" s="28" t="s">
        <v>0</v>
      </c>
      <c r="E4203" s="3"/>
      <c r="H4203" s="7"/>
      <c r="K4203" s="30"/>
    </row>
    <row r="4204" spans="1:11" s="2" customFormat="1" x14ac:dyDescent="0.25">
      <c r="A4204" s="28" t="s">
        <v>6609</v>
      </c>
      <c r="B4204" s="29">
        <v>30</v>
      </c>
      <c r="C4204" s="28"/>
      <c r="D4204" s="28" t="s">
        <v>0</v>
      </c>
      <c r="E4204" s="3"/>
      <c r="H4204" s="7"/>
      <c r="K4204" s="30"/>
    </row>
    <row r="4205" spans="1:11" s="2" customFormat="1" x14ac:dyDescent="0.25">
      <c r="A4205" s="28" t="s">
        <v>6610</v>
      </c>
      <c r="B4205" s="29">
        <v>44</v>
      </c>
      <c r="C4205" s="28"/>
      <c r="D4205" s="28" t="s">
        <v>0</v>
      </c>
      <c r="E4205" s="3"/>
      <c r="H4205" s="7"/>
      <c r="K4205" s="30"/>
    </row>
    <row r="4206" spans="1:11" s="2" customFormat="1" x14ac:dyDescent="0.25">
      <c r="A4206" s="28" t="s">
        <v>6611</v>
      </c>
      <c r="B4206" s="29">
        <v>100</v>
      </c>
      <c r="C4206" s="28"/>
      <c r="D4206" s="28" t="s">
        <v>0</v>
      </c>
      <c r="E4206" s="3"/>
      <c r="H4206" s="7"/>
      <c r="K4206" s="30"/>
    </row>
    <row r="4207" spans="1:11" s="2" customFormat="1" x14ac:dyDescent="0.25">
      <c r="A4207" s="28" t="s">
        <v>6612</v>
      </c>
      <c r="B4207" s="29">
        <v>147</v>
      </c>
      <c r="C4207" s="28"/>
      <c r="D4207" s="28" t="s">
        <v>0</v>
      </c>
      <c r="E4207" s="3"/>
      <c r="H4207" s="7"/>
      <c r="K4207" s="30"/>
    </row>
    <row r="4208" spans="1:11" s="2" customFormat="1" x14ac:dyDescent="0.25">
      <c r="A4208" s="28" t="s">
        <v>6613</v>
      </c>
      <c r="B4208" s="29">
        <v>11</v>
      </c>
      <c r="C4208" s="28"/>
      <c r="D4208" s="28" t="s">
        <v>0</v>
      </c>
      <c r="E4208" s="3"/>
      <c r="H4208" s="7"/>
      <c r="K4208" s="30"/>
    </row>
    <row r="4209" spans="1:11" s="2" customFormat="1" x14ac:dyDescent="0.25">
      <c r="A4209" s="28" t="s">
        <v>6614</v>
      </c>
      <c r="B4209" s="29">
        <v>106</v>
      </c>
      <c r="C4209" s="28"/>
      <c r="D4209" s="28" t="s">
        <v>0</v>
      </c>
      <c r="E4209" s="3"/>
      <c r="H4209" s="7"/>
      <c r="K4209" s="30"/>
    </row>
    <row r="4210" spans="1:11" s="2" customFormat="1" x14ac:dyDescent="0.25">
      <c r="A4210" s="28" t="s">
        <v>6615</v>
      </c>
      <c r="B4210" s="29">
        <v>43</v>
      </c>
      <c r="C4210" s="28"/>
      <c r="D4210" s="28" t="s">
        <v>0</v>
      </c>
      <c r="E4210" s="3"/>
      <c r="H4210" s="7"/>
      <c r="K4210" s="30"/>
    </row>
    <row r="4211" spans="1:11" s="2" customFormat="1" x14ac:dyDescent="0.25">
      <c r="A4211" s="28" t="s">
        <v>6616</v>
      </c>
      <c r="B4211" s="29">
        <v>129</v>
      </c>
      <c r="C4211" s="28"/>
      <c r="D4211" s="28" t="s">
        <v>0</v>
      </c>
      <c r="E4211" s="3"/>
      <c r="H4211" s="7"/>
      <c r="K4211" s="30"/>
    </row>
    <row r="4212" spans="1:11" s="2" customFormat="1" x14ac:dyDescent="0.25">
      <c r="A4212" s="28" t="s">
        <v>3173</v>
      </c>
      <c r="B4212" s="29">
        <v>255</v>
      </c>
      <c r="C4212" s="28"/>
      <c r="D4212" s="28" t="s">
        <v>0</v>
      </c>
      <c r="E4212" s="3"/>
      <c r="H4212" s="7"/>
      <c r="K4212" s="30"/>
    </row>
    <row r="4213" spans="1:11" s="2" customFormat="1" x14ac:dyDescent="0.25">
      <c r="A4213" s="28" t="s">
        <v>6617</v>
      </c>
      <c r="B4213" s="29">
        <v>18</v>
      </c>
      <c r="C4213" s="28"/>
      <c r="D4213" s="28" t="s">
        <v>0</v>
      </c>
      <c r="E4213" s="3"/>
      <c r="H4213" s="7"/>
      <c r="K4213" s="30"/>
    </row>
    <row r="4214" spans="1:11" s="2" customFormat="1" x14ac:dyDescent="0.25">
      <c r="A4214" s="28" t="s">
        <v>6618</v>
      </c>
      <c r="B4214" s="29">
        <v>15</v>
      </c>
      <c r="C4214" s="28"/>
      <c r="D4214" s="28" t="s">
        <v>0</v>
      </c>
      <c r="E4214" s="3"/>
      <c r="H4214" s="7"/>
      <c r="K4214" s="30"/>
    </row>
    <row r="4215" spans="1:11" s="2" customFormat="1" x14ac:dyDescent="0.25">
      <c r="A4215" s="28" t="s">
        <v>6619</v>
      </c>
      <c r="B4215" s="29">
        <v>77</v>
      </c>
      <c r="C4215" s="28"/>
      <c r="D4215" s="28" t="s">
        <v>0</v>
      </c>
      <c r="E4215" s="3"/>
      <c r="H4215" s="7"/>
      <c r="K4215" s="30"/>
    </row>
    <row r="4216" spans="1:11" s="2" customFormat="1" x14ac:dyDescent="0.25">
      <c r="A4216" s="28" t="s">
        <v>6620</v>
      </c>
      <c r="B4216" s="29">
        <v>87</v>
      </c>
      <c r="C4216" s="28"/>
      <c r="D4216" s="28" t="s">
        <v>0</v>
      </c>
      <c r="E4216" s="3"/>
      <c r="H4216" s="7"/>
      <c r="K4216" s="30"/>
    </row>
    <row r="4217" spans="1:11" s="2" customFormat="1" x14ac:dyDescent="0.25">
      <c r="A4217" s="28" t="s">
        <v>6621</v>
      </c>
      <c r="B4217" s="29">
        <v>49</v>
      </c>
      <c r="C4217" s="28"/>
      <c r="D4217" s="28" t="s">
        <v>0</v>
      </c>
      <c r="E4217" s="3"/>
      <c r="H4217" s="7"/>
      <c r="K4217" s="30"/>
    </row>
    <row r="4218" spans="1:11" s="2" customFormat="1" x14ac:dyDescent="0.25">
      <c r="A4218" s="28" t="s">
        <v>6622</v>
      </c>
      <c r="B4218" s="29">
        <v>46</v>
      </c>
      <c r="C4218" s="28"/>
      <c r="D4218" s="28" t="s">
        <v>0</v>
      </c>
      <c r="E4218" s="3"/>
      <c r="H4218" s="7"/>
      <c r="K4218" s="30"/>
    </row>
    <row r="4219" spans="1:11" s="2" customFormat="1" x14ac:dyDescent="0.25">
      <c r="A4219" s="28" t="s">
        <v>2072</v>
      </c>
      <c r="B4219" s="29">
        <v>46</v>
      </c>
      <c r="C4219" s="28"/>
      <c r="D4219" s="28" t="s">
        <v>0</v>
      </c>
      <c r="E4219" s="3"/>
      <c r="H4219" s="7"/>
      <c r="K4219" s="30"/>
    </row>
    <row r="4220" spans="1:11" s="2" customFormat="1" x14ac:dyDescent="0.25">
      <c r="A4220" s="28" t="s">
        <v>6623</v>
      </c>
      <c r="B4220" s="29">
        <v>200</v>
      </c>
      <c r="C4220" s="28"/>
      <c r="D4220" s="28" t="s">
        <v>0</v>
      </c>
      <c r="E4220" s="3"/>
      <c r="H4220" s="7"/>
      <c r="K4220" s="30"/>
    </row>
    <row r="4221" spans="1:11" s="2" customFormat="1" x14ac:dyDescent="0.25">
      <c r="A4221" s="28" t="s">
        <v>1053</v>
      </c>
      <c r="B4221" s="29">
        <v>15</v>
      </c>
      <c r="C4221" s="28"/>
      <c r="D4221" s="28" t="s">
        <v>0</v>
      </c>
      <c r="E4221" s="3"/>
      <c r="H4221" s="7"/>
      <c r="K4221" s="30"/>
    </row>
    <row r="4222" spans="1:11" s="2" customFormat="1" x14ac:dyDescent="0.25">
      <c r="A4222" s="28" t="s">
        <v>6624</v>
      </c>
      <c r="B4222" s="29">
        <v>61</v>
      </c>
      <c r="C4222" s="28"/>
      <c r="D4222" s="28" t="s">
        <v>0</v>
      </c>
      <c r="E4222" s="3"/>
      <c r="H4222" s="7"/>
      <c r="K4222" s="30"/>
    </row>
    <row r="4223" spans="1:11" s="2" customFormat="1" x14ac:dyDescent="0.25">
      <c r="A4223" s="28" t="s">
        <v>6625</v>
      </c>
      <c r="B4223" s="29">
        <v>14</v>
      </c>
      <c r="C4223" s="28"/>
      <c r="D4223" s="28" t="s">
        <v>0</v>
      </c>
      <c r="E4223" s="3"/>
      <c r="H4223" s="7"/>
      <c r="K4223" s="30"/>
    </row>
    <row r="4224" spans="1:11" s="2" customFormat="1" x14ac:dyDescent="0.25">
      <c r="A4224" s="28" t="s">
        <v>6626</v>
      </c>
      <c r="B4224" s="29">
        <v>8</v>
      </c>
      <c r="C4224" s="28"/>
      <c r="D4224" s="28" t="s">
        <v>0</v>
      </c>
      <c r="E4224" s="3"/>
      <c r="H4224" s="7"/>
      <c r="K4224" s="30"/>
    </row>
    <row r="4225" spans="1:11" s="2" customFormat="1" x14ac:dyDescent="0.25">
      <c r="A4225" s="28" t="s">
        <v>6627</v>
      </c>
      <c r="B4225" s="29">
        <v>50</v>
      </c>
      <c r="C4225" s="28"/>
      <c r="D4225" s="28" t="s">
        <v>0</v>
      </c>
      <c r="E4225" s="3"/>
      <c r="H4225" s="7"/>
      <c r="K4225" s="30"/>
    </row>
    <row r="4226" spans="1:11" s="2" customFormat="1" x14ac:dyDescent="0.25">
      <c r="A4226" s="28" t="s">
        <v>6628</v>
      </c>
      <c r="B4226" s="29">
        <v>56</v>
      </c>
      <c r="C4226" s="28"/>
      <c r="D4226" s="28" t="s">
        <v>0</v>
      </c>
      <c r="E4226" s="3"/>
      <c r="H4226" s="7"/>
      <c r="K4226" s="30"/>
    </row>
    <row r="4227" spans="1:11" s="2" customFormat="1" x14ac:dyDescent="0.25">
      <c r="A4227" s="28" t="s">
        <v>6629</v>
      </c>
      <c r="B4227" s="29">
        <v>26</v>
      </c>
      <c r="C4227" s="28"/>
      <c r="D4227" s="28" t="s">
        <v>0</v>
      </c>
      <c r="E4227" s="3"/>
      <c r="H4227" s="7"/>
      <c r="K4227" s="30"/>
    </row>
    <row r="4228" spans="1:11" s="2" customFormat="1" x14ac:dyDescent="0.25">
      <c r="A4228" s="28" t="s">
        <v>6630</v>
      </c>
      <c r="B4228" s="29">
        <v>113</v>
      </c>
      <c r="C4228" s="28"/>
      <c r="D4228" s="28" t="s">
        <v>0</v>
      </c>
      <c r="E4228" s="3"/>
      <c r="H4228" s="7"/>
      <c r="K4228" s="30"/>
    </row>
    <row r="4229" spans="1:11" s="2" customFormat="1" x14ac:dyDescent="0.25">
      <c r="A4229" s="28" t="s">
        <v>6631</v>
      </c>
      <c r="B4229" s="29">
        <v>49</v>
      </c>
      <c r="C4229" s="28"/>
      <c r="D4229" s="28" t="s">
        <v>0</v>
      </c>
      <c r="E4229" s="3"/>
      <c r="H4229" s="7"/>
      <c r="K4229" s="30"/>
    </row>
    <row r="4230" spans="1:11" s="2" customFormat="1" x14ac:dyDescent="0.25">
      <c r="A4230" s="28" t="s">
        <v>6632</v>
      </c>
      <c r="B4230" s="29">
        <v>98</v>
      </c>
      <c r="C4230" s="28"/>
      <c r="D4230" s="28" t="s">
        <v>0</v>
      </c>
      <c r="E4230" s="3"/>
      <c r="H4230" s="7"/>
      <c r="K4230" s="30"/>
    </row>
    <row r="4231" spans="1:11" s="2" customFormat="1" x14ac:dyDescent="0.25">
      <c r="A4231" s="28" t="s">
        <v>6633</v>
      </c>
      <c r="B4231" s="29">
        <v>85</v>
      </c>
      <c r="C4231" s="28"/>
      <c r="D4231" s="28" t="s">
        <v>0</v>
      </c>
      <c r="E4231" s="3"/>
      <c r="H4231" s="7"/>
      <c r="K4231" s="30"/>
    </row>
    <row r="4232" spans="1:11" s="2" customFormat="1" x14ac:dyDescent="0.25">
      <c r="A4232" s="28" t="s">
        <v>6634</v>
      </c>
      <c r="B4232" s="29">
        <v>18</v>
      </c>
      <c r="C4232" s="28"/>
      <c r="D4232" s="28" t="s">
        <v>0</v>
      </c>
      <c r="E4232" s="3"/>
      <c r="H4232" s="7"/>
      <c r="K4232" s="30"/>
    </row>
    <row r="4233" spans="1:11" s="2" customFormat="1" x14ac:dyDescent="0.25">
      <c r="A4233" s="28" t="s">
        <v>6635</v>
      </c>
      <c r="B4233" s="29">
        <v>20</v>
      </c>
      <c r="C4233" s="28"/>
      <c r="D4233" s="28" t="s">
        <v>0</v>
      </c>
      <c r="E4233" s="3"/>
      <c r="H4233" s="7"/>
      <c r="K4233" s="30"/>
    </row>
    <row r="4234" spans="1:11" s="2" customFormat="1" x14ac:dyDescent="0.25">
      <c r="A4234" s="28" t="s">
        <v>1916</v>
      </c>
      <c r="B4234" s="29">
        <v>18</v>
      </c>
      <c r="C4234" s="28"/>
      <c r="D4234" s="28" t="s">
        <v>0</v>
      </c>
      <c r="E4234" s="3"/>
      <c r="H4234" s="7"/>
      <c r="K4234" s="30"/>
    </row>
    <row r="4235" spans="1:11" s="2" customFormat="1" x14ac:dyDescent="0.25">
      <c r="A4235" s="28" t="s">
        <v>6636</v>
      </c>
      <c r="B4235" s="29">
        <v>38</v>
      </c>
      <c r="C4235" s="28"/>
      <c r="D4235" s="28" t="s">
        <v>0</v>
      </c>
      <c r="E4235" s="3"/>
      <c r="H4235" s="7"/>
      <c r="K4235" s="30"/>
    </row>
    <row r="4236" spans="1:11" s="2" customFormat="1" x14ac:dyDescent="0.25">
      <c r="A4236" s="28" t="s">
        <v>6637</v>
      </c>
      <c r="B4236" s="29">
        <v>64</v>
      </c>
      <c r="C4236" s="28"/>
      <c r="D4236" s="28" t="s">
        <v>0</v>
      </c>
      <c r="E4236" s="3"/>
      <c r="H4236" s="7"/>
      <c r="K4236" s="30"/>
    </row>
    <row r="4237" spans="1:11" s="2" customFormat="1" x14ac:dyDescent="0.25">
      <c r="A4237" s="28" t="s">
        <v>6638</v>
      </c>
      <c r="B4237" s="29">
        <v>22</v>
      </c>
      <c r="C4237" s="28"/>
      <c r="D4237" s="28" t="s">
        <v>0</v>
      </c>
      <c r="E4237" s="3"/>
      <c r="H4237" s="7"/>
      <c r="K4237" s="30"/>
    </row>
    <row r="4238" spans="1:11" s="2" customFormat="1" x14ac:dyDescent="0.25">
      <c r="A4238" s="28" t="s">
        <v>6639</v>
      </c>
      <c r="B4238" s="29">
        <v>47</v>
      </c>
      <c r="C4238" s="28"/>
      <c r="D4238" s="28" t="s">
        <v>0</v>
      </c>
      <c r="E4238" s="3"/>
      <c r="H4238" s="7"/>
      <c r="K4238" s="30"/>
    </row>
    <row r="4239" spans="1:11" s="2" customFormat="1" x14ac:dyDescent="0.25">
      <c r="A4239" s="28" t="s">
        <v>6640</v>
      </c>
      <c r="B4239" s="29">
        <v>62</v>
      </c>
      <c r="C4239" s="28"/>
      <c r="D4239" s="28" t="s">
        <v>0</v>
      </c>
      <c r="E4239" s="3"/>
      <c r="H4239" s="7"/>
      <c r="K4239" s="30"/>
    </row>
    <row r="4240" spans="1:11" s="2" customFormat="1" x14ac:dyDescent="0.25">
      <c r="A4240" s="28" t="s">
        <v>6641</v>
      </c>
      <c r="B4240" s="29">
        <v>96</v>
      </c>
      <c r="C4240" s="28"/>
      <c r="D4240" s="28" t="s">
        <v>0</v>
      </c>
      <c r="E4240" s="3"/>
      <c r="H4240" s="7"/>
      <c r="K4240" s="30"/>
    </row>
    <row r="4241" spans="1:11" s="2" customFormat="1" x14ac:dyDescent="0.25">
      <c r="A4241" s="28" t="s">
        <v>6642</v>
      </c>
      <c r="B4241" s="29">
        <v>145</v>
      </c>
      <c r="C4241" s="28"/>
      <c r="D4241" s="28" t="s">
        <v>0</v>
      </c>
      <c r="E4241" s="3"/>
      <c r="H4241" s="7"/>
      <c r="K4241" s="30"/>
    </row>
    <row r="4242" spans="1:11" s="2" customFormat="1" x14ac:dyDescent="0.25">
      <c r="A4242" s="28" t="s">
        <v>1895</v>
      </c>
      <c r="B4242" s="29">
        <v>186</v>
      </c>
      <c r="C4242" s="28"/>
      <c r="D4242" s="28" t="s">
        <v>0</v>
      </c>
      <c r="E4242" s="3"/>
      <c r="H4242" s="7"/>
      <c r="K4242" s="30"/>
    </row>
    <row r="4243" spans="1:11" s="2" customFormat="1" x14ac:dyDescent="0.25">
      <c r="A4243" s="28" t="s">
        <v>6643</v>
      </c>
      <c r="B4243" s="29">
        <v>72</v>
      </c>
      <c r="C4243" s="28"/>
      <c r="D4243" s="28" t="s">
        <v>0</v>
      </c>
      <c r="E4243" s="3"/>
      <c r="H4243" s="7"/>
      <c r="K4243" s="30"/>
    </row>
    <row r="4244" spans="1:11" s="2" customFormat="1" x14ac:dyDescent="0.25">
      <c r="A4244" s="28" t="s">
        <v>6644</v>
      </c>
      <c r="B4244" s="29">
        <v>22</v>
      </c>
      <c r="C4244" s="28"/>
      <c r="D4244" s="28" t="s">
        <v>0</v>
      </c>
      <c r="E4244" s="3"/>
      <c r="H4244" s="7"/>
      <c r="K4244" s="30"/>
    </row>
    <row r="4245" spans="1:11" s="2" customFormat="1" x14ac:dyDescent="0.25">
      <c r="A4245" s="28" t="s">
        <v>6645</v>
      </c>
      <c r="B4245" s="29">
        <v>21</v>
      </c>
      <c r="C4245" s="28"/>
      <c r="D4245" s="28" t="s">
        <v>0</v>
      </c>
      <c r="E4245" s="3"/>
      <c r="H4245" s="7"/>
      <c r="K4245" s="30"/>
    </row>
    <row r="4246" spans="1:11" s="2" customFormat="1" x14ac:dyDescent="0.25">
      <c r="A4246" s="28" t="s">
        <v>6646</v>
      </c>
      <c r="B4246" s="29">
        <v>47</v>
      </c>
      <c r="C4246" s="28"/>
      <c r="D4246" s="28" t="s">
        <v>0</v>
      </c>
      <c r="E4246" s="3"/>
      <c r="H4246" s="7"/>
      <c r="K4246" s="30"/>
    </row>
    <row r="4247" spans="1:11" s="2" customFormat="1" x14ac:dyDescent="0.25">
      <c r="A4247" s="28" t="s">
        <v>1147</v>
      </c>
      <c r="B4247" s="29">
        <v>482</v>
      </c>
      <c r="C4247" s="28"/>
      <c r="D4247" s="28" t="s">
        <v>0</v>
      </c>
      <c r="E4247" s="3"/>
      <c r="H4247" s="7"/>
      <c r="K4247" s="30"/>
    </row>
    <row r="4248" spans="1:11" s="2" customFormat="1" x14ac:dyDescent="0.25">
      <c r="A4248" s="28" t="s">
        <v>6647</v>
      </c>
      <c r="B4248" s="29">
        <v>55</v>
      </c>
      <c r="C4248" s="28"/>
      <c r="D4248" s="28" t="s">
        <v>0</v>
      </c>
      <c r="E4248" s="3"/>
      <c r="H4248" s="7"/>
      <c r="K4248" s="30"/>
    </row>
    <row r="4249" spans="1:11" s="2" customFormat="1" x14ac:dyDescent="0.25">
      <c r="A4249" s="28" t="s">
        <v>6648</v>
      </c>
      <c r="B4249" s="29">
        <v>100</v>
      </c>
      <c r="C4249" s="28"/>
      <c r="D4249" s="28" t="s">
        <v>0</v>
      </c>
      <c r="E4249" s="3"/>
      <c r="H4249" s="7"/>
      <c r="K4249" s="30"/>
    </row>
    <row r="4250" spans="1:11" s="2" customFormat="1" x14ac:dyDescent="0.25">
      <c r="A4250" s="28" t="s">
        <v>6649</v>
      </c>
      <c r="B4250" s="29">
        <v>120</v>
      </c>
      <c r="C4250" s="28"/>
      <c r="D4250" s="28" t="s">
        <v>0</v>
      </c>
      <c r="E4250" s="3"/>
      <c r="H4250" s="7"/>
      <c r="K4250" s="30"/>
    </row>
    <row r="4251" spans="1:11" s="2" customFormat="1" x14ac:dyDescent="0.25">
      <c r="A4251" s="28" t="s">
        <v>6650</v>
      </c>
      <c r="B4251" s="29">
        <v>12</v>
      </c>
      <c r="C4251" s="28"/>
      <c r="D4251" s="28" t="s">
        <v>0</v>
      </c>
      <c r="E4251" s="3"/>
      <c r="H4251" s="7"/>
      <c r="K4251" s="30"/>
    </row>
    <row r="4252" spans="1:11" s="2" customFormat="1" x14ac:dyDescent="0.25">
      <c r="A4252" s="28" t="s">
        <v>6651</v>
      </c>
      <c r="B4252" s="29">
        <v>46</v>
      </c>
      <c r="C4252" s="28"/>
      <c r="D4252" s="28" t="s">
        <v>0</v>
      </c>
      <c r="E4252" s="3"/>
      <c r="H4252" s="7"/>
      <c r="K4252" s="30"/>
    </row>
    <row r="4253" spans="1:11" s="2" customFormat="1" x14ac:dyDescent="0.25">
      <c r="A4253" s="28" t="s">
        <v>6652</v>
      </c>
      <c r="B4253" s="29">
        <v>106</v>
      </c>
      <c r="C4253" s="28"/>
      <c r="D4253" s="28" t="s">
        <v>0</v>
      </c>
      <c r="E4253" s="3"/>
      <c r="H4253" s="7"/>
      <c r="K4253" s="30"/>
    </row>
    <row r="4254" spans="1:11" s="2" customFormat="1" x14ac:dyDescent="0.25">
      <c r="A4254" s="28" t="s">
        <v>6653</v>
      </c>
      <c r="B4254" s="29">
        <v>53</v>
      </c>
      <c r="C4254" s="28"/>
      <c r="D4254" s="28" t="s">
        <v>0</v>
      </c>
      <c r="E4254" s="3"/>
      <c r="H4254" s="7"/>
      <c r="K4254" s="30"/>
    </row>
    <row r="4255" spans="1:11" s="2" customFormat="1" x14ac:dyDescent="0.25">
      <c r="A4255" s="28" t="s">
        <v>6654</v>
      </c>
      <c r="B4255" s="29">
        <v>64</v>
      </c>
      <c r="C4255" s="28"/>
      <c r="D4255" s="28" t="s">
        <v>0</v>
      </c>
      <c r="E4255" s="3"/>
      <c r="H4255" s="7"/>
      <c r="K4255" s="30"/>
    </row>
    <row r="4256" spans="1:11" s="2" customFormat="1" x14ac:dyDescent="0.25">
      <c r="A4256" s="28" t="s">
        <v>6655</v>
      </c>
      <c r="B4256" s="29">
        <v>41</v>
      </c>
      <c r="C4256" s="28"/>
      <c r="D4256" s="28" t="s">
        <v>0</v>
      </c>
      <c r="E4256" s="3"/>
      <c r="H4256" s="7"/>
      <c r="K4256" s="30"/>
    </row>
    <row r="4257" spans="1:11" s="2" customFormat="1" x14ac:dyDescent="0.25">
      <c r="A4257" s="28" t="s">
        <v>452</v>
      </c>
      <c r="B4257" s="29">
        <v>90</v>
      </c>
      <c r="C4257" s="28"/>
      <c r="D4257" s="28" t="s">
        <v>0</v>
      </c>
      <c r="E4257" s="3"/>
      <c r="H4257" s="7"/>
      <c r="K4257" s="30"/>
    </row>
    <row r="4258" spans="1:11" s="2" customFormat="1" x14ac:dyDescent="0.25">
      <c r="A4258" s="28" t="s">
        <v>6656</v>
      </c>
      <c r="B4258" s="29">
        <v>8</v>
      </c>
      <c r="C4258" s="28"/>
      <c r="D4258" s="28" t="s">
        <v>0</v>
      </c>
      <c r="E4258" s="3"/>
      <c r="H4258" s="7"/>
      <c r="K4258" s="30"/>
    </row>
    <row r="4259" spans="1:11" s="2" customFormat="1" x14ac:dyDescent="0.25">
      <c r="A4259" s="28" t="s">
        <v>6657</v>
      </c>
      <c r="B4259" s="29">
        <v>8</v>
      </c>
      <c r="C4259" s="28"/>
      <c r="D4259" s="28" t="s">
        <v>0</v>
      </c>
      <c r="E4259" s="3"/>
      <c r="H4259" s="7"/>
      <c r="K4259" s="30"/>
    </row>
    <row r="4260" spans="1:11" s="2" customFormat="1" x14ac:dyDescent="0.25">
      <c r="A4260" s="28" t="s">
        <v>6658</v>
      </c>
      <c r="B4260" s="29">
        <v>136</v>
      </c>
      <c r="C4260" s="28"/>
      <c r="D4260" s="28" t="s">
        <v>0</v>
      </c>
      <c r="E4260" s="3"/>
      <c r="H4260" s="7"/>
      <c r="K4260" s="30"/>
    </row>
    <row r="4261" spans="1:11" s="2" customFormat="1" x14ac:dyDescent="0.25">
      <c r="A4261" s="28" t="s">
        <v>6659</v>
      </c>
      <c r="B4261" s="29">
        <v>12</v>
      </c>
      <c r="C4261" s="28"/>
      <c r="D4261" s="28" t="s">
        <v>0</v>
      </c>
      <c r="E4261" s="3"/>
      <c r="H4261" s="7"/>
      <c r="K4261" s="30"/>
    </row>
    <row r="4262" spans="1:11" s="2" customFormat="1" x14ac:dyDescent="0.25">
      <c r="A4262" s="28" t="s">
        <v>428</v>
      </c>
      <c r="B4262" s="29">
        <v>86</v>
      </c>
      <c r="C4262" s="28"/>
      <c r="D4262" s="28" t="s">
        <v>0</v>
      </c>
      <c r="E4262" s="3"/>
      <c r="H4262" s="7"/>
      <c r="K4262" s="30"/>
    </row>
    <row r="4263" spans="1:11" s="2" customFormat="1" x14ac:dyDescent="0.25">
      <c r="A4263" s="28" t="s">
        <v>6660</v>
      </c>
      <c r="B4263" s="29">
        <v>91</v>
      </c>
      <c r="C4263" s="28"/>
      <c r="D4263" s="28" t="s">
        <v>0</v>
      </c>
      <c r="E4263" s="3"/>
      <c r="H4263" s="7"/>
      <c r="K4263" s="30"/>
    </row>
    <row r="4264" spans="1:11" s="2" customFormat="1" x14ac:dyDescent="0.25">
      <c r="A4264" s="28" t="s">
        <v>6661</v>
      </c>
      <c r="B4264" s="29">
        <v>46</v>
      </c>
      <c r="C4264" s="28"/>
      <c r="D4264" s="28" t="s">
        <v>0</v>
      </c>
      <c r="E4264" s="3"/>
      <c r="H4264" s="7"/>
      <c r="K4264" s="30"/>
    </row>
    <row r="4265" spans="1:11" s="2" customFormat="1" x14ac:dyDescent="0.25">
      <c r="A4265" s="28" t="s">
        <v>6662</v>
      </c>
      <c r="B4265" s="29">
        <v>30</v>
      </c>
      <c r="C4265" s="28"/>
      <c r="D4265" s="28" t="s">
        <v>0</v>
      </c>
      <c r="E4265" s="3"/>
      <c r="H4265" s="7"/>
      <c r="K4265" s="30"/>
    </row>
    <row r="4266" spans="1:11" s="2" customFormat="1" x14ac:dyDescent="0.25">
      <c r="A4266" s="28" t="s">
        <v>6663</v>
      </c>
      <c r="B4266" s="29">
        <v>151</v>
      </c>
      <c r="C4266" s="28"/>
      <c r="D4266" s="28" t="s">
        <v>0</v>
      </c>
      <c r="E4266" s="3"/>
      <c r="H4266" s="7"/>
      <c r="K4266" s="30"/>
    </row>
    <row r="4267" spans="1:11" s="2" customFormat="1" x14ac:dyDescent="0.25">
      <c r="A4267" s="28" t="s">
        <v>6664</v>
      </c>
      <c r="B4267" s="29">
        <v>21</v>
      </c>
      <c r="C4267" s="28"/>
      <c r="D4267" s="28" t="s">
        <v>0</v>
      </c>
      <c r="E4267" s="3"/>
      <c r="H4267" s="7"/>
      <c r="K4267" s="30"/>
    </row>
    <row r="4268" spans="1:11" s="2" customFormat="1" x14ac:dyDescent="0.25">
      <c r="A4268" s="28" t="s">
        <v>6665</v>
      </c>
      <c r="B4268" s="29">
        <v>93</v>
      </c>
      <c r="C4268" s="28"/>
      <c r="D4268" s="28" t="s">
        <v>0</v>
      </c>
      <c r="E4268" s="3"/>
      <c r="H4268" s="7"/>
      <c r="K4268" s="30"/>
    </row>
    <row r="4269" spans="1:11" s="2" customFormat="1" x14ac:dyDescent="0.25">
      <c r="A4269" s="28" t="s">
        <v>6666</v>
      </c>
      <c r="B4269" s="29">
        <v>250</v>
      </c>
      <c r="C4269" s="28"/>
      <c r="D4269" s="28" t="s">
        <v>0</v>
      </c>
      <c r="E4269" s="3"/>
      <c r="H4269" s="7"/>
      <c r="K4269" s="30"/>
    </row>
    <row r="4270" spans="1:11" s="2" customFormat="1" x14ac:dyDescent="0.25">
      <c r="A4270" s="28" t="s">
        <v>6667</v>
      </c>
      <c r="B4270" s="29">
        <v>17</v>
      </c>
      <c r="C4270" s="28"/>
      <c r="D4270" s="28" t="s">
        <v>0</v>
      </c>
      <c r="E4270" s="3"/>
      <c r="H4270" s="7"/>
      <c r="K4270" s="30"/>
    </row>
    <row r="4271" spans="1:11" s="2" customFormat="1" x14ac:dyDescent="0.25">
      <c r="A4271" s="28" t="s">
        <v>427</v>
      </c>
      <c r="B4271" s="29">
        <v>73</v>
      </c>
      <c r="C4271" s="28"/>
      <c r="D4271" s="28" t="s">
        <v>0</v>
      </c>
      <c r="E4271" s="3"/>
      <c r="H4271" s="7"/>
      <c r="K4271" s="30"/>
    </row>
    <row r="4272" spans="1:11" s="2" customFormat="1" x14ac:dyDescent="0.25">
      <c r="A4272" s="28" t="s">
        <v>3666</v>
      </c>
      <c r="B4272" s="29">
        <v>20</v>
      </c>
      <c r="C4272" s="28"/>
      <c r="D4272" s="28" t="s">
        <v>0</v>
      </c>
      <c r="E4272" s="3"/>
      <c r="H4272" s="7"/>
      <c r="K4272" s="30"/>
    </row>
    <row r="4273" spans="1:11" s="2" customFormat="1" x14ac:dyDescent="0.25">
      <c r="A4273" s="28" t="s">
        <v>6668</v>
      </c>
      <c r="B4273" s="29">
        <v>6</v>
      </c>
      <c r="C4273" s="28"/>
      <c r="D4273" s="28" t="s">
        <v>0</v>
      </c>
      <c r="E4273" s="3"/>
      <c r="H4273" s="7"/>
      <c r="K4273" s="30"/>
    </row>
    <row r="4274" spans="1:11" s="2" customFormat="1" x14ac:dyDescent="0.25">
      <c r="A4274" s="28" t="s">
        <v>6669</v>
      </c>
      <c r="B4274" s="29">
        <v>47</v>
      </c>
      <c r="C4274" s="28"/>
      <c r="D4274" s="28" t="s">
        <v>0</v>
      </c>
      <c r="E4274" s="3"/>
      <c r="H4274" s="7"/>
      <c r="K4274" s="30"/>
    </row>
    <row r="4275" spans="1:11" s="2" customFormat="1" x14ac:dyDescent="0.25">
      <c r="A4275" s="28" t="s">
        <v>6670</v>
      </c>
      <c r="B4275" s="29">
        <v>324</v>
      </c>
      <c r="C4275" s="28"/>
      <c r="D4275" s="28" t="s">
        <v>0</v>
      </c>
      <c r="E4275" s="3"/>
      <c r="H4275" s="7"/>
      <c r="K4275" s="30"/>
    </row>
    <row r="4276" spans="1:11" s="2" customFormat="1" x14ac:dyDescent="0.25">
      <c r="A4276" s="28" t="s">
        <v>6671</v>
      </c>
      <c r="B4276" s="29">
        <v>10</v>
      </c>
      <c r="C4276" s="28"/>
      <c r="D4276" s="28" t="s">
        <v>0</v>
      </c>
      <c r="E4276" s="3"/>
      <c r="H4276" s="7"/>
      <c r="K4276" s="30"/>
    </row>
    <row r="4277" spans="1:11" s="2" customFormat="1" x14ac:dyDescent="0.25">
      <c r="A4277" s="28" t="s">
        <v>6672</v>
      </c>
      <c r="B4277" s="29">
        <v>79</v>
      </c>
      <c r="C4277" s="28"/>
      <c r="D4277" s="28" t="s">
        <v>0</v>
      </c>
      <c r="E4277" s="3"/>
      <c r="H4277" s="7"/>
      <c r="K4277" s="30"/>
    </row>
    <row r="4278" spans="1:11" s="2" customFormat="1" x14ac:dyDescent="0.25">
      <c r="A4278" s="28" t="s">
        <v>6673</v>
      </c>
      <c r="B4278" s="29">
        <v>46</v>
      </c>
      <c r="C4278" s="28"/>
      <c r="D4278" s="28" t="s">
        <v>0</v>
      </c>
      <c r="E4278" s="3"/>
      <c r="H4278" s="7"/>
      <c r="K4278" s="30"/>
    </row>
    <row r="4279" spans="1:11" s="2" customFormat="1" x14ac:dyDescent="0.25">
      <c r="A4279" s="28" t="s">
        <v>1499</v>
      </c>
      <c r="B4279" s="29">
        <v>42</v>
      </c>
      <c r="C4279" s="28"/>
      <c r="D4279" s="28" t="s">
        <v>0</v>
      </c>
      <c r="E4279" s="3"/>
      <c r="H4279" s="7"/>
      <c r="K4279" s="30"/>
    </row>
    <row r="4280" spans="1:11" s="2" customFormat="1" x14ac:dyDescent="0.25">
      <c r="A4280" s="28" t="s">
        <v>6674</v>
      </c>
      <c r="B4280" s="29">
        <v>39</v>
      </c>
      <c r="C4280" s="28"/>
      <c r="D4280" s="28" t="s">
        <v>0</v>
      </c>
      <c r="E4280" s="3"/>
      <c r="H4280" s="7"/>
      <c r="K4280" s="30"/>
    </row>
    <row r="4281" spans="1:11" s="2" customFormat="1" x14ac:dyDescent="0.25">
      <c r="A4281" s="28" t="s">
        <v>6675</v>
      </c>
      <c r="B4281" s="29">
        <v>56</v>
      </c>
      <c r="C4281" s="28"/>
      <c r="D4281" s="28" t="s">
        <v>0</v>
      </c>
      <c r="E4281" s="3"/>
      <c r="H4281" s="7"/>
      <c r="K4281" s="30"/>
    </row>
    <row r="4282" spans="1:11" s="2" customFormat="1" x14ac:dyDescent="0.25">
      <c r="A4282" s="28" t="s">
        <v>6676</v>
      </c>
      <c r="B4282" s="29">
        <v>30</v>
      </c>
      <c r="C4282" s="28"/>
      <c r="D4282" s="28" t="s">
        <v>0</v>
      </c>
      <c r="E4282" s="3"/>
      <c r="H4282" s="7"/>
      <c r="K4282" s="30"/>
    </row>
    <row r="4283" spans="1:11" s="2" customFormat="1" x14ac:dyDescent="0.25">
      <c r="A4283" s="28" t="s">
        <v>6677</v>
      </c>
      <c r="B4283" s="29">
        <v>280</v>
      </c>
      <c r="C4283" s="28"/>
      <c r="D4283" s="28" t="s">
        <v>0</v>
      </c>
      <c r="E4283" s="3"/>
      <c r="H4283" s="7"/>
      <c r="K4283" s="30"/>
    </row>
    <row r="4284" spans="1:11" s="2" customFormat="1" x14ac:dyDescent="0.25">
      <c r="A4284" s="28" t="s">
        <v>6678</v>
      </c>
      <c r="B4284" s="29">
        <v>58</v>
      </c>
      <c r="C4284" s="28"/>
      <c r="D4284" s="28" t="s">
        <v>0</v>
      </c>
      <c r="E4284" s="3"/>
      <c r="H4284" s="7"/>
      <c r="K4284" s="30"/>
    </row>
    <row r="4285" spans="1:11" s="2" customFormat="1" x14ac:dyDescent="0.25">
      <c r="A4285" s="28" t="s">
        <v>6679</v>
      </c>
      <c r="B4285" s="29">
        <v>44</v>
      </c>
      <c r="C4285" s="28"/>
      <c r="D4285" s="28" t="s">
        <v>0</v>
      </c>
      <c r="E4285" s="3"/>
      <c r="H4285" s="7"/>
      <c r="K4285" s="30"/>
    </row>
    <row r="4286" spans="1:11" s="2" customFormat="1" x14ac:dyDescent="0.25">
      <c r="A4286" s="28" t="s">
        <v>6680</v>
      </c>
      <c r="B4286" s="29">
        <v>51</v>
      </c>
      <c r="C4286" s="28"/>
      <c r="D4286" s="28" t="s">
        <v>0</v>
      </c>
      <c r="E4286" s="3"/>
      <c r="H4286" s="7"/>
      <c r="K4286" s="30"/>
    </row>
    <row r="4287" spans="1:11" s="2" customFormat="1" x14ac:dyDescent="0.25">
      <c r="A4287" s="28" t="s">
        <v>6681</v>
      </c>
      <c r="B4287" s="29">
        <v>88</v>
      </c>
      <c r="C4287" s="28"/>
      <c r="D4287" s="28" t="s">
        <v>0</v>
      </c>
      <c r="E4287" s="3"/>
      <c r="H4287" s="7"/>
      <c r="K4287" s="30"/>
    </row>
    <row r="4288" spans="1:11" s="2" customFormat="1" x14ac:dyDescent="0.25">
      <c r="A4288" s="28" t="s">
        <v>6682</v>
      </c>
      <c r="B4288" s="29">
        <v>78</v>
      </c>
      <c r="C4288" s="28"/>
      <c r="D4288" s="28" t="s">
        <v>0</v>
      </c>
      <c r="E4288" s="3"/>
      <c r="H4288" s="7"/>
      <c r="K4288" s="30"/>
    </row>
    <row r="4289" spans="1:11" s="2" customFormat="1" x14ac:dyDescent="0.25">
      <c r="A4289" s="28" t="s">
        <v>6683</v>
      </c>
      <c r="B4289" s="29">
        <v>242</v>
      </c>
      <c r="C4289" s="28"/>
      <c r="D4289" s="28" t="s">
        <v>0</v>
      </c>
      <c r="E4289" s="3"/>
      <c r="H4289" s="7"/>
      <c r="K4289" s="30"/>
    </row>
    <row r="4290" spans="1:11" s="2" customFormat="1" x14ac:dyDescent="0.25">
      <c r="A4290" s="28" t="s">
        <v>6684</v>
      </c>
      <c r="B4290" s="29">
        <v>46</v>
      </c>
      <c r="C4290" s="28"/>
      <c r="D4290" s="28" t="s">
        <v>0</v>
      </c>
      <c r="E4290" s="3"/>
      <c r="H4290" s="7"/>
      <c r="K4290" s="30"/>
    </row>
    <row r="4291" spans="1:11" s="2" customFormat="1" x14ac:dyDescent="0.25">
      <c r="A4291" s="28" t="s">
        <v>6685</v>
      </c>
      <c r="B4291" s="29">
        <v>125</v>
      </c>
      <c r="C4291" s="28"/>
      <c r="D4291" s="28" t="s">
        <v>0</v>
      </c>
      <c r="E4291" s="3"/>
      <c r="H4291" s="7"/>
      <c r="K4291" s="30"/>
    </row>
    <row r="4292" spans="1:11" s="2" customFormat="1" x14ac:dyDescent="0.25">
      <c r="A4292" s="28" t="s">
        <v>6686</v>
      </c>
      <c r="B4292" s="29">
        <v>12</v>
      </c>
      <c r="C4292" s="28"/>
      <c r="D4292" s="28" t="s">
        <v>0</v>
      </c>
      <c r="E4292" s="3"/>
      <c r="H4292" s="7"/>
      <c r="K4292" s="30"/>
    </row>
    <row r="4293" spans="1:11" s="2" customFormat="1" x14ac:dyDescent="0.25">
      <c r="A4293" s="28" t="s">
        <v>1072</v>
      </c>
      <c r="B4293" s="29">
        <v>194</v>
      </c>
      <c r="C4293" s="28"/>
      <c r="D4293" s="28" t="s">
        <v>0</v>
      </c>
      <c r="E4293" s="3"/>
      <c r="H4293" s="7"/>
      <c r="K4293" s="30"/>
    </row>
    <row r="4294" spans="1:11" s="2" customFormat="1" x14ac:dyDescent="0.25">
      <c r="A4294" s="28" t="s">
        <v>6687</v>
      </c>
      <c r="B4294" s="29">
        <v>128</v>
      </c>
      <c r="C4294" s="28"/>
      <c r="D4294" s="28" t="s">
        <v>0</v>
      </c>
      <c r="E4294" s="3"/>
      <c r="H4294" s="7"/>
      <c r="K4294" s="30"/>
    </row>
    <row r="4295" spans="1:11" s="2" customFormat="1" x14ac:dyDescent="0.25">
      <c r="A4295" s="28" t="s">
        <v>6688</v>
      </c>
      <c r="B4295" s="29">
        <v>20</v>
      </c>
      <c r="C4295" s="28"/>
      <c r="D4295" s="28" t="s">
        <v>0</v>
      </c>
      <c r="E4295" s="3"/>
      <c r="H4295" s="7"/>
      <c r="K4295" s="30"/>
    </row>
    <row r="4296" spans="1:11" s="2" customFormat="1" x14ac:dyDescent="0.25">
      <c r="A4296" s="28" t="s">
        <v>6689</v>
      </c>
      <c r="B4296" s="29">
        <v>40</v>
      </c>
      <c r="C4296" s="28"/>
      <c r="D4296" s="28" t="s">
        <v>0</v>
      </c>
      <c r="E4296" s="3"/>
      <c r="H4296" s="7"/>
      <c r="K4296" s="30"/>
    </row>
    <row r="4297" spans="1:11" s="2" customFormat="1" x14ac:dyDescent="0.25">
      <c r="A4297" s="28" t="s">
        <v>254</v>
      </c>
      <c r="B4297" s="29">
        <v>144</v>
      </c>
      <c r="C4297" s="28"/>
      <c r="D4297" s="28" t="s">
        <v>0</v>
      </c>
      <c r="E4297" s="3"/>
      <c r="H4297" s="7"/>
      <c r="K4297" s="30"/>
    </row>
    <row r="4298" spans="1:11" s="2" customFormat="1" x14ac:dyDescent="0.25">
      <c r="A4298" s="28" t="s">
        <v>6690</v>
      </c>
      <c r="B4298" s="29">
        <v>63</v>
      </c>
      <c r="C4298" s="28"/>
      <c r="D4298" s="28" t="s">
        <v>0</v>
      </c>
      <c r="E4298" s="3"/>
      <c r="H4298" s="7"/>
      <c r="K4298" s="30"/>
    </row>
    <row r="4299" spans="1:11" s="2" customFormat="1" x14ac:dyDescent="0.25">
      <c r="A4299" s="28" t="s">
        <v>6691</v>
      </c>
      <c r="B4299" s="29">
        <v>10</v>
      </c>
      <c r="C4299" s="28"/>
      <c r="D4299" s="28" t="s">
        <v>0</v>
      </c>
      <c r="E4299" s="3"/>
      <c r="H4299" s="7"/>
      <c r="K4299" s="30"/>
    </row>
    <row r="4300" spans="1:11" s="2" customFormat="1" x14ac:dyDescent="0.25">
      <c r="A4300" s="28" t="s">
        <v>6692</v>
      </c>
      <c r="B4300" s="29">
        <v>1016</v>
      </c>
      <c r="C4300" s="28"/>
      <c r="D4300" s="28" t="s">
        <v>0</v>
      </c>
      <c r="E4300" s="3"/>
      <c r="H4300" s="7"/>
      <c r="K4300" s="30"/>
    </row>
    <row r="4301" spans="1:11" s="2" customFormat="1" x14ac:dyDescent="0.25">
      <c r="A4301" s="28" t="s">
        <v>6693</v>
      </c>
      <c r="B4301" s="29">
        <v>66</v>
      </c>
      <c r="C4301" s="28"/>
      <c r="D4301" s="28" t="s">
        <v>0</v>
      </c>
      <c r="E4301" s="3"/>
      <c r="H4301" s="7"/>
      <c r="K4301" s="30"/>
    </row>
    <row r="4302" spans="1:11" s="2" customFormat="1" x14ac:dyDescent="0.25">
      <c r="A4302" s="28" t="s">
        <v>6694</v>
      </c>
      <c r="B4302" s="29">
        <v>66</v>
      </c>
      <c r="C4302" s="28"/>
      <c r="D4302" s="28" t="s">
        <v>0</v>
      </c>
      <c r="E4302" s="3"/>
      <c r="H4302" s="7"/>
      <c r="K4302" s="30"/>
    </row>
    <row r="4303" spans="1:11" s="2" customFormat="1" x14ac:dyDescent="0.25">
      <c r="A4303" s="28" t="s">
        <v>6695</v>
      </c>
      <c r="B4303" s="29">
        <v>76</v>
      </c>
      <c r="C4303" s="28"/>
      <c r="D4303" s="28" t="s">
        <v>0</v>
      </c>
      <c r="E4303" s="3"/>
      <c r="H4303" s="7"/>
      <c r="K4303" s="30"/>
    </row>
    <row r="4304" spans="1:11" s="2" customFormat="1" x14ac:dyDescent="0.25">
      <c r="A4304" s="28" t="s">
        <v>6696</v>
      </c>
      <c r="B4304" s="29">
        <v>37</v>
      </c>
      <c r="C4304" s="28"/>
      <c r="D4304" s="28" t="s">
        <v>0</v>
      </c>
      <c r="E4304" s="3"/>
      <c r="H4304" s="7"/>
      <c r="K4304" s="30"/>
    </row>
    <row r="4305" spans="1:11" s="2" customFormat="1" x14ac:dyDescent="0.25">
      <c r="A4305" s="28" t="s">
        <v>6697</v>
      </c>
      <c r="B4305" s="29">
        <v>74</v>
      </c>
      <c r="C4305" s="28"/>
      <c r="D4305" s="28" t="s">
        <v>0</v>
      </c>
      <c r="E4305" s="3"/>
      <c r="H4305" s="7"/>
      <c r="K4305" s="30"/>
    </row>
    <row r="4306" spans="1:11" s="2" customFormat="1" x14ac:dyDescent="0.25">
      <c r="A4306" s="28" t="s">
        <v>6698</v>
      </c>
      <c r="B4306" s="29">
        <v>20</v>
      </c>
      <c r="C4306" s="28"/>
      <c r="D4306" s="28" t="s">
        <v>0</v>
      </c>
      <c r="E4306" s="3"/>
      <c r="H4306" s="7"/>
      <c r="K4306" s="30"/>
    </row>
    <row r="4307" spans="1:11" s="2" customFormat="1" x14ac:dyDescent="0.25">
      <c r="A4307" s="28" t="s">
        <v>6699</v>
      </c>
      <c r="B4307" s="29">
        <v>11</v>
      </c>
      <c r="C4307" s="28"/>
      <c r="D4307" s="28" t="s">
        <v>0</v>
      </c>
      <c r="E4307" s="3"/>
      <c r="H4307" s="7"/>
      <c r="K4307" s="30"/>
    </row>
    <row r="4308" spans="1:11" s="2" customFormat="1" x14ac:dyDescent="0.25">
      <c r="A4308" s="28" t="s">
        <v>6700</v>
      </c>
      <c r="B4308" s="29">
        <v>11</v>
      </c>
      <c r="C4308" s="28"/>
      <c r="D4308" s="28" t="s">
        <v>0</v>
      </c>
      <c r="E4308" s="3"/>
      <c r="H4308" s="7"/>
      <c r="K4308" s="30"/>
    </row>
    <row r="4309" spans="1:11" s="2" customFormat="1" x14ac:dyDescent="0.25">
      <c r="A4309" s="28" t="s">
        <v>6701</v>
      </c>
      <c r="B4309" s="29">
        <v>55</v>
      </c>
      <c r="C4309" s="28"/>
      <c r="D4309" s="28" t="s">
        <v>0</v>
      </c>
      <c r="E4309" s="3"/>
      <c r="H4309" s="7"/>
      <c r="K4309" s="30"/>
    </row>
    <row r="4310" spans="1:11" s="2" customFormat="1" x14ac:dyDescent="0.25">
      <c r="A4310" s="28" t="s">
        <v>3</v>
      </c>
      <c r="B4310" s="29">
        <v>30</v>
      </c>
      <c r="C4310" s="28"/>
      <c r="D4310" s="28" t="s">
        <v>0</v>
      </c>
      <c r="E4310" s="3"/>
      <c r="H4310" s="7"/>
      <c r="K4310" s="30"/>
    </row>
    <row r="4311" spans="1:11" s="2" customFormat="1" x14ac:dyDescent="0.25">
      <c r="A4311" s="28" t="s">
        <v>6702</v>
      </c>
      <c r="B4311" s="29">
        <v>30</v>
      </c>
      <c r="C4311" s="28"/>
      <c r="D4311" s="28" t="s">
        <v>0</v>
      </c>
      <c r="E4311" s="3"/>
      <c r="H4311" s="7"/>
      <c r="K4311" s="30"/>
    </row>
    <row r="4312" spans="1:11" s="2" customFormat="1" x14ac:dyDescent="0.25">
      <c r="A4312" s="28" t="s">
        <v>6703</v>
      </c>
      <c r="B4312" s="29">
        <v>12</v>
      </c>
      <c r="C4312" s="28"/>
      <c r="D4312" s="28" t="s">
        <v>0</v>
      </c>
      <c r="E4312" s="3"/>
      <c r="H4312" s="7"/>
      <c r="K4312" s="30"/>
    </row>
    <row r="4313" spans="1:11" s="2" customFormat="1" x14ac:dyDescent="0.25">
      <c r="A4313" s="28" t="s">
        <v>6704</v>
      </c>
      <c r="B4313" s="29">
        <v>23</v>
      </c>
      <c r="C4313" s="28"/>
      <c r="D4313" s="28" t="s">
        <v>0</v>
      </c>
      <c r="E4313" s="3"/>
      <c r="H4313" s="7"/>
      <c r="K4313" s="30"/>
    </row>
    <row r="4314" spans="1:11" s="2" customFormat="1" x14ac:dyDescent="0.25">
      <c r="A4314" s="28" t="s">
        <v>6705</v>
      </c>
      <c r="B4314" s="29">
        <v>10</v>
      </c>
      <c r="C4314" s="28"/>
      <c r="D4314" s="28" t="s">
        <v>0</v>
      </c>
      <c r="E4314" s="3"/>
      <c r="H4314" s="7"/>
      <c r="K4314" s="30"/>
    </row>
    <row r="4315" spans="1:11" s="2" customFormat="1" x14ac:dyDescent="0.25">
      <c r="A4315" s="28" t="s">
        <v>6706</v>
      </c>
      <c r="B4315" s="29">
        <v>54</v>
      </c>
      <c r="C4315" s="28"/>
      <c r="D4315" s="28" t="s">
        <v>0</v>
      </c>
      <c r="E4315" s="3"/>
      <c r="H4315" s="7"/>
      <c r="K4315" s="30"/>
    </row>
    <row r="4316" spans="1:11" s="2" customFormat="1" x14ac:dyDescent="0.25">
      <c r="A4316" s="28" t="s">
        <v>443</v>
      </c>
      <c r="B4316" s="29">
        <v>124</v>
      </c>
      <c r="C4316" s="28"/>
      <c r="D4316" s="28" t="s">
        <v>0</v>
      </c>
      <c r="E4316" s="3"/>
      <c r="H4316" s="7"/>
      <c r="K4316" s="30"/>
    </row>
    <row r="4317" spans="1:11" s="2" customFormat="1" x14ac:dyDescent="0.25">
      <c r="A4317" s="28" t="s">
        <v>6707</v>
      </c>
      <c r="B4317" s="29">
        <v>26</v>
      </c>
      <c r="C4317" s="28"/>
      <c r="D4317" s="28" t="s">
        <v>0</v>
      </c>
      <c r="E4317" s="3"/>
      <c r="H4317" s="7"/>
      <c r="K4317" s="30"/>
    </row>
    <row r="4318" spans="1:11" s="2" customFormat="1" x14ac:dyDescent="0.25">
      <c r="A4318" s="28" t="s">
        <v>6708</v>
      </c>
      <c r="B4318" s="29">
        <v>1</v>
      </c>
      <c r="C4318" s="28"/>
      <c r="D4318" s="28" t="s">
        <v>0</v>
      </c>
      <c r="E4318" s="3"/>
      <c r="H4318" s="7"/>
      <c r="K4318" s="30"/>
    </row>
    <row r="4319" spans="1:11" s="2" customFormat="1" x14ac:dyDescent="0.25">
      <c r="A4319" s="28" t="s">
        <v>6709</v>
      </c>
      <c r="B4319" s="29">
        <v>19</v>
      </c>
      <c r="C4319" s="28"/>
      <c r="D4319" s="28" t="s">
        <v>0</v>
      </c>
      <c r="E4319" s="3"/>
      <c r="H4319" s="7"/>
      <c r="K4319" s="30"/>
    </row>
    <row r="4320" spans="1:11" s="2" customFormat="1" x14ac:dyDescent="0.25">
      <c r="A4320" s="28" t="s">
        <v>6710</v>
      </c>
      <c r="B4320" s="29">
        <v>13</v>
      </c>
      <c r="C4320" s="28"/>
      <c r="D4320" s="28" t="s">
        <v>0</v>
      </c>
      <c r="E4320" s="3"/>
      <c r="H4320" s="7"/>
      <c r="K4320" s="30"/>
    </row>
    <row r="4321" spans="1:11" s="2" customFormat="1" x14ac:dyDescent="0.25">
      <c r="A4321" s="28" t="s">
        <v>6711</v>
      </c>
      <c r="B4321" s="29">
        <v>38</v>
      </c>
      <c r="C4321" s="28"/>
      <c r="D4321" s="28" t="s">
        <v>0</v>
      </c>
      <c r="E4321" s="3"/>
      <c r="H4321" s="7"/>
      <c r="K4321" s="30"/>
    </row>
    <row r="4322" spans="1:11" s="2" customFormat="1" x14ac:dyDescent="0.25">
      <c r="A4322" s="28" t="s">
        <v>6712</v>
      </c>
      <c r="B4322" s="29">
        <v>8</v>
      </c>
      <c r="C4322" s="28"/>
      <c r="D4322" s="28" t="s">
        <v>0</v>
      </c>
      <c r="E4322" s="3"/>
      <c r="H4322" s="7"/>
      <c r="K4322" s="30"/>
    </row>
    <row r="4323" spans="1:11" s="2" customFormat="1" x14ac:dyDescent="0.25">
      <c r="A4323" s="28" t="s">
        <v>6713</v>
      </c>
      <c r="B4323" s="29">
        <v>4</v>
      </c>
      <c r="C4323" s="28"/>
      <c r="D4323" s="28" t="s">
        <v>0</v>
      </c>
      <c r="E4323" s="3"/>
      <c r="H4323" s="7"/>
      <c r="K4323" s="30"/>
    </row>
    <row r="4324" spans="1:11" s="2" customFormat="1" x14ac:dyDescent="0.25">
      <c r="A4324" s="28" t="s">
        <v>6714</v>
      </c>
      <c r="B4324" s="29">
        <v>3</v>
      </c>
      <c r="C4324" s="28"/>
      <c r="D4324" s="28" t="s">
        <v>0</v>
      </c>
      <c r="E4324" s="3"/>
      <c r="H4324" s="7"/>
      <c r="K4324" s="30"/>
    </row>
    <row r="4325" spans="1:11" s="2" customFormat="1" x14ac:dyDescent="0.25">
      <c r="A4325" s="28" t="s">
        <v>6715</v>
      </c>
      <c r="B4325" s="29">
        <v>122</v>
      </c>
      <c r="C4325" s="28"/>
      <c r="D4325" s="28" t="s">
        <v>0</v>
      </c>
      <c r="E4325" s="3"/>
      <c r="H4325" s="7"/>
      <c r="K4325" s="30"/>
    </row>
    <row r="4326" spans="1:11" s="2" customFormat="1" x14ac:dyDescent="0.25">
      <c r="A4326" s="28" t="s">
        <v>6716</v>
      </c>
      <c r="B4326" s="29">
        <v>94</v>
      </c>
      <c r="C4326" s="28"/>
      <c r="D4326" s="28" t="s">
        <v>0</v>
      </c>
      <c r="E4326" s="3"/>
      <c r="H4326" s="7"/>
      <c r="K4326" s="30"/>
    </row>
    <row r="4327" spans="1:11" s="2" customFormat="1" x14ac:dyDescent="0.25">
      <c r="A4327" s="28" t="s">
        <v>6717</v>
      </c>
      <c r="B4327" s="29">
        <v>120</v>
      </c>
      <c r="C4327" s="28"/>
      <c r="D4327" s="28" t="s">
        <v>0</v>
      </c>
      <c r="E4327" s="3"/>
      <c r="H4327" s="7"/>
      <c r="K4327" s="30"/>
    </row>
    <row r="4328" spans="1:11" s="2" customFormat="1" x14ac:dyDescent="0.25">
      <c r="A4328" s="28" t="s">
        <v>6718</v>
      </c>
      <c r="B4328" s="29">
        <v>120</v>
      </c>
      <c r="C4328" s="28"/>
      <c r="D4328" s="28" t="s">
        <v>0</v>
      </c>
      <c r="E4328" s="3"/>
      <c r="H4328" s="7"/>
      <c r="K4328" s="30"/>
    </row>
    <row r="4329" spans="1:11" s="2" customFormat="1" x14ac:dyDescent="0.25">
      <c r="A4329" s="28" t="s">
        <v>6719</v>
      </c>
      <c r="B4329" s="29">
        <v>42</v>
      </c>
      <c r="C4329" s="28"/>
      <c r="D4329" s="28" t="s">
        <v>0</v>
      </c>
      <c r="E4329" s="3"/>
      <c r="H4329" s="7"/>
      <c r="K4329" s="30"/>
    </row>
    <row r="4330" spans="1:11" s="2" customFormat="1" x14ac:dyDescent="0.25">
      <c r="A4330" s="28" t="s">
        <v>6720</v>
      </c>
      <c r="B4330" s="29">
        <v>59</v>
      </c>
      <c r="C4330" s="28"/>
      <c r="D4330" s="28" t="s">
        <v>0</v>
      </c>
      <c r="E4330" s="3"/>
      <c r="H4330" s="7"/>
      <c r="K4330" s="30"/>
    </row>
    <row r="4331" spans="1:11" s="2" customFormat="1" x14ac:dyDescent="0.25">
      <c r="A4331" s="28" t="s">
        <v>6721</v>
      </c>
      <c r="B4331" s="29">
        <v>11</v>
      </c>
      <c r="C4331" s="28"/>
      <c r="D4331" s="28" t="s">
        <v>0</v>
      </c>
      <c r="E4331" s="3"/>
      <c r="H4331" s="7"/>
      <c r="K4331" s="30"/>
    </row>
    <row r="4332" spans="1:11" s="2" customFormat="1" x14ac:dyDescent="0.25">
      <c r="A4332" s="28" t="s">
        <v>6722</v>
      </c>
      <c r="B4332" s="29">
        <v>38</v>
      </c>
      <c r="C4332" s="28"/>
      <c r="D4332" s="28" t="s">
        <v>0</v>
      </c>
      <c r="E4332" s="3"/>
      <c r="H4332" s="7"/>
      <c r="K4332" s="30"/>
    </row>
    <row r="4333" spans="1:11" s="2" customFormat="1" x14ac:dyDescent="0.25">
      <c r="A4333" s="28" t="s">
        <v>6723</v>
      </c>
      <c r="B4333" s="29">
        <v>34</v>
      </c>
      <c r="C4333" s="28"/>
      <c r="D4333" s="28" t="s">
        <v>0</v>
      </c>
      <c r="E4333" s="3"/>
      <c r="H4333" s="7"/>
      <c r="K4333" s="30"/>
    </row>
    <row r="4334" spans="1:11" s="2" customFormat="1" x14ac:dyDescent="0.25">
      <c r="A4334" s="28" t="s">
        <v>6724</v>
      </c>
      <c r="B4334" s="29">
        <v>11</v>
      </c>
      <c r="C4334" s="28"/>
      <c r="D4334" s="28" t="s">
        <v>0</v>
      </c>
      <c r="E4334" s="3"/>
      <c r="H4334" s="7"/>
      <c r="K4334" s="30"/>
    </row>
    <row r="4335" spans="1:11" s="2" customFormat="1" x14ac:dyDescent="0.25">
      <c r="A4335" s="28" t="s">
        <v>373</v>
      </c>
      <c r="B4335" s="29">
        <v>24</v>
      </c>
      <c r="C4335" s="28"/>
      <c r="D4335" s="28" t="s">
        <v>0</v>
      </c>
      <c r="E4335" s="3"/>
      <c r="H4335" s="7"/>
      <c r="K4335" s="30"/>
    </row>
    <row r="4336" spans="1:11" s="2" customFormat="1" x14ac:dyDescent="0.25">
      <c r="A4336" s="28" t="s">
        <v>6725</v>
      </c>
      <c r="B4336" s="29">
        <v>39</v>
      </c>
      <c r="C4336" s="28"/>
      <c r="D4336" s="28" t="s">
        <v>0</v>
      </c>
      <c r="E4336" s="3"/>
      <c r="H4336" s="7"/>
      <c r="K4336" s="30"/>
    </row>
    <row r="4337" spans="1:11" s="2" customFormat="1" x14ac:dyDescent="0.25">
      <c r="A4337" s="28" t="s">
        <v>6726</v>
      </c>
      <c r="B4337" s="29">
        <v>46</v>
      </c>
      <c r="C4337" s="28"/>
      <c r="D4337" s="28" t="s">
        <v>0</v>
      </c>
      <c r="E4337" s="3"/>
      <c r="H4337" s="7"/>
      <c r="K4337" s="30"/>
    </row>
    <row r="4338" spans="1:11" s="2" customFormat="1" x14ac:dyDescent="0.25">
      <c r="A4338" s="28" t="s">
        <v>6727</v>
      </c>
      <c r="B4338" s="29">
        <v>26</v>
      </c>
      <c r="C4338" s="28"/>
      <c r="D4338" s="28" t="s">
        <v>0</v>
      </c>
      <c r="E4338" s="3"/>
      <c r="H4338" s="7"/>
      <c r="K4338" s="30"/>
    </row>
    <row r="4339" spans="1:11" s="2" customFormat="1" x14ac:dyDescent="0.25">
      <c r="A4339" s="28" t="s">
        <v>6728</v>
      </c>
      <c r="B4339" s="29">
        <v>56</v>
      </c>
      <c r="C4339" s="28"/>
      <c r="D4339" s="28" t="s">
        <v>0</v>
      </c>
      <c r="E4339" s="3"/>
      <c r="H4339" s="7"/>
      <c r="K4339" s="30"/>
    </row>
    <row r="4340" spans="1:11" s="2" customFormat="1" x14ac:dyDescent="0.25">
      <c r="A4340" s="28" t="s">
        <v>6729</v>
      </c>
      <c r="B4340" s="29">
        <v>23</v>
      </c>
      <c r="C4340" s="28"/>
      <c r="D4340" s="28" t="s">
        <v>0</v>
      </c>
      <c r="E4340" s="3"/>
      <c r="H4340" s="7"/>
      <c r="K4340" s="30"/>
    </row>
    <row r="4341" spans="1:11" s="2" customFormat="1" x14ac:dyDescent="0.25">
      <c r="A4341" s="28" t="s">
        <v>6730</v>
      </c>
      <c r="B4341" s="29">
        <v>23</v>
      </c>
      <c r="C4341" s="28"/>
      <c r="D4341" s="28" t="s">
        <v>0</v>
      </c>
      <c r="E4341" s="3"/>
      <c r="H4341" s="7"/>
      <c r="K4341" s="30"/>
    </row>
    <row r="4342" spans="1:11" s="2" customFormat="1" x14ac:dyDescent="0.25">
      <c r="A4342" s="28" t="s">
        <v>199</v>
      </c>
      <c r="B4342" s="29">
        <v>164</v>
      </c>
      <c r="C4342" s="28"/>
      <c r="D4342" s="28" t="s">
        <v>0</v>
      </c>
      <c r="E4342" s="3"/>
      <c r="H4342" s="7"/>
      <c r="K4342" s="30"/>
    </row>
    <row r="4343" spans="1:11" s="2" customFormat="1" x14ac:dyDescent="0.25">
      <c r="A4343" s="28" t="s">
        <v>236</v>
      </c>
      <c r="B4343" s="29">
        <v>47</v>
      </c>
      <c r="C4343" s="28"/>
      <c r="D4343" s="28" t="s">
        <v>0</v>
      </c>
      <c r="E4343" s="3"/>
      <c r="H4343" s="7"/>
      <c r="K4343" s="30"/>
    </row>
    <row r="4344" spans="1:11" s="2" customFormat="1" x14ac:dyDescent="0.25">
      <c r="A4344" s="28" t="s">
        <v>6731</v>
      </c>
      <c r="B4344" s="29">
        <v>2</v>
      </c>
      <c r="C4344" s="28"/>
      <c r="D4344" s="28" t="s">
        <v>0</v>
      </c>
      <c r="E4344" s="3"/>
      <c r="H4344" s="7"/>
      <c r="K4344" s="30"/>
    </row>
    <row r="4345" spans="1:11" s="2" customFormat="1" x14ac:dyDescent="0.25">
      <c r="A4345" s="28" t="s">
        <v>6732</v>
      </c>
      <c r="B4345" s="29">
        <v>4</v>
      </c>
      <c r="C4345" s="28"/>
      <c r="D4345" s="28" t="s">
        <v>0</v>
      </c>
      <c r="E4345" s="3"/>
      <c r="H4345" s="7"/>
      <c r="K4345" s="30"/>
    </row>
    <row r="4346" spans="1:11" s="2" customFormat="1" x14ac:dyDescent="0.25">
      <c r="A4346" s="28" t="s">
        <v>6733</v>
      </c>
      <c r="B4346" s="29">
        <v>72</v>
      </c>
      <c r="C4346" s="28"/>
      <c r="D4346" s="28" t="s">
        <v>0</v>
      </c>
      <c r="E4346" s="3"/>
      <c r="H4346" s="7"/>
      <c r="K4346" s="30"/>
    </row>
    <row r="4347" spans="1:11" s="2" customFormat="1" x14ac:dyDescent="0.25">
      <c r="A4347" s="28" t="s">
        <v>6734</v>
      </c>
      <c r="B4347" s="29">
        <v>63</v>
      </c>
      <c r="C4347" s="28"/>
      <c r="D4347" s="28" t="s">
        <v>0</v>
      </c>
      <c r="E4347" s="3"/>
      <c r="H4347" s="7"/>
      <c r="K4347" s="30"/>
    </row>
    <row r="4348" spans="1:11" s="2" customFormat="1" x14ac:dyDescent="0.25">
      <c r="A4348" s="28" t="s">
        <v>6735</v>
      </c>
      <c r="B4348" s="29">
        <v>2</v>
      </c>
      <c r="C4348" s="28"/>
      <c r="D4348" s="28" t="s">
        <v>0</v>
      </c>
      <c r="E4348" s="3"/>
      <c r="H4348" s="7"/>
      <c r="K4348" s="30"/>
    </row>
    <row r="4349" spans="1:11" s="2" customFormat="1" x14ac:dyDescent="0.25">
      <c r="A4349" s="28" t="s">
        <v>429</v>
      </c>
      <c r="B4349" s="29">
        <v>16</v>
      </c>
      <c r="C4349" s="28"/>
      <c r="D4349" s="28" t="s">
        <v>0</v>
      </c>
      <c r="E4349" s="3"/>
      <c r="H4349" s="7"/>
      <c r="K4349" s="30"/>
    </row>
    <row r="4350" spans="1:11" s="2" customFormat="1" x14ac:dyDescent="0.25">
      <c r="A4350" s="28" t="s">
        <v>6736</v>
      </c>
      <c r="B4350" s="29">
        <v>10</v>
      </c>
      <c r="C4350" s="28"/>
      <c r="D4350" s="28" t="s">
        <v>0</v>
      </c>
      <c r="E4350" s="3"/>
      <c r="H4350" s="7"/>
      <c r="K4350" s="30"/>
    </row>
    <row r="4351" spans="1:11" s="2" customFormat="1" x14ac:dyDescent="0.25">
      <c r="A4351" s="28" t="s">
        <v>6737</v>
      </c>
      <c r="B4351" s="29">
        <v>80</v>
      </c>
      <c r="C4351" s="28"/>
      <c r="D4351" s="28" t="s">
        <v>0</v>
      </c>
      <c r="E4351" s="3"/>
      <c r="H4351" s="7"/>
      <c r="K4351" s="30"/>
    </row>
    <row r="4352" spans="1:11" s="2" customFormat="1" x14ac:dyDescent="0.25">
      <c r="A4352" s="28" t="s">
        <v>6738</v>
      </c>
      <c r="B4352" s="29">
        <v>38</v>
      </c>
      <c r="C4352" s="28"/>
      <c r="D4352" s="28" t="s">
        <v>0</v>
      </c>
      <c r="E4352" s="3"/>
      <c r="H4352" s="7"/>
      <c r="K4352" s="30"/>
    </row>
    <row r="4353" spans="1:11" s="2" customFormat="1" x14ac:dyDescent="0.25">
      <c r="A4353" s="28" t="s">
        <v>6739</v>
      </c>
      <c r="B4353" s="29">
        <v>48</v>
      </c>
      <c r="C4353" s="28"/>
      <c r="D4353" s="28" t="s">
        <v>0</v>
      </c>
      <c r="E4353" s="3"/>
      <c r="H4353" s="7"/>
      <c r="K4353" s="30"/>
    </row>
    <row r="4354" spans="1:11" s="2" customFormat="1" x14ac:dyDescent="0.25">
      <c r="A4354" s="28" t="s">
        <v>6740</v>
      </c>
      <c r="B4354" s="29">
        <v>8</v>
      </c>
      <c r="C4354" s="28"/>
      <c r="D4354" s="28" t="s">
        <v>0</v>
      </c>
      <c r="E4354" s="3"/>
      <c r="H4354" s="7"/>
      <c r="K4354" s="30"/>
    </row>
    <row r="4355" spans="1:11" s="2" customFormat="1" x14ac:dyDescent="0.25">
      <c r="A4355" s="28" t="s">
        <v>6741</v>
      </c>
      <c r="B4355" s="29">
        <v>20</v>
      </c>
      <c r="C4355" s="28"/>
      <c r="D4355" s="28" t="s">
        <v>0</v>
      </c>
      <c r="E4355" s="3"/>
      <c r="H4355" s="7"/>
      <c r="K4355" s="30"/>
    </row>
    <row r="4356" spans="1:11" s="2" customFormat="1" x14ac:dyDescent="0.25">
      <c r="A4356" s="28" t="s">
        <v>6742</v>
      </c>
      <c r="B4356" s="29">
        <v>14</v>
      </c>
      <c r="C4356" s="28"/>
      <c r="D4356" s="28" t="s">
        <v>0</v>
      </c>
      <c r="E4356" s="3"/>
      <c r="H4356" s="7"/>
      <c r="K4356" s="30"/>
    </row>
    <row r="4357" spans="1:11" s="2" customFormat="1" x14ac:dyDescent="0.25">
      <c r="A4357" s="28" t="s">
        <v>6743</v>
      </c>
      <c r="B4357" s="29">
        <v>8</v>
      </c>
      <c r="C4357" s="28"/>
      <c r="D4357" s="28" t="s">
        <v>0</v>
      </c>
      <c r="E4357" s="3"/>
      <c r="H4357" s="7"/>
      <c r="K4357" s="30"/>
    </row>
    <row r="4358" spans="1:11" s="2" customFormat="1" x14ac:dyDescent="0.25">
      <c r="A4358" s="28" t="s">
        <v>6744</v>
      </c>
      <c r="B4358" s="29">
        <v>14</v>
      </c>
      <c r="C4358" s="28"/>
      <c r="D4358" s="28" t="s">
        <v>0</v>
      </c>
      <c r="E4358" s="3"/>
      <c r="H4358" s="7"/>
      <c r="K4358" s="30"/>
    </row>
    <row r="4359" spans="1:11" s="2" customFormat="1" x14ac:dyDescent="0.25">
      <c r="A4359" s="28" t="s">
        <v>6745</v>
      </c>
      <c r="B4359" s="29">
        <v>6</v>
      </c>
      <c r="C4359" s="28"/>
      <c r="D4359" s="28" t="s">
        <v>0</v>
      </c>
      <c r="E4359" s="3"/>
      <c r="H4359" s="7"/>
      <c r="K4359" s="30"/>
    </row>
    <row r="4360" spans="1:11" s="2" customFormat="1" x14ac:dyDescent="0.25">
      <c r="A4360" s="28" t="s">
        <v>6746</v>
      </c>
      <c r="B4360" s="29">
        <v>96</v>
      </c>
      <c r="C4360" s="28"/>
      <c r="D4360" s="28" t="s">
        <v>0</v>
      </c>
      <c r="E4360" s="3"/>
      <c r="H4360" s="7"/>
      <c r="K4360" s="30"/>
    </row>
    <row r="4361" spans="1:11" s="2" customFormat="1" x14ac:dyDescent="0.25">
      <c r="A4361" s="28" t="s">
        <v>6747</v>
      </c>
      <c r="B4361" s="29">
        <v>63</v>
      </c>
      <c r="C4361" s="28"/>
      <c r="D4361" s="28" t="s">
        <v>0</v>
      </c>
      <c r="E4361" s="3"/>
      <c r="H4361" s="7"/>
      <c r="K4361" s="30"/>
    </row>
    <row r="4362" spans="1:11" s="2" customFormat="1" x14ac:dyDescent="0.25">
      <c r="A4362" s="28" t="s">
        <v>6748</v>
      </c>
      <c r="B4362" s="29">
        <v>47</v>
      </c>
      <c r="C4362" s="28"/>
      <c r="D4362" s="28" t="s">
        <v>0</v>
      </c>
      <c r="E4362" s="3"/>
      <c r="H4362" s="7"/>
      <c r="K4362" s="30"/>
    </row>
    <row r="4363" spans="1:11" s="2" customFormat="1" x14ac:dyDescent="0.25">
      <c r="A4363" s="28" t="s">
        <v>6749</v>
      </c>
      <c r="B4363" s="29">
        <v>74</v>
      </c>
      <c r="C4363" s="28"/>
      <c r="D4363" s="28" t="s">
        <v>0</v>
      </c>
      <c r="E4363" s="3"/>
      <c r="H4363" s="7"/>
      <c r="K4363" s="30"/>
    </row>
    <row r="4364" spans="1:11" s="2" customFormat="1" x14ac:dyDescent="0.25">
      <c r="A4364" s="28" t="s">
        <v>6750</v>
      </c>
      <c r="B4364" s="29">
        <v>68</v>
      </c>
      <c r="C4364" s="28"/>
      <c r="D4364" s="28" t="s">
        <v>0</v>
      </c>
      <c r="E4364" s="3"/>
      <c r="H4364" s="7"/>
      <c r="K4364" s="30"/>
    </row>
    <row r="4365" spans="1:11" s="2" customFormat="1" x14ac:dyDescent="0.25">
      <c r="A4365" s="28" t="s">
        <v>6751</v>
      </c>
      <c r="B4365" s="29">
        <v>8</v>
      </c>
      <c r="C4365" s="28"/>
      <c r="D4365" s="28" t="s">
        <v>0</v>
      </c>
      <c r="E4365" s="3"/>
      <c r="H4365" s="7"/>
      <c r="K4365" s="30"/>
    </row>
    <row r="4366" spans="1:11" s="2" customFormat="1" x14ac:dyDescent="0.25">
      <c r="A4366" s="28" t="s">
        <v>1188</v>
      </c>
      <c r="B4366" s="29">
        <v>49</v>
      </c>
      <c r="C4366" s="28"/>
      <c r="D4366" s="28" t="s">
        <v>0</v>
      </c>
      <c r="E4366" s="3"/>
      <c r="H4366" s="7"/>
      <c r="K4366" s="30"/>
    </row>
    <row r="4367" spans="1:11" s="2" customFormat="1" x14ac:dyDescent="0.25">
      <c r="A4367" s="28" t="s">
        <v>6752</v>
      </c>
      <c r="B4367" s="29">
        <v>66</v>
      </c>
      <c r="C4367" s="28"/>
      <c r="D4367" s="28" t="s">
        <v>0</v>
      </c>
      <c r="E4367" s="3"/>
      <c r="H4367" s="7"/>
      <c r="K4367" s="30"/>
    </row>
    <row r="4368" spans="1:11" s="2" customFormat="1" x14ac:dyDescent="0.25">
      <c r="A4368" s="28" t="s">
        <v>6753</v>
      </c>
      <c r="B4368" s="29">
        <v>42</v>
      </c>
      <c r="C4368" s="28"/>
      <c r="D4368" s="28" t="s">
        <v>0</v>
      </c>
      <c r="E4368" s="3"/>
      <c r="H4368" s="7"/>
      <c r="K4368" s="30"/>
    </row>
    <row r="4369" spans="1:11" s="2" customFormat="1" x14ac:dyDescent="0.25">
      <c r="A4369" s="28" t="s">
        <v>6754</v>
      </c>
      <c r="B4369" s="29">
        <v>43</v>
      </c>
      <c r="C4369" s="28"/>
      <c r="D4369" s="28" t="s">
        <v>0</v>
      </c>
      <c r="E4369" s="3"/>
      <c r="H4369" s="7"/>
      <c r="K4369" s="30"/>
    </row>
    <row r="4370" spans="1:11" s="2" customFormat="1" x14ac:dyDescent="0.25">
      <c r="A4370" s="28" t="s">
        <v>6755</v>
      </c>
      <c r="B4370" s="29">
        <v>18</v>
      </c>
      <c r="C4370" s="28"/>
      <c r="D4370" s="28" t="s">
        <v>0</v>
      </c>
      <c r="E4370" s="3"/>
      <c r="H4370" s="7"/>
      <c r="K4370" s="30"/>
    </row>
    <row r="4371" spans="1:11" s="2" customFormat="1" x14ac:dyDescent="0.25">
      <c r="A4371" s="28" t="s">
        <v>353</v>
      </c>
      <c r="B4371" s="29">
        <v>32</v>
      </c>
      <c r="C4371" s="28"/>
      <c r="D4371" s="28" t="s">
        <v>0</v>
      </c>
      <c r="E4371" s="3"/>
      <c r="H4371" s="7"/>
      <c r="K4371" s="30"/>
    </row>
    <row r="4372" spans="1:11" s="2" customFormat="1" x14ac:dyDescent="0.25">
      <c r="A4372" s="28" t="s">
        <v>3349</v>
      </c>
      <c r="B4372" s="29">
        <v>68</v>
      </c>
      <c r="C4372" s="28"/>
      <c r="D4372" s="28" t="s">
        <v>0</v>
      </c>
      <c r="E4372" s="3"/>
      <c r="H4372" s="7"/>
      <c r="K4372" s="30"/>
    </row>
    <row r="4373" spans="1:11" s="2" customFormat="1" x14ac:dyDescent="0.25">
      <c r="A4373" s="28" t="s">
        <v>6756</v>
      </c>
      <c r="B4373" s="29">
        <v>45</v>
      </c>
      <c r="C4373" s="28"/>
      <c r="D4373" s="28" t="s">
        <v>0</v>
      </c>
      <c r="E4373" s="3"/>
      <c r="H4373" s="7"/>
      <c r="K4373" s="30"/>
    </row>
    <row r="4374" spans="1:11" s="2" customFormat="1" x14ac:dyDescent="0.25">
      <c r="A4374" s="28" t="s">
        <v>6757</v>
      </c>
      <c r="B4374" s="29">
        <v>2</v>
      </c>
      <c r="C4374" s="28"/>
      <c r="D4374" s="28" t="s">
        <v>0</v>
      </c>
      <c r="E4374" s="3"/>
      <c r="H4374" s="7"/>
      <c r="K4374" s="30"/>
    </row>
    <row r="4375" spans="1:11" s="2" customFormat="1" x14ac:dyDescent="0.25">
      <c r="A4375" s="28" t="s">
        <v>6758</v>
      </c>
      <c r="B4375" s="29">
        <v>80</v>
      </c>
      <c r="C4375" s="28"/>
      <c r="D4375" s="28" t="s">
        <v>0</v>
      </c>
      <c r="E4375" s="3"/>
      <c r="H4375" s="7"/>
      <c r="K4375" s="30"/>
    </row>
    <row r="4376" spans="1:11" s="2" customFormat="1" x14ac:dyDescent="0.25">
      <c r="A4376" s="28" t="s">
        <v>6759</v>
      </c>
      <c r="B4376" s="29">
        <v>8</v>
      </c>
      <c r="C4376" s="28"/>
      <c r="D4376" s="28" t="s">
        <v>0</v>
      </c>
      <c r="E4376" s="3"/>
      <c r="H4376" s="7"/>
      <c r="K4376" s="30"/>
    </row>
    <row r="4377" spans="1:11" s="2" customFormat="1" x14ac:dyDescent="0.25">
      <c r="A4377" s="28" t="s">
        <v>6760</v>
      </c>
      <c r="B4377" s="29">
        <v>32</v>
      </c>
      <c r="C4377" s="28"/>
      <c r="D4377" s="28" t="s">
        <v>0</v>
      </c>
      <c r="E4377" s="3"/>
      <c r="H4377" s="7"/>
      <c r="K4377" s="30"/>
    </row>
    <row r="4378" spans="1:11" s="2" customFormat="1" x14ac:dyDescent="0.25">
      <c r="A4378" s="28" t="s">
        <v>6761</v>
      </c>
      <c r="B4378" s="29">
        <v>34</v>
      </c>
      <c r="C4378" s="28"/>
      <c r="D4378" s="28" t="s">
        <v>0</v>
      </c>
      <c r="E4378" s="3"/>
      <c r="H4378" s="7"/>
      <c r="K4378" s="30"/>
    </row>
    <row r="4379" spans="1:11" s="2" customFormat="1" x14ac:dyDescent="0.25">
      <c r="A4379" s="28" t="s">
        <v>6762</v>
      </c>
      <c r="B4379" s="29">
        <v>96</v>
      </c>
      <c r="C4379" s="28"/>
      <c r="D4379" s="28" t="s">
        <v>0</v>
      </c>
      <c r="E4379" s="3"/>
      <c r="H4379" s="7"/>
      <c r="K4379" s="30"/>
    </row>
    <row r="4380" spans="1:11" s="2" customFormat="1" x14ac:dyDescent="0.25">
      <c r="A4380" s="28" t="s">
        <v>6763</v>
      </c>
      <c r="B4380" s="29">
        <v>4</v>
      </c>
      <c r="C4380" s="28"/>
      <c r="D4380" s="28" t="s">
        <v>0</v>
      </c>
      <c r="E4380" s="3"/>
      <c r="H4380" s="7"/>
      <c r="K4380" s="30"/>
    </row>
    <row r="4381" spans="1:11" s="2" customFormat="1" x14ac:dyDescent="0.25">
      <c r="A4381" s="28" t="s">
        <v>6764</v>
      </c>
      <c r="B4381" s="29">
        <v>60</v>
      </c>
      <c r="C4381" s="28"/>
      <c r="D4381" s="28" t="s">
        <v>0</v>
      </c>
      <c r="E4381" s="3"/>
      <c r="H4381" s="7"/>
      <c r="K4381" s="30"/>
    </row>
    <row r="4382" spans="1:11" s="2" customFormat="1" x14ac:dyDescent="0.25">
      <c r="A4382" s="28" t="s">
        <v>6765</v>
      </c>
      <c r="B4382" s="29">
        <v>4</v>
      </c>
      <c r="C4382" s="28"/>
      <c r="D4382" s="28" t="s">
        <v>0</v>
      </c>
      <c r="E4382" s="3"/>
      <c r="H4382" s="7"/>
      <c r="K4382" s="30"/>
    </row>
    <row r="4383" spans="1:11" s="2" customFormat="1" x14ac:dyDescent="0.25">
      <c r="A4383" s="28" t="s">
        <v>6766</v>
      </c>
      <c r="B4383" s="29">
        <v>44</v>
      </c>
      <c r="C4383" s="28"/>
      <c r="D4383" s="28" t="s">
        <v>0</v>
      </c>
      <c r="E4383" s="3"/>
      <c r="H4383" s="7"/>
      <c r="K4383" s="30"/>
    </row>
    <row r="4384" spans="1:11" s="2" customFormat="1" x14ac:dyDescent="0.25">
      <c r="A4384" s="28" t="s">
        <v>6767</v>
      </c>
      <c r="B4384" s="29">
        <v>43</v>
      </c>
      <c r="C4384" s="28"/>
      <c r="D4384" s="28" t="s">
        <v>0</v>
      </c>
      <c r="E4384" s="3"/>
      <c r="H4384" s="7"/>
      <c r="K4384" s="30"/>
    </row>
    <row r="4385" spans="1:11" s="2" customFormat="1" x14ac:dyDescent="0.25">
      <c r="A4385" s="28" t="s">
        <v>6768</v>
      </c>
      <c r="B4385" s="29">
        <v>14</v>
      </c>
      <c r="C4385" s="28"/>
      <c r="D4385" s="28" t="s">
        <v>0</v>
      </c>
      <c r="E4385" s="3"/>
      <c r="H4385" s="7"/>
      <c r="K4385" s="30"/>
    </row>
    <row r="4386" spans="1:11" s="2" customFormat="1" x14ac:dyDescent="0.25">
      <c r="A4386" s="28" t="s">
        <v>6769</v>
      </c>
      <c r="B4386" s="29">
        <v>60</v>
      </c>
      <c r="C4386" s="28"/>
      <c r="D4386" s="28" t="s">
        <v>0</v>
      </c>
      <c r="E4386" s="3"/>
      <c r="H4386" s="7"/>
      <c r="K4386" s="30"/>
    </row>
    <row r="4387" spans="1:11" s="2" customFormat="1" x14ac:dyDescent="0.25">
      <c r="A4387" s="28" t="s">
        <v>6770</v>
      </c>
      <c r="B4387" s="29">
        <v>37</v>
      </c>
      <c r="C4387" s="28"/>
      <c r="D4387" s="28" t="s">
        <v>0</v>
      </c>
      <c r="E4387" s="3"/>
      <c r="H4387" s="7"/>
      <c r="K4387" s="30"/>
    </row>
    <row r="4388" spans="1:11" s="2" customFormat="1" x14ac:dyDescent="0.25">
      <c r="A4388" s="28" t="s">
        <v>6771</v>
      </c>
      <c r="B4388" s="29">
        <v>8</v>
      </c>
      <c r="C4388" s="28"/>
      <c r="D4388" s="28" t="s">
        <v>0</v>
      </c>
      <c r="E4388" s="3"/>
      <c r="H4388" s="7"/>
      <c r="K4388" s="30"/>
    </row>
    <row r="4389" spans="1:11" s="2" customFormat="1" x14ac:dyDescent="0.25">
      <c r="A4389" s="28" t="s">
        <v>6772</v>
      </c>
      <c r="B4389" s="29">
        <v>20</v>
      </c>
      <c r="C4389" s="28"/>
      <c r="D4389" s="28" t="s">
        <v>0</v>
      </c>
      <c r="E4389" s="3"/>
      <c r="H4389" s="7"/>
      <c r="K4389" s="30"/>
    </row>
    <row r="4390" spans="1:11" s="2" customFormat="1" x14ac:dyDescent="0.25">
      <c r="A4390" s="28" t="s">
        <v>6773</v>
      </c>
      <c r="B4390" s="29">
        <v>48</v>
      </c>
      <c r="C4390" s="28"/>
      <c r="D4390" s="28" t="s">
        <v>0</v>
      </c>
      <c r="E4390" s="3"/>
      <c r="H4390" s="7"/>
      <c r="K4390" s="30"/>
    </row>
    <row r="4391" spans="1:11" s="2" customFormat="1" x14ac:dyDescent="0.25">
      <c r="A4391" s="28" t="s">
        <v>6774</v>
      </c>
      <c r="B4391" s="29">
        <v>45</v>
      </c>
      <c r="C4391" s="28"/>
      <c r="D4391" s="28" t="s">
        <v>0</v>
      </c>
      <c r="E4391" s="3"/>
      <c r="H4391" s="7"/>
      <c r="K4391" s="30"/>
    </row>
    <row r="4392" spans="1:11" s="2" customFormat="1" x14ac:dyDescent="0.25">
      <c r="A4392" s="28" t="s">
        <v>6775</v>
      </c>
      <c r="B4392" s="29">
        <v>37</v>
      </c>
      <c r="C4392" s="28"/>
      <c r="D4392" s="28" t="s">
        <v>0</v>
      </c>
      <c r="E4392" s="3"/>
      <c r="H4392" s="7"/>
      <c r="K4392" s="30"/>
    </row>
    <row r="4393" spans="1:11" s="2" customFormat="1" x14ac:dyDescent="0.25">
      <c r="A4393" s="28" t="s">
        <v>6776</v>
      </c>
      <c r="B4393" s="29">
        <v>5</v>
      </c>
      <c r="C4393" s="28"/>
      <c r="D4393" s="28" t="s">
        <v>0</v>
      </c>
      <c r="E4393" s="3"/>
      <c r="H4393" s="7"/>
      <c r="K4393" s="30"/>
    </row>
    <row r="4394" spans="1:11" s="2" customFormat="1" x14ac:dyDescent="0.25">
      <c r="A4394" s="28" t="s">
        <v>6777</v>
      </c>
      <c r="B4394" s="29">
        <v>14</v>
      </c>
      <c r="C4394" s="28"/>
      <c r="D4394" s="28" t="s">
        <v>0</v>
      </c>
      <c r="E4394" s="3"/>
      <c r="H4394" s="7"/>
      <c r="K4394" s="30"/>
    </row>
    <row r="4395" spans="1:11" s="2" customFormat="1" x14ac:dyDescent="0.25">
      <c r="A4395" s="28" t="s">
        <v>6778</v>
      </c>
      <c r="B4395" s="29">
        <v>3</v>
      </c>
      <c r="C4395" s="28"/>
      <c r="D4395" s="28" t="s">
        <v>0</v>
      </c>
      <c r="E4395" s="3"/>
      <c r="H4395" s="7"/>
      <c r="K4395" s="30"/>
    </row>
    <row r="4396" spans="1:11" s="2" customFormat="1" x14ac:dyDescent="0.25">
      <c r="A4396" s="28" t="s">
        <v>6779</v>
      </c>
      <c r="B4396" s="29">
        <v>3</v>
      </c>
      <c r="C4396" s="28"/>
      <c r="D4396" s="28" t="s">
        <v>0</v>
      </c>
      <c r="E4396" s="3"/>
      <c r="H4396" s="7"/>
      <c r="K4396" s="30"/>
    </row>
    <row r="4397" spans="1:11" s="2" customFormat="1" x14ac:dyDescent="0.25">
      <c r="A4397" s="28" t="s">
        <v>380</v>
      </c>
      <c r="B4397" s="29">
        <v>18</v>
      </c>
      <c r="C4397" s="28"/>
      <c r="D4397" s="28" t="s">
        <v>0</v>
      </c>
      <c r="E4397" s="3"/>
      <c r="H4397" s="7"/>
      <c r="K4397" s="30"/>
    </row>
    <row r="4398" spans="1:11" s="2" customFormat="1" x14ac:dyDescent="0.25">
      <c r="A4398" s="28" t="s">
        <v>6780</v>
      </c>
      <c r="B4398" s="29">
        <v>30</v>
      </c>
      <c r="C4398" s="28"/>
      <c r="D4398" s="28" t="s">
        <v>0</v>
      </c>
      <c r="E4398" s="3"/>
      <c r="H4398" s="7"/>
      <c r="K4398" s="30"/>
    </row>
    <row r="4399" spans="1:11" s="2" customFormat="1" x14ac:dyDescent="0.25">
      <c r="A4399" s="28" t="s">
        <v>6781</v>
      </c>
      <c r="B4399" s="29">
        <v>49</v>
      </c>
      <c r="C4399" s="28"/>
      <c r="D4399" s="28" t="s">
        <v>0</v>
      </c>
      <c r="E4399" s="3"/>
      <c r="H4399" s="7"/>
      <c r="K4399" s="30"/>
    </row>
    <row r="4400" spans="1:11" s="2" customFormat="1" x14ac:dyDescent="0.25">
      <c r="A4400" s="28" t="s">
        <v>6782</v>
      </c>
      <c r="B4400" s="29">
        <v>29</v>
      </c>
      <c r="C4400" s="28"/>
      <c r="D4400" s="28" t="s">
        <v>0</v>
      </c>
      <c r="E4400" s="3"/>
      <c r="H4400" s="7"/>
      <c r="K4400" s="30"/>
    </row>
    <row r="4401" spans="1:11" s="2" customFormat="1" x14ac:dyDescent="0.25">
      <c r="A4401" s="28" t="s">
        <v>6783</v>
      </c>
      <c r="B4401" s="29">
        <v>32</v>
      </c>
      <c r="C4401" s="28"/>
      <c r="D4401" s="28" t="s">
        <v>0</v>
      </c>
      <c r="E4401" s="3"/>
      <c r="H4401" s="7"/>
      <c r="K4401" s="30"/>
    </row>
    <row r="4402" spans="1:11" s="2" customFormat="1" x14ac:dyDescent="0.25">
      <c r="A4402" s="28" t="s">
        <v>6784</v>
      </c>
      <c r="B4402" s="29">
        <v>2</v>
      </c>
      <c r="C4402" s="28"/>
      <c r="D4402" s="28" t="s">
        <v>0</v>
      </c>
      <c r="E4402" s="3"/>
      <c r="H4402" s="7"/>
      <c r="K4402" s="30"/>
    </row>
    <row r="4403" spans="1:11" s="2" customFormat="1" x14ac:dyDescent="0.25">
      <c r="A4403" s="28" t="s">
        <v>351</v>
      </c>
      <c r="B4403" s="29">
        <v>37</v>
      </c>
      <c r="C4403" s="28"/>
      <c r="D4403" s="28" t="s">
        <v>0</v>
      </c>
      <c r="E4403" s="3"/>
      <c r="H4403" s="7"/>
      <c r="K4403" s="30"/>
    </row>
    <row r="4404" spans="1:11" s="2" customFormat="1" x14ac:dyDescent="0.25">
      <c r="A4404" s="28" t="s">
        <v>6785</v>
      </c>
      <c r="B4404" s="29">
        <v>15</v>
      </c>
      <c r="C4404" s="28"/>
      <c r="D4404" s="28" t="s">
        <v>0</v>
      </c>
      <c r="E4404" s="3"/>
      <c r="H4404" s="7"/>
      <c r="K4404" s="30"/>
    </row>
    <row r="4405" spans="1:11" s="2" customFormat="1" x14ac:dyDescent="0.25">
      <c r="A4405" s="28" t="s">
        <v>6786</v>
      </c>
      <c r="B4405" s="29">
        <v>8</v>
      </c>
      <c r="C4405" s="28"/>
      <c r="D4405" s="28" t="s">
        <v>0</v>
      </c>
      <c r="E4405" s="3"/>
      <c r="H4405" s="7"/>
      <c r="K4405" s="30"/>
    </row>
    <row r="4406" spans="1:11" s="2" customFormat="1" x14ac:dyDescent="0.25">
      <c r="A4406" s="28" t="s">
        <v>6787</v>
      </c>
      <c r="B4406" s="29">
        <v>8</v>
      </c>
      <c r="C4406" s="28"/>
      <c r="D4406" s="28" t="s">
        <v>0</v>
      </c>
      <c r="E4406" s="3"/>
      <c r="H4406" s="7"/>
      <c r="K4406" s="30"/>
    </row>
    <row r="4407" spans="1:11" s="2" customFormat="1" x14ac:dyDescent="0.25">
      <c r="A4407" s="28" t="s">
        <v>6788</v>
      </c>
      <c r="B4407" s="29">
        <v>5</v>
      </c>
      <c r="C4407" s="28"/>
      <c r="D4407" s="28" t="s">
        <v>0</v>
      </c>
      <c r="E4407" s="3"/>
      <c r="H4407" s="7"/>
      <c r="K4407" s="30"/>
    </row>
    <row r="4408" spans="1:11" s="2" customFormat="1" x14ac:dyDescent="0.25">
      <c r="A4408" s="28" t="s">
        <v>6789</v>
      </c>
      <c r="B4408" s="29">
        <v>36</v>
      </c>
      <c r="C4408" s="28"/>
      <c r="D4408" s="28" t="s">
        <v>0</v>
      </c>
      <c r="E4408" s="3"/>
      <c r="H4408" s="7"/>
      <c r="K4408" s="30"/>
    </row>
    <row r="4409" spans="1:11" s="2" customFormat="1" x14ac:dyDescent="0.25">
      <c r="A4409" s="28" t="s">
        <v>6790</v>
      </c>
      <c r="B4409" s="29">
        <v>12</v>
      </c>
      <c r="C4409" s="28"/>
      <c r="D4409" s="28" t="s">
        <v>0</v>
      </c>
      <c r="E4409" s="3"/>
      <c r="H4409" s="7"/>
      <c r="K4409" s="30"/>
    </row>
    <row r="4410" spans="1:11" s="2" customFormat="1" x14ac:dyDescent="0.25">
      <c r="A4410" s="28" t="s">
        <v>6791</v>
      </c>
      <c r="B4410" s="29">
        <v>3</v>
      </c>
      <c r="C4410" s="28"/>
      <c r="D4410" s="28" t="s">
        <v>0</v>
      </c>
      <c r="E4410" s="3"/>
      <c r="H4410" s="7"/>
      <c r="K4410" s="30"/>
    </row>
    <row r="4411" spans="1:11" s="2" customFormat="1" x14ac:dyDescent="0.25">
      <c r="A4411" s="28" t="s">
        <v>6792</v>
      </c>
      <c r="B4411" s="29">
        <v>33</v>
      </c>
      <c r="C4411" s="28"/>
      <c r="D4411" s="28" t="s">
        <v>0</v>
      </c>
      <c r="E4411" s="3"/>
      <c r="H4411" s="7"/>
      <c r="K4411" s="30"/>
    </row>
    <row r="4412" spans="1:11" s="2" customFormat="1" x14ac:dyDescent="0.25">
      <c r="A4412" s="28" t="s">
        <v>6793</v>
      </c>
      <c r="B4412" s="29">
        <v>4</v>
      </c>
      <c r="C4412" s="28"/>
      <c r="D4412" s="28" t="s">
        <v>0</v>
      </c>
      <c r="E4412" s="3"/>
      <c r="H4412" s="7"/>
      <c r="K4412" s="30"/>
    </row>
    <row r="4413" spans="1:11" s="2" customFormat="1" x14ac:dyDescent="0.25">
      <c r="A4413" s="28" t="s">
        <v>6794</v>
      </c>
      <c r="B4413" s="29">
        <v>40</v>
      </c>
      <c r="C4413" s="28"/>
      <c r="D4413" s="28" t="s">
        <v>0</v>
      </c>
      <c r="E4413" s="3"/>
      <c r="H4413" s="7"/>
      <c r="K4413" s="30"/>
    </row>
    <row r="4414" spans="1:11" s="2" customFormat="1" x14ac:dyDescent="0.25">
      <c r="A4414" s="28" t="s">
        <v>6795</v>
      </c>
      <c r="B4414" s="29">
        <v>17</v>
      </c>
      <c r="C4414" s="28"/>
      <c r="D4414" s="28" t="s">
        <v>0</v>
      </c>
      <c r="E4414" s="3"/>
      <c r="H4414" s="7"/>
      <c r="K4414" s="30"/>
    </row>
    <row r="4415" spans="1:11" s="2" customFormat="1" x14ac:dyDescent="0.25">
      <c r="A4415" s="28" t="s">
        <v>6796</v>
      </c>
      <c r="B4415" s="29">
        <v>3</v>
      </c>
      <c r="C4415" s="28"/>
      <c r="D4415" s="28" t="s">
        <v>0</v>
      </c>
      <c r="E4415" s="3"/>
      <c r="H4415" s="7"/>
      <c r="K4415" s="30"/>
    </row>
    <row r="4416" spans="1:11" s="2" customFormat="1" x14ac:dyDescent="0.25">
      <c r="A4416" s="28" t="s">
        <v>6797</v>
      </c>
      <c r="B4416" s="29">
        <v>38</v>
      </c>
      <c r="C4416" s="28"/>
      <c r="D4416" s="28" t="s">
        <v>0</v>
      </c>
      <c r="E4416" s="3"/>
      <c r="H4416" s="7"/>
      <c r="K4416" s="30"/>
    </row>
    <row r="4417" spans="1:11" s="2" customFormat="1" x14ac:dyDescent="0.25">
      <c r="A4417" s="28" t="s">
        <v>6798</v>
      </c>
      <c r="B4417" s="29">
        <v>19</v>
      </c>
      <c r="C4417" s="28"/>
      <c r="D4417" s="28" t="s">
        <v>0</v>
      </c>
      <c r="E4417" s="3"/>
      <c r="H4417" s="7"/>
      <c r="K4417" s="30"/>
    </row>
    <row r="4418" spans="1:11" s="2" customFormat="1" x14ac:dyDescent="0.25">
      <c r="A4418" s="28" t="s">
        <v>6799</v>
      </c>
      <c r="B4418" s="29">
        <v>10</v>
      </c>
      <c r="C4418" s="28"/>
      <c r="D4418" s="28" t="s">
        <v>0</v>
      </c>
      <c r="E4418" s="3"/>
      <c r="H4418" s="7"/>
      <c r="K4418" s="30"/>
    </row>
    <row r="4419" spans="1:11" s="2" customFormat="1" x14ac:dyDescent="0.25">
      <c r="A4419" s="28" t="s">
        <v>3175</v>
      </c>
      <c r="B4419" s="29">
        <v>6</v>
      </c>
      <c r="C4419" s="28"/>
      <c r="D4419" s="28" t="s">
        <v>0</v>
      </c>
      <c r="E4419" s="3"/>
      <c r="H4419" s="7"/>
      <c r="K4419" s="30"/>
    </row>
    <row r="4420" spans="1:11" s="2" customFormat="1" x14ac:dyDescent="0.25">
      <c r="A4420" s="28" t="s">
        <v>6800</v>
      </c>
      <c r="B4420" s="29">
        <v>26</v>
      </c>
      <c r="C4420" s="28"/>
      <c r="D4420" s="28" t="s">
        <v>0</v>
      </c>
      <c r="E4420" s="3"/>
      <c r="H4420" s="7"/>
      <c r="K4420" s="30"/>
    </row>
    <row r="4421" spans="1:11" s="2" customFormat="1" x14ac:dyDescent="0.25">
      <c r="A4421" s="28" t="s">
        <v>6801</v>
      </c>
      <c r="B4421" s="29">
        <v>6</v>
      </c>
      <c r="C4421" s="28"/>
      <c r="D4421" s="28" t="s">
        <v>0</v>
      </c>
      <c r="E4421" s="3"/>
      <c r="H4421" s="7"/>
      <c r="K4421" s="30"/>
    </row>
    <row r="4422" spans="1:11" s="2" customFormat="1" x14ac:dyDescent="0.25">
      <c r="A4422" s="28" t="s">
        <v>2768</v>
      </c>
      <c r="B4422" s="29">
        <v>6</v>
      </c>
      <c r="C4422" s="28"/>
      <c r="D4422" s="28" t="s">
        <v>0</v>
      </c>
      <c r="E4422" s="3"/>
      <c r="H4422" s="7"/>
      <c r="K4422" s="30"/>
    </row>
    <row r="4423" spans="1:11" s="2" customFormat="1" x14ac:dyDescent="0.25">
      <c r="A4423" s="28" t="s">
        <v>953</v>
      </c>
      <c r="B4423" s="29">
        <v>20</v>
      </c>
      <c r="C4423" s="28"/>
      <c r="D4423" s="28" t="s">
        <v>0</v>
      </c>
      <c r="E4423" s="3"/>
      <c r="H4423" s="7"/>
      <c r="K4423" s="30"/>
    </row>
    <row r="4424" spans="1:11" s="2" customFormat="1" x14ac:dyDescent="0.25">
      <c r="A4424" s="28" t="s">
        <v>6802</v>
      </c>
      <c r="B4424" s="29">
        <v>4</v>
      </c>
      <c r="C4424" s="28"/>
      <c r="D4424" s="28" t="s">
        <v>0</v>
      </c>
      <c r="E4424" s="3"/>
      <c r="H4424" s="7"/>
      <c r="K4424" s="30"/>
    </row>
    <row r="4425" spans="1:11" s="2" customFormat="1" x14ac:dyDescent="0.25">
      <c r="A4425" s="28" t="s">
        <v>23</v>
      </c>
      <c r="B4425" s="29">
        <v>10</v>
      </c>
      <c r="C4425" s="28"/>
      <c r="D4425" s="28" t="s">
        <v>0</v>
      </c>
      <c r="E4425" s="3"/>
      <c r="H4425" s="7"/>
      <c r="K4425" s="30"/>
    </row>
    <row r="4426" spans="1:11" s="2" customFormat="1" x14ac:dyDescent="0.25">
      <c r="A4426" s="28" t="s">
        <v>6803</v>
      </c>
      <c r="B4426" s="29">
        <v>23</v>
      </c>
      <c r="C4426" s="28"/>
      <c r="D4426" s="28" t="s">
        <v>0</v>
      </c>
      <c r="E4426" s="3"/>
      <c r="H4426" s="7"/>
      <c r="K4426" s="30"/>
    </row>
    <row r="4427" spans="1:11" s="2" customFormat="1" x14ac:dyDescent="0.25">
      <c r="A4427" s="28" t="s">
        <v>6804</v>
      </c>
      <c r="B4427" s="29">
        <v>47</v>
      </c>
      <c r="C4427" s="28"/>
      <c r="D4427" s="28" t="s">
        <v>0</v>
      </c>
      <c r="E4427" s="3"/>
      <c r="H4427" s="7"/>
      <c r="K4427" s="30"/>
    </row>
    <row r="4428" spans="1:11" s="2" customFormat="1" x14ac:dyDescent="0.25">
      <c r="A4428" s="28" t="s">
        <v>6805</v>
      </c>
      <c r="B4428" s="29">
        <v>47</v>
      </c>
      <c r="C4428" s="28"/>
      <c r="D4428" s="28" t="s">
        <v>0</v>
      </c>
      <c r="E4428" s="3"/>
      <c r="H4428" s="7"/>
      <c r="K4428" s="30"/>
    </row>
    <row r="4429" spans="1:11" s="2" customFormat="1" x14ac:dyDescent="0.25">
      <c r="A4429" s="28" t="s">
        <v>6806</v>
      </c>
      <c r="B4429" s="29">
        <v>46</v>
      </c>
      <c r="C4429" s="28"/>
      <c r="D4429" s="28" t="s">
        <v>0</v>
      </c>
      <c r="E4429" s="3"/>
      <c r="H4429" s="7"/>
      <c r="K4429" s="30"/>
    </row>
    <row r="4430" spans="1:11" s="2" customFormat="1" x14ac:dyDescent="0.25">
      <c r="A4430" s="28" t="s">
        <v>6807</v>
      </c>
      <c r="B4430" s="29">
        <v>45</v>
      </c>
      <c r="C4430" s="28"/>
      <c r="D4430" s="28" t="s">
        <v>0</v>
      </c>
      <c r="E4430" s="3"/>
      <c r="H4430" s="7"/>
      <c r="K4430" s="30"/>
    </row>
    <row r="4431" spans="1:11" s="2" customFormat="1" x14ac:dyDescent="0.25">
      <c r="A4431" s="28" t="s">
        <v>6808</v>
      </c>
      <c r="B4431" s="29">
        <v>24</v>
      </c>
      <c r="C4431" s="28"/>
      <c r="D4431" s="28" t="s">
        <v>0</v>
      </c>
      <c r="E4431" s="3"/>
      <c r="H4431" s="7"/>
      <c r="K4431" s="30"/>
    </row>
    <row r="4432" spans="1:11" s="2" customFormat="1" x14ac:dyDescent="0.25">
      <c r="A4432" s="28" t="s">
        <v>6809</v>
      </c>
      <c r="B4432" s="29">
        <v>3</v>
      </c>
      <c r="C4432" s="28"/>
      <c r="D4432" s="28" t="s">
        <v>0</v>
      </c>
      <c r="E4432" s="3"/>
      <c r="H4432" s="7"/>
      <c r="K4432" s="30"/>
    </row>
    <row r="4433" spans="1:11" s="2" customFormat="1" x14ac:dyDescent="0.25">
      <c r="A4433" s="28" t="s">
        <v>6810</v>
      </c>
      <c r="B4433" s="29">
        <v>21</v>
      </c>
      <c r="C4433" s="28"/>
      <c r="D4433" s="28" t="s">
        <v>0</v>
      </c>
      <c r="E4433" s="3"/>
      <c r="H4433" s="7"/>
      <c r="K4433" s="30"/>
    </row>
    <row r="4434" spans="1:11" s="2" customFormat="1" x14ac:dyDescent="0.25">
      <c r="A4434" s="28" t="s">
        <v>999</v>
      </c>
      <c r="B4434" s="29">
        <v>22</v>
      </c>
      <c r="C4434" s="28"/>
      <c r="D4434" s="28" t="s">
        <v>0</v>
      </c>
      <c r="E4434" s="3"/>
      <c r="H4434" s="7"/>
      <c r="K4434" s="30"/>
    </row>
    <row r="4435" spans="1:11" s="2" customFormat="1" x14ac:dyDescent="0.25">
      <c r="A4435" s="28" t="s">
        <v>6811</v>
      </c>
      <c r="B4435" s="29">
        <v>50</v>
      </c>
      <c r="C4435" s="28"/>
      <c r="D4435" s="28" t="s">
        <v>0</v>
      </c>
      <c r="E4435" s="3"/>
      <c r="H4435" s="7"/>
      <c r="K4435" s="30"/>
    </row>
    <row r="4436" spans="1:11" s="2" customFormat="1" x14ac:dyDescent="0.25">
      <c r="A4436" s="28" t="s">
        <v>6812</v>
      </c>
      <c r="B4436" s="29">
        <v>26</v>
      </c>
      <c r="C4436" s="28"/>
      <c r="D4436" s="28" t="s">
        <v>0</v>
      </c>
      <c r="E4436" s="3"/>
      <c r="H4436" s="7"/>
      <c r="K4436" s="30"/>
    </row>
    <row r="4437" spans="1:11" s="2" customFormat="1" x14ac:dyDescent="0.25">
      <c r="A4437" s="28" t="s">
        <v>1892</v>
      </c>
      <c r="B4437" s="29">
        <v>6</v>
      </c>
      <c r="C4437" s="28"/>
      <c r="D4437" s="28" t="s">
        <v>0</v>
      </c>
      <c r="E4437" s="3"/>
      <c r="H4437" s="7"/>
      <c r="K4437" s="30"/>
    </row>
    <row r="4438" spans="1:11" s="2" customFormat="1" x14ac:dyDescent="0.25">
      <c r="A4438" s="28" t="s">
        <v>6813</v>
      </c>
      <c r="B4438" s="29">
        <v>22</v>
      </c>
      <c r="C4438" s="28"/>
      <c r="D4438" s="28" t="s">
        <v>0</v>
      </c>
      <c r="E4438" s="3"/>
      <c r="H4438" s="7"/>
      <c r="K4438" s="30"/>
    </row>
    <row r="4439" spans="1:11" s="2" customFormat="1" x14ac:dyDescent="0.25">
      <c r="A4439" s="28" t="s">
        <v>6814</v>
      </c>
      <c r="B4439" s="29">
        <v>5</v>
      </c>
      <c r="C4439" s="28"/>
      <c r="D4439" s="28" t="s">
        <v>0</v>
      </c>
      <c r="E4439" s="3"/>
      <c r="H4439" s="7"/>
      <c r="K4439" s="30"/>
    </row>
    <row r="4440" spans="1:11" s="2" customFormat="1" x14ac:dyDescent="0.25">
      <c r="A4440" s="28" t="s">
        <v>6815</v>
      </c>
      <c r="B4440" s="29">
        <v>21</v>
      </c>
      <c r="C4440" s="28"/>
      <c r="D4440" s="28" t="s">
        <v>0</v>
      </c>
      <c r="E4440" s="3"/>
      <c r="H4440" s="7"/>
      <c r="K4440" s="30"/>
    </row>
    <row r="4441" spans="1:11" s="2" customFormat="1" x14ac:dyDescent="0.25">
      <c r="A4441" s="28" t="s">
        <v>6816</v>
      </c>
      <c r="B4441" s="29">
        <v>29</v>
      </c>
      <c r="C4441" s="28"/>
      <c r="D4441" s="28" t="s">
        <v>0</v>
      </c>
      <c r="E4441" s="3"/>
      <c r="H4441" s="7"/>
      <c r="K4441" s="30"/>
    </row>
    <row r="4442" spans="1:11" s="2" customFormat="1" x14ac:dyDescent="0.25">
      <c r="A4442" s="28" t="s">
        <v>497</v>
      </c>
      <c r="B4442" s="29">
        <v>12</v>
      </c>
      <c r="C4442" s="28"/>
      <c r="D4442" s="28" t="s">
        <v>0</v>
      </c>
      <c r="E4442" s="3"/>
      <c r="H4442" s="7"/>
      <c r="K4442" s="30"/>
    </row>
    <row r="4443" spans="1:11" s="2" customFormat="1" x14ac:dyDescent="0.25">
      <c r="A4443" s="28" t="s">
        <v>6817</v>
      </c>
      <c r="B4443" s="29">
        <v>8</v>
      </c>
      <c r="C4443" s="28"/>
      <c r="D4443" s="28" t="s">
        <v>0</v>
      </c>
      <c r="E4443" s="3"/>
      <c r="H4443" s="7"/>
      <c r="K4443" s="30"/>
    </row>
    <row r="4444" spans="1:11" s="2" customFormat="1" x14ac:dyDescent="0.25">
      <c r="A4444" s="28" t="s">
        <v>6818</v>
      </c>
      <c r="B4444" s="29">
        <v>8</v>
      </c>
      <c r="C4444" s="28"/>
      <c r="D4444" s="28" t="s">
        <v>0</v>
      </c>
      <c r="E4444" s="3"/>
      <c r="H4444" s="7"/>
      <c r="K4444" s="30"/>
    </row>
    <row r="4445" spans="1:11" s="2" customFormat="1" x14ac:dyDescent="0.25">
      <c r="A4445" s="28" t="s">
        <v>2300</v>
      </c>
      <c r="B4445" s="29">
        <v>1</v>
      </c>
      <c r="C4445" s="28"/>
      <c r="D4445" s="28" t="s">
        <v>0</v>
      </c>
      <c r="E4445" s="3"/>
      <c r="H4445" s="7"/>
      <c r="K4445" s="30"/>
    </row>
    <row r="4446" spans="1:11" s="2" customFormat="1" x14ac:dyDescent="0.25">
      <c r="A4446" s="28" t="s">
        <v>6819</v>
      </c>
      <c r="B4446" s="29">
        <v>50</v>
      </c>
      <c r="C4446" s="28"/>
      <c r="D4446" s="28" t="s">
        <v>0</v>
      </c>
      <c r="E4446" s="3"/>
      <c r="H4446" s="7"/>
      <c r="K4446" s="30"/>
    </row>
    <row r="4447" spans="1:11" s="2" customFormat="1" x14ac:dyDescent="0.25">
      <c r="A4447" s="28" t="s">
        <v>6820</v>
      </c>
      <c r="B4447" s="29">
        <v>4</v>
      </c>
      <c r="C4447" s="28"/>
      <c r="D4447" s="28" t="s">
        <v>0</v>
      </c>
      <c r="E4447" s="3"/>
      <c r="H4447" s="7"/>
      <c r="K4447" s="30"/>
    </row>
    <row r="4448" spans="1:11" s="2" customFormat="1" x14ac:dyDescent="0.25">
      <c r="A4448" s="28" t="s">
        <v>6821</v>
      </c>
      <c r="B4448" s="29">
        <v>16</v>
      </c>
      <c r="C4448" s="28"/>
      <c r="D4448" s="28" t="s">
        <v>0</v>
      </c>
      <c r="E4448" s="3"/>
      <c r="H4448" s="7"/>
      <c r="K4448" s="30"/>
    </row>
    <row r="4449" spans="1:11" s="2" customFormat="1" x14ac:dyDescent="0.25">
      <c r="A4449" s="28" t="s">
        <v>6822</v>
      </c>
      <c r="B4449" s="29">
        <v>40</v>
      </c>
      <c r="C4449" s="28"/>
      <c r="D4449" s="28" t="s">
        <v>0</v>
      </c>
      <c r="E4449" s="3"/>
      <c r="H4449" s="7"/>
      <c r="K4449" s="30"/>
    </row>
    <row r="4450" spans="1:11" s="2" customFormat="1" x14ac:dyDescent="0.25">
      <c r="A4450" s="28" t="s">
        <v>6823</v>
      </c>
      <c r="B4450" s="29">
        <v>27</v>
      </c>
      <c r="C4450" s="28"/>
      <c r="D4450" s="28" t="s">
        <v>0</v>
      </c>
      <c r="E4450" s="3"/>
      <c r="H4450" s="7"/>
      <c r="K4450" s="30"/>
    </row>
    <row r="4451" spans="1:11" s="2" customFormat="1" x14ac:dyDescent="0.25">
      <c r="A4451" s="28" t="s">
        <v>6824</v>
      </c>
      <c r="B4451" s="29">
        <v>17</v>
      </c>
      <c r="C4451" s="28"/>
      <c r="D4451" s="28" t="s">
        <v>0</v>
      </c>
      <c r="E4451" s="3"/>
      <c r="H4451" s="7"/>
      <c r="K4451" s="30"/>
    </row>
    <row r="4452" spans="1:11" s="2" customFormat="1" x14ac:dyDescent="0.25">
      <c r="A4452" s="28" t="s">
        <v>6825</v>
      </c>
      <c r="B4452" s="29">
        <v>4</v>
      </c>
      <c r="C4452" s="28"/>
      <c r="D4452" s="28" t="s">
        <v>0</v>
      </c>
      <c r="E4452" s="3"/>
      <c r="H4452" s="7"/>
      <c r="K4452" s="30"/>
    </row>
    <row r="4453" spans="1:11" s="2" customFormat="1" x14ac:dyDescent="0.25">
      <c r="A4453" s="28" t="s">
        <v>6826</v>
      </c>
      <c r="B4453" s="29">
        <v>16</v>
      </c>
      <c r="C4453" s="28"/>
      <c r="D4453" s="28" t="s">
        <v>0</v>
      </c>
      <c r="E4453" s="3"/>
      <c r="H4453" s="7"/>
      <c r="K4453" s="30"/>
    </row>
    <row r="4454" spans="1:11" s="2" customFormat="1" x14ac:dyDescent="0.25">
      <c r="A4454" s="28" t="s">
        <v>6827</v>
      </c>
      <c r="B4454" s="29">
        <v>11</v>
      </c>
      <c r="C4454" s="28"/>
      <c r="D4454" s="28" t="s">
        <v>0</v>
      </c>
      <c r="E4454" s="3"/>
      <c r="H4454" s="7"/>
      <c r="K4454" s="30"/>
    </row>
    <row r="4455" spans="1:11" s="2" customFormat="1" x14ac:dyDescent="0.25">
      <c r="A4455" s="28" t="s">
        <v>6828</v>
      </c>
      <c r="B4455" s="29">
        <v>10</v>
      </c>
      <c r="C4455" s="28"/>
      <c r="D4455" s="28" t="s">
        <v>0</v>
      </c>
      <c r="E4455" s="3"/>
      <c r="H4455" s="7"/>
      <c r="K4455" s="30"/>
    </row>
    <row r="4456" spans="1:11" s="2" customFormat="1" x14ac:dyDescent="0.25">
      <c r="A4456" s="28" t="s">
        <v>6829</v>
      </c>
      <c r="B4456" s="29">
        <v>7</v>
      </c>
      <c r="C4456" s="28"/>
      <c r="D4456" s="28" t="s">
        <v>0</v>
      </c>
      <c r="E4456" s="3"/>
      <c r="H4456" s="7"/>
      <c r="K4456" s="30"/>
    </row>
    <row r="4457" spans="1:11" s="2" customFormat="1" x14ac:dyDescent="0.25">
      <c r="A4457" s="28" t="s">
        <v>6830</v>
      </c>
      <c r="B4457" s="29">
        <v>12</v>
      </c>
      <c r="C4457" s="28"/>
      <c r="D4457" s="28" t="s">
        <v>0</v>
      </c>
      <c r="E4457" s="3"/>
      <c r="H4457" s="7"/>
      <c r="K4457" s="30"/>
    </row>
    <row r="4458" spans="1:11" s="2" customFormat="1" x14ac:dyDescent="0.25">
      <c r="A4458" s="28" t="s">
        <v>6831</v>
      </c>
      <c r="B4458" s="29">
        <v>14</v>
      </c>
      <c r="C4458" s="28"/>
      <c r="D4458" s="28" t="s">
        <v>0</v>
      </c>
      <c r="E4458" s="3"/>
      <c r="H4458" s="7"/>
      <c r="K4458" s="30"/>
    </row>
    <row r="4459" spans="1:11" s="2" customFormat="1" x14ac:dyDescent="0.25">
      <c r="A4459" s="28" t="s">
        <v>6832</v>
      </c>
      <c r="B4459" s="29">
        <v>6</v>
      </c>
      <c r="C4459" s="28"/>
      <c r="D4459" s="28" t="s">
        <v>0</v>
      </c>
      <c r="E4459" s="3"/>
      <c r="H4459" s="7"/>
      <c r="K4459" s="30"/>
    </row>
    <row r="4460" spans="1:11" s="2" customFormat="1" x14ac:dyDescent="0.25">
      <c r="A4460" s="28" t="s">
        <v>6833</v>
      </c>
      <c r="B4460" s="29">
        <v>20</v>
      </c>
      <c r="C4460" s="28"/>
      <c r="D4460" s="28" t="s">
        <v>0</v>
      </c>
      <c r="E4460" s="3"/>
      <c r="H4460" s="7"/>
      <c r="K4460" s="30"/>
    </row>
    <row r="4461" spans="1:11" s="2" customFormat="1" x14ac:dyDescent="0.25">
      <c r="A4461" s="28" t="s">
        <v>6834</v>
      </c>
      <c r="B4461" s="29">
        <v>20</v>
      </c>
      <c r="C4461" s="28"/>
      <c r="D4461" s="28" t="s">
        <v>0</v>
      </c>
      <c r="E4461" s="3"/>
      <c r="H4461" s="7"/>
      <c r="K4461" s="30"/>
    </row>
    <row r="4462" spans="1:11" s="2" customFormat="1" x14ac:dyDescent="0.25">
      <c r="A4462" s="28" t="s">
        <v>6835</v>
      </c>
      <c r="B4462" s="29">
        <v>8</v>
      </c>
      <c r="C4462" s="28"/>
      <c r="D4462" s="28" t="s">
        <v>0</v>
      </c>
      <c r="E4462" s="3"/>
      <c r="H4462" s="7"/>
      <c r="K4462" s="30"/>
    </row>
    <row r="4463" spans="1:11" s="2" customFormat="1" x14ac:dyDescent="0.25">
      <c r="A4463" s="28" t="s">
        <v>6836</v>
      </c>
      <c r="B4463" s="29">
        <v>11</v>
      </c>
      <c r="C4463" s="28"/>
      <c r="D4463" s="28" t="s">
        <v>0</v>
      </c>
      <c r="E4463" s="3"/>
      <c r="H4463" s="7"/>
      <c r="K4463" s="30"/>
    </row>
    <row r="4464" spans="1:11" s="2" customFormat="1" x14ac:dyDescent="0.25">
      <c r="A4464" s="28" t="s">
        <v>6837</v>
      </c>
      <c r="B4464" s="29">
        <v>6</v>
      </c>
      <c r="C4464" s="28"/>
      <c r="D4464" s="28" t="s">
        <v>0</v>
      </c>
      <c r="E4464" s="3"/>
      <c r="H4464" s="7"/>
      <c r="K4464" s="30"/>
    </row>
    <row r="4465" spans="1:11" s="2" customFormat="1" x14ac:dyDescent="0.25">
      <c r="A4465" s="28" t="s">
        <v>6838</v>
      </c>
      <c r="B4465" s="29">
        <v>5</v>
      </c>
      <c r="C4465" s="28"/>
      <c r="D4465" s="28" t="s">
        <v>0</v>
      </c>
      <c r="E4465" s="3"/>
      <c r="H4465" s="7"/>
      <c r="K4465" s="30"/>
    </row>
    <row r="4466" spans="1:11" s="2" customFormat="1" x14ac:dyDescent="0.25">
      <c r="A4466" s="28" t="s">
        <v>6839</v>
      </c>
      <c r="B4466" s="29">
        <v>12</v>
      </c>
      <c r="C4466" s="28"/>
      <c r="D4466" s="28" t="s">
        <v>0</v>
      </c>
      <c r="E4466" s="3"/>
      <c r="H4466" s="7"/>
      <c r="K4466" s="30"/>
    </row>
    <row r="4467" spans="1:11" s="2" customFormat="1" x14ac:dyDescent="0.25">
      <c r="A4467" s="28" t="s">
        <v>434</v>
      </c>
      <c r="B4467" s="29">
        <v>11</v>
      </c>
      <c r="C4467" s="28"/>
      <c r="D4467" s="28" t="s">
        <v>0</v>
      </c>
      <c r="E4467" s="3"/>
      <c r="H4467" s="7"/>
      <c r="K4467" s="30"/>
    </row>
    <row r="4468" spans="1:11" s="2" customFormat="1" x14ac:dyDescent="0.25">
      <c r="A4468" s="28" t="s">
        <v>6840</v>
      </c>
      <c r="B4468" s="29">
        <v>12</v>
      </c>
      <c r="C4468" s="28"/>
      <c r="D4468" s="28" t="s">
        <v>0</v>
      </c>
      <c r="E4468" s="3"/>
      <c r="H4468" s="7"/>
      <c r="K4468" s="30"/>
    </row>
    <row r="4469" spans="1:11" s="2" customFormat="1" x14ac:dyDescent="0.25">
      <c r="A4469" s="28" t="s">
        <v>435</v>
      </c>
      <c r="B4469" s="29">
        <v>8</v>
      </c>
      <c r="C4469" s="28"/>
      <c r="D4469" s="28" t="s">
        <v>0</v>
      </c>
      <c r="E4469" s="3"/>
      <c r="H4469" s="7"/>
      <c r="K4469" s="30"/>
    </row>
    <row r="4470" spans="1:11" s="2" customFormat="1" x14ac:dyDescent="0.25">
      <c r="A4470" s="28" t="s">
        <v>6841</v>
      </c>
      <c r="B4470" s="29">
        <v>8</v>
      </c>
      <c r="C4470" s="28"/>
      <c r="D4470" s="28" t="s">
        <v>0</v>
      </c>
      <c r="E4470" s="3"/>
      <c r="H4470" s="7"/>
      <c r="K4470" s="30"/>
    </row>
    <row r="4471" spans="1:11" s="2" customFormat="1" x14ac:dyDescent="0.25">
      <c r="A4471" s="28" t="s">
        <v>6842</v>
      </c>
      <c r="B4471" s="29">
        <v>3</v>
      </c>
      <c r="C4471" s="28"/>
      <c r="D4471" s="28" t="s">
        <v>0</v>
      </c>
      <c r="E4471" s="3"/>
      <c r="H4471" s="7"/>
      <c r="K4471" s="30"/>
    </row>
    <row r="4472" spans="1:11" s="2" customFormat="1" x14ac:dyDescent="0.25">
      <c r="A4472" s="28" t="s">
        <v>6843</v>
      </c>
      <c r="B4472" s="29">
        <v>20</v>
      </c>
      <c r="C4472" s="28"/>
      <c r="D4472" s="28" t="s">
        <v>0</v>
      </c>
      <c r="E4472" s="3"/>
      <c r="H4472" s="7"/>
      <c r="K4472" s="30"/>
    </row>
    <row r="4473" spans="1:11" s="2" customFormat="1" x14ac:dyDescent="0.25">
      <c r="A4473" s="28" t="s">
        <v>6844</v>
      </c>
      <c r="B4473" s="29">
        <v>3</v>
      </c>
      <c r="C4473" s="28"/>
      <c r="D4473" s="28" t="s">
        <v>0</v>
      </c>
      <c r="E4473" s="3"/>
      <c r="H4473" s="7"/>
      <c r="K4473" s="30"/>
    </row>
    <row r="4474" spans="1:11" s="2" customFormat="1" x14ac:dyDescent="0.25">
      <c r="A4474" s="28" t="s">
        <v>6845</v>
      </c>
      <c r="B4474" s="29">
        <v>2</v>
      </c>
      <c r="C4474" s="28"/>
      <c r="D4474" s="28" t="s">
        <v>0</v>
      </c>
      <c r="E4474" s="3"/>
      <c r="H4474" s="7"/>
      <c r="K4474" s="30"/>
    </row>
    <row r="4475" spans="1:11" s="2" customFormat="1" x14ac:dyDescent="0.25">
      <c r="A4475" s="28" t="s">
        <v>6846</v>
      </c>
      <c r="B4475" s="29">
        <v>12</v>
      </c>
      <c r="C4475" s="28"/>
      <c r="D4475" s="28" t="s">
        <v>0</v>
      </c>
      <c r="E4475" s="3"/>
      <c r="H4475" s="7"/>
      <c r="K4475" s="30"/>
    </row>
    <row r="4476" spans="1:11" s="2" customFormat="1" x14ac:dyDescent="0.25">
      <c r="A4476" s="28" t="s">
        <v>6847</v>
      </c>
      <c r="B4476" s="29">
        <v>12</v>
      </c>
      <c r="C4476" s="28"/>
      <c r="D4476" s="28" t="s">
        <v>0</v>
      </c>
      <c r="E4476" s="3"/>
      <c r="H4476" s="7"/>
      <c r="K4476" s="30"/>
    </row>
    <row r="4477" spans="1:11" s="2" customFormat="1" x14ac:dyDescent="0.25">
      <c r="A4477" s="28" t="s">
        <v>1387</v>
      </c>
      <c r="B4477" s="29">
        <v>11</v>
      </c>
      <c r="C4477" s="28"/>
      <c r="D4477" s="28" t="s">
        <v>0</v>
      </c>
      <c r="E4477" s="3"/>
      <c r="H4477" s="7"/>
      <c r="K4477" s="30"/>
    </row>
    <row r="4478" spans="1:11" s="2" customFormat="1" x14ac:dyDescent="0.25">
      <c r="A4478" s="28" t="s">
        <v>6848</v>
      </c>
      <c r="B4478" s="29">
        <v>20</v>
      </c>
      <c r="C4478" s="28"/>
      <c r="D4478" s="28" t="s">
        <v>0</v>
      </c>
      <c r="E4478" s="3"/>
      <c r="H4478" s="7"/>
      <c r="K4478" s="30"/>
    </row>
    <row r="4479" spans="1:11" s="2" customFormat="1" x14ac:dyDescent="0.25">
      <c r="A4479" s="28" t="s">
        <v>372</v>
      </c>
      <c r="B4479" s="29">
        <v>18</v>
      </c>
      <c r="C4479" s="28"/>
      <c r="D4479" s="28" t="s">
        <v>0</v>
      </c>
      <c r="E4479" s="3"/>
      <c r="H4479" s="7"/>
      <c r="K4479" s="30"/>
    </row>
    <row r="4480" spans="1:11" s="2" customFormat="1" x14ac:dyDescent="0.25">
      <c r="A4480" s="28" t="s">
        <v>6849</v>
      </c>
      <c r="B4480" s="29">
        <v>18</v>
      </c>
      <c r="C4480" s="28"/>
      <c r="D4480" s="28" t="s">
        <v>0</v>
      </c>
      <c r="E4480" s="3"/>
      <c r="H4480" s="7"/>
      <c r="K4480" s="30"/>
    </row>
    <row r="4481" spans="1:11" s="2" customFormat="1" x14ac:dyDescent="0.25">
      <c r="A4481" s="28" t="s">
        <v>6850</v>
      </c>
      <c r="B4481" s="29">
        <v>5</v>
      </c>
      <c r="C4481" s="28"/>
      <c r="D4481" s="28" t="s">
        <v>0</v>
      </c>
      <c r="E4481" s="3"/>
      <c r="H4481" s="7"/>
      <c r="K4481" s="30"/>
    </row>
    <row r="4482" spans="1:11" s="2" customFormat="1" x14ac:dyDescent="0.25">
      <c r="A4482" s="28" t="s">
        <v>482</v>
      </c>
      <c r="B4482" s="29">
        <v>42</v>
      </c>
      <c r="C4482" s="28"/>
      <c r="D4482" s="28" t="s">
        <v>0</v>
      </c>
      <c r="E4482" s="3"/>
      <c r="H4482" s="7"/>
      <c r="K4482" s="30"/>
    </row>
    <row r="4483" spans="1:11" s="2" customFormat="1" x14ac:dyDescent="0.25">
      <c r="A4483" s="28" t="s">
        <v>6851</v>
      </c>
      <c r="B4483" s="29">
        <v>5</v>
      </c>
      <c r="C4483" s="28"/>
      <c r="D4483" s="28" t="s">
        <v>0</v>
      </c>
      <c r="E4483" s="3"/>
      <c r="H4483" s="7"/>
      <c r="K4483" s="30"/>
    </row>
    <row r="4484" spans="1:11" s="2" customFormat="1" x14ac:dyDescent="0.25">
      <c r="A4484" s="28" t="s">
        <v>6852</v>
      </c>
      <c r="B4484" s="29">
        <v>12</v>
      </c>
      <c r="C4484" s="28"/>
      <c r="D4484" s="28" t="s">
        <v>0</v>
      </c>
      <c r="E4484" s="3"/>
      <c r="H4484" s="7"/>
      <c r="K4484" s="30"/>
    </row>
    <row r="4485" spans="1:11" s="2" customFormat="1" x14ac:dyDescent="0.25">
      <c r="A4485" s="28" t="s">
        <v>325</v>
      </c>
      <c r="B4485" s="29">
        <v>14</v>
      </c>
      <c r="C4485" s="28"/>
      <c r="D4485" s="28" t="s">
        <v>0</v>
      </c>
      <c r="E4485" s="3"/>
      <c r="H4485" s="7"/>
      <c r="K4485" s="30"/>
    </row>
    <row r="4486" spans="1:11" s="2" customFormat="1" x14ac:dyDescent="0.25">
      <c r="A4486" s="28" t="s">
        <v>654</v>
      </c>
      <c r="B4486" s="29">
        <v>8</v>
      </c>
      <c r="C4486" s="28"/>
      <c r="D4486" s="28" t="s">
        <v>0</v>
      </c>
      <c r="E4486" s="3"/>
      <c r="H4486" s="7"/>
      <c r="K4486" s="30"/>
    </row>
    <row r="4487" spans="1:11" s="2" customFormat="1" x14ac:dyDescent="0.25">
      <c r="A4487" s="28" t="s">
        <v>938</v>
      </c>
      <c r="B4487" s="29">
        <v>38</v>
      </c>
      <c r="C4487" s="28"/>
      <c r="D4487" s="28" t="s">
        <v>0</v>
      </c>
      <c r="E4487" s="3"/>
      <c r="H4487" s="7"/>
      <c r="K4487" s="30"/>
    </row>
    <row r="4488" spans="1:11" s="2" customFormat="1" x14ac:dyDescent="0.25">
      <c r="A4488" s="28" t="s">
        <v>6853</v>
      </c>
      <c r="B4488" s="29">
        <v>8</v>
      </c>
      <c r="C4488" s="28"/>
      <c r="D4488" s="28" t="s">
        <v>0</v>
      </c>
      <c r="E4488" s="3"/>
      <c r="H4488" s="7"/>
      <c r="K4488" s="30"/>
    </row>
    <row r="4489" spans="1:11" s="2" customFormat="1" x14ac:dyDescent="0.25">
      <c r="A4489" s="28" t="s">
        <v>6854</v>
      </c>
      <c r="B4489" s="29">
        <v>8</v>
      </c>
      <c r="C4489" s="28"/>
      <c r="D4489" s="28" t="s">
        <v>0</v>
      </c>
      <c r="E4489" s="3"/>
      <c r="H4489" s="7"/>
      <c r="K4489" s="30"/>
    </row>
    <row r="4490" spans="1:11" s="2" customFormat="1" x14ac:dyDescent="0.25">
      <c r="A4490" s="28" t="s">
        <v>6855</v>
      </c>
      <c r="B4490" s="29">
        <v>15</v>
      </c>
      <c r="C4490" s="28"/>
      <c r="D4490" s="28" t="s">
        <v>0</v>
      </c>
      <c r="E4490" s="3"/>
      <c r="H4490" s="7"/>
      <c r="K4490" s="30"/>
    </row>
    <row r="4491" spans="1:11" s="2" customFormat="1" x14ac:dyDescent="0.25">
      <c r="A4491" s="28" t="s">
        <v>6856</v>
      </c>
      <c r="B4491" s="29">
        <v>9</v>
      </c>
      <c r="C4491" s="28"/>
      <c r="D4491" s="28" t="s">
        <v>0</v>
      </c>
      <c r="E4491" s="3"/>
      <c r="H4491" s="7"/>
      <c r="K4491" s="30"/>
    </row>
    <row r="4492" spans="1:11" s="2" customFormat="1" x14ac:dyDescent="0.25">
      <c r="A4492" s="28" t="s">
        <v>6857</v>
      </c>
      <c r="B4492" s="29">
        <v>12</v>
      </c>
      <c r="C4492" s="28"/>
      <c r="D4492" s="28" t="s">
        <v>0</v>
      </c>
      <c r="E4492" s="3"/>
      <c r="H4492" s="7"/>
      <c r="K4492" s="30"/>
    </row>
    <row r="4493" spans="1:11" s="2" customFormat="1" x14ac:dyDescent="0.25">
      <c r="A4493" s="28" t="s">
        <v>6858</v>
      </c>
      <c r="B4493" s="29">
        <v>16</v>
      </c>
      <c r="C4493" s="28"/>
      <c r="D4493" s="28" t="s">
        <v>0</v>
      </c>
      <c r="E4493" s="3"/>
      <c r="H4493" s="7"/>
      <c r="K4493" s="30"/>
    </row>
    <row r="4494" spans="1:11" s="2" customFormat="1" x14ac:dyDescent="0.25">
      <c r="A4494" s="28" t="s">
        <v>6859</v>
      </c>
      <c r="B4494" s="29">
        <v>8</v>
      </c>
      <c r="C4494" s="28"/>
      <c r="D4494" s="28" t="s">
        <v>0</v>
      </c>
      <c r="E4494" s="3"/>
      <c r="H4494" s="7"/>
      <c r="K4494" s="30"/>
    </row>
    <row r="4495" spans="1:11" s="2" customFormat="1" x14ac:dyDescent="0.25">
      <c r="A4495" s="28" t="s">
        <v>6860</v>
      </c>
      <c r="B4495" s="29">
        <v>9</v>
      </c>
      <c r="C4495" s="28"/>
      <c r="D4495" s="28" t="s">
        <v>0</v>
      </c>
      <c r="E4495" s="3"/>
      <c r="H4495" s="7"/>
      <c r="K4495" s="30"/>
    </row>
    <row r="4496" spans="1:11" s="2" customFormat="1" x14ac:dyDescent="0.25">
      <c r="A4496" s="28" t="s">
        <v>6861</v>
      </c>
      <c r="B4496" s="29">
        <v>12</v>
      </c>
      <c r="C4496" s="28"/>
      <c r="D4496" s="28" t="s">
        <v>0</v>
      </c>
      <c r="E4496" s="3"/>
      <c r="H4496" s="7"/>
      <c r="K4496" s="30"/>
    </row>
    <row r="4497" spans="1:11" s="2" customFormat="1" x14ac:dyDescent="0.25">
      <c r="A4497" s="28" t="s">
        <v>6862</v>
      </c>
      <c r="B4497" s="29">
        <v>8</v>
      </c>
      <c r="C4497" s="28"/>
      <c r="D4497" s="28" t="s">
        <v>0</v>
      </c>
      <c r="E4497" s="3"/>
      <c r="H4497" s="7"/>
      <c r="K4497" s="30"/>
    </row>
    <row r="4498" spans="1:11" s="2" customFormat="1" x14ac:dyDescent="0.25">
      <c r="A4498" s="28" t="s">
        <v>6863</v>
      </c>
      <c r="B4498" s="29">
        <v>13</v>
      </c>
      <c r="C4498" s="28"/>
      <c r="D4498" s="28" t="s">
        <v>0</v>
      </c>
      <c r="E4498" s="3"/>
      <c r="H4498" s="7"/>
      <c r="K4498" s="30"/>
    </row>
    <row r="4499" spans="1:11" s="2" customFormat="1" x14ac:dyDescent="0.25">
      <c r="A4499" s="28" t="s">
        <v>6864</v>
      </c>
      <c r="B4499" s="29">
        <v>9</v>
      </c>
      <c r="C4499" s="28"/>
      <c r="D4499" s="28" t="s">
        <v>0</v>
      </c>
      <c r="E4499" s="3"/>
      <c r="H4499" s="7"/>
      <c r="K4499" s="30"/>
    </row>
    <row r="4500" spans="1:11" s="2" customFormat="1" x14ac:dyDescent="0.25">
      <c r="A4500" s="28" t="s">
        <v>6865</v>
      </c>
      <c r="B4500" s="29">
        <v>14</v>
      </c>
      <c r="C4500" s="28"/>
      <c r="D4500" s="28" t="s">
        <v>0</v>
      </c>
      <c r="E4500" s="3"/>
      <c r="H4500" s="7"/>
      <c r="K4500" s="30"/>
    </row>
    <row r="4501" spans="1:11" s="2" customFormat="1" x14ac:dyDescent="0.25">
      <c r="A4501" s="28" t="s">
        <v>6866</v>
      </c>
      <c r="B4501" s="29">
        <v>6</v>
      </c>
      <c r="C4501" s="28"/>
      <c r="D4501" s="28" t="s">
        <v>0</v>
      </c>
      <c r="E4501" s="3"/>
      <c r="H4501" s="7"/>
      <c r="K4501" s="30"/>
    </row>
    <row r="4502" spans="1:11" s="2" customFormat="1" x14ac:dyDescent="0.25">
      <c r="A4502" s="28" t="s">
        <v>6867</v>
      </c>
      <c r="B4502" s="29">
        <v>3</v>
      </c>
      <c r="C4502" s="28"/>
      <c r="D4502" s="28" t="s">
        <v>0</v>
      </c>
      <c r="E4502" s="3"/>
      <c r="H4502" s="7"/>
      <c r="K4502" s="30"/>
    </row>
    <row r="4503" spans="1:11" s="2" customFormat="1" x14ac:dyDescent="0.25">
      <c r="A4503" s="28" t="s">
        <v>6868</v>
      </c>
      <c r="B4503" s="29">
        <v>9</v>
      </c>
      <c r="C4503" s="28"/>
      <c r="D4503" s="28" t="s">
        <v>0</v>
      </c>
      <c r="E4503" s="3"/>
      <c r="H4503" s="7"/>
      <c r="K4503" s="30"/>
    </row>
    <row r="4504" spans="1:11" s="2" customFormat="1" x14ac:dyDescent="0.25">
      <c r="A4504" s="28" t="s">
        <v>6869</v>
      </c>
      <c r="B4504" s="29">
        <v>9</v>
      </c>
      <c r="C4504" s="28"/>
      <c r="D4504" s="28" t="s">
        <v>0</v>
      </c>
      <c r="E4504" s="3"/>
      <c r="H4504" s="7"/>
      <c r="K4504" s="30"/>
    </row>
    <row r="4505" spans="1:11" s="2" customFormat="1" x14ac:dyDescent="0.25">
      <c r="A4505" s="28" t="s">
        <v>6870</v>
      </c>
      <c r="B4505" s="29">
        <v>4</v>
      </c>
      <c r="C4505" s="28"/>
      <c r="D4505" s="28" t="s">
        <v>0</v>
      </c>
      <c r="E4505" s="3"/>
      <c r="H4505" s="7"/>
      <c r="K4505" s="30"/>
    </row>
    <row r="4506" spans="1:11" s="2" customFormat="1" x14ac:dyDescent="0.25">
      <c r="A4506" s="28" t="s">
        <v>6871</v>
      </c>
      <c r="B4506" s="29">
        <v>4</v>
      </c>
      <c r="C4506" s="28"/>
      <c r="D4506" s="28" t="s">
        <v>0</v>
      </c>
      <c r="E4506" s="3"/>
      <c r="H4506" s="7"/>
      <c r="K4506" s="30"/>
    </row>
    <row r="4507" spans="1:11" s="2" customFormat="1" x14ac:dyDescent="0.25">
      <c r="A4507" s="28" t="s">
        <v>6872</v>
      </c>
      <c r="B4507" s="29">
        <v>4</v>
      </c>
      <c r="C4507" s="28"/>
      <c r="D4507" s="28" t="s">
        <v>0</v>
      </c>
      <c r="E4507" s="3"/>
      <c r="H4507" s="7"/>
      <c r="K4507" s="30"/>
    </row>
    <row r="4508" spans="1:11" s="2" customFormat="1" x14ac:dyDescent="0.25">
      <c r="A4508" s="28" t="s">
        <v>6873</v>
      </c>
      <c r="B4508" s="29">
        <v>4</v>
      </c>
      <c r="C4508" s="28"/>
      <c r="D4508" s="28" t="s">
        <v>0</v>
      </c>
      <c r="E4508" s="3"/>
      <c r="H4508" s="7"/>
      <c r="K4508" s="30"/>
    </row>
    <row r="4509" spans="1:11" s="2" customFormat="1" x14ac:dyDescent="0.25">
      <c r="A4509" s="28" t="s">
        <v>6874</v>
      </c>
      <c r="B4509" s="29">
        <v>8</v>
      </c>
      <c r="C4509" s="28"/>
      <c r="D4509" s="28" t="s">
        <v>0</v>
      </c>
      <c r="E4509" s="3"/>
      <c r="H4509" s="7"/>
      <c r="K4509" s="30"/>
    </row>
    <row r="4510" spans="1:11" s="2" customFormat="1" x14ac:dyDescent="0.25">
      <c r="A4510" s="28" t="s">
        <v>6875</v>
      </c>
      <c r="B4510" s="29">
        <v>8</v>
      </c>
      <c r="C4510" s="28"/>
      <c r="D4510" s="28" t="s">
        <v>0</v>
      </c>
      <c r="E4510" s="3"/>
      <c r="H4510" s="7"/>
      <c r="K4510" s="30"/>
    </row>
    <row r="4511" spans="1:11" s="2" customFormat="1" x14ac:dyDescent="0.25">
      <c r="A4511" s="28" t="s">
        <v>6876</v>
      </c>
      <c r="B4511" s="29">
        <v>8</v>
      </c>
      <c r="C4511" s="28"/>
      <c r="D4511" s="28" t="s">
        <v>0</v>
      </c>
      <c r="E4511" s="3"/>
      <c r="H4511" s="7"/>
      <c r="K4511" s="30"/>
    </row>
    <row r="4512" spans="1:11" s="2" customFormat="1" x14ac:dyDescent="0.25">
      <c r="A4512" s="28" t="s">
        <v>6877</v>
      </c>
      <c r="B4512" s="29">
        <v>6</v>
      </c>
      <c r="C4512" s="28"/>
      <c r="D4512" s="28" t="s">
        <v>0</v>
      </c>
      <c r="E4512" s="3"/>
      <c r="H4512" s="7"/>
      <c r="K4512" s="30"/>
    </row>
    <row r="4513" spans="1:11" s="2" customFormat="1" x14ac:dyDescent="0.25">
      <c r="A4513" s="28" t="s">
        <v>6878</v>
      </c>
      <c r="B4513" s="29">
        <v>6</v>
      </c>
      <c r="C4513" s="28"/>
      <c r="D4513" s="28" t="s">
        <v>0</v>
      </c>
      <c r="E4513" s="3"/>
      <c r="H4513" s="7"/>
      <c r="K4513" s="30"/>
    </row>
    <row r="4514" spans="1:11" s="2" customFormat="1" x14ac:dyDescent="0.25">
      <c r="A4514" s="28" t="s">
        <v>6879</v>
      </c>
      <c r="B4514" s="29">
        <v>8</v>
      </c>
      <c r="C4514" s="28"/>
      <c r="D4514" s="28" t="s">
        <v>0</v>
      </c>
      <c r="E4514" s="3"/>
      <c r="H4514" s="7"/>
      <c r="K4514" s="30"/>
    </row>
    <row r="4515" spans="1:11" s="2" customFormat="1" x14ac:dyDescent="0.25">
      <c r="A4515" s="28" t="s">
        <v>1497</v>
      </c>
      <c r="B4515" s="29">
        <v>13</v>
      </c>
      <c r="C4515" s="28"/>
      <c r="D4515" s="28" t="s">
        <v>0</v>
      </c>
      <c r="E4515" s="3"/>
      <c r="H4515" s="7"/>
      <c r="K4515" s="30"/>
    </row>
    <row r="4516" spans="1:11" s="2" customFormat="1" x14ac:dyDescent="0.25">
      <c r="A4516" s="28" t="s">
        <v>1651</v>
      </c>
      <c r="B4516" s="29">
        <v>8</v>
      </c>
      <c r="C4516" s="28"/>
      <c r="D4516" s="28" t="s">
        <v>0</v>
      </c>
      <c r="E4516" s="3"/>
      <c r="H4516" s="7"/>
      <c r="K4516" s="30"/>
    </row>
    <row r="4517" spans="1:11" s="2" customFormat="1" x14ac:dyDescent="0.25">
      <c r="A4517" s="28" t="s">
        <v>6880</v>
      </c>
      <c r="B4517" s="29">
        <v>4</v>
      </c>
      <c r="C4517" s="28"/>
      <c r="D4517" s="28" t="s">
        <v>0</v>
      </c>
      <c r="E4517" s="3"/>
      <c r="H4517" s="7"/>
      <c r="K4517" s="30"/>
    </row>
    <row r="4518" spans="1:11" s="2" customFormat="1" x14ac:dyDescent="0.25">
      <c r="A4518" s="28" t="s">
        <v>6881</v>
      </c>
      <c r="B4518" s="29">
        <v>5</v>
      </c>
      <c r="C4518" s="28"/>
      <c r="D4518" s="28" t="s">
        <v>0</v>
      </c>
      <c r="E4518" s="3"/>
      <c r="H4518" s="7"/>
      <c r="K4518" s="30"/>
    </row>
    <row r="4519" spans="1:11" s="2" customFormat="1" x14ac:dyDescent="0.25">
      <c r="A4519" s="28" t="s">
        <v>6882</v>
      </c>
      <c r="B4519" s="29">
        <v>5</v>
      </c>
      <c r="C4519" s="28"/>
      <c r="D4519" s="28" t="s">
        <v>0</v>
      </c>
      <c r="E4519" s="3"/>
      <c r="H4519" s="7"/>
      <c r="K4519" s="30"/>
    </row>
    <row r="4520" spans="1:11" s="2" customFormat="1" x14ac:dyDescent="0.25">
      <c r="A4520" s="28" t="s">
        <v>6883</v>
      </c>
      <c r="B4520" s="29">
        <v>6</v>
      </c>
      <c r="C4520" s="28"/>
      <c r="D4520" s="28" t="s">
        <v>0</v>
      </c>
      <c r="E4520" s="3"/>
      <c r="H4520" s="7"/>
      <c r="K4520" s="30"/>
    </row>
    <row r="4521" spans="1:11" s="2" customFormat="1" x14ac:dyDescent="0.25">
      <c r="A4521" s="28" t="s">
        <v>6884</v>
      </c>
      <c r="B4521" s="29">
        <v>3</v>
      </c>
      <c r="C4521" s="28"/>
      <c r="D4521" s="28" t="s">
        <v>0</v>
      </c>
      <c r="E4521" s="3"/>
      <c r="H4521" s="7"/>
      <c r="K4521" s="30"/>
    </row>
    <row r="4522" spans="1:11" s="2" customFormat="1" x14ac:dyDescent="0.25">
      <c r="A4522" s="28" t="s">
        <v>6885</v>
      </c>
      <c r="B4522" s="29">
        <v>4</v>
      </c>
      <c r="C4522" s="28"/>
      <c r="D4522" s="28" t="s">
        <v>0</v>
      </c>
      <c r="E4522" s="3"/>
      <c r="H4522" s="7"/>
      <c r="K4522" s="30"/>
    </row>
    <row r="4523" spans="1:11" s="2" customFormat="1" x14ac:dyDescent="0.25">
      <c r="A4523" s="28" t="s">
        <v>6886</v>
      </c>
      <c r="B4523" s="29">
        <v>4</v>
      </c>
      <c r="C4523" s="28"/>
      <c r="D4523" s="28" t="s">
        <v>0</v>
      </c>
      <c r="E4523" s="3"/>
      <c r="H4523" s="7"/>
      <c r="K4523" s="30"/>
    </row>
    <row r="4524" spans="1:11" s="2" customFormat="1" x14ac:dyDescent="0.25">
      <c r="A4524" s="28" t="s">
        <v>6887</v>
      </c>
      <c r="B4524" s="29">
        <v>4</v>
      </c>
      <c r="C4524" s="28"/>
      <c r="D4524" s="28" t="s">
        <v>0</v>
      </c>
      <c r="E4524" s="3"/>
      <c r="H4524" s="7"/>
      <c r="K4524" s="30"/>
    </row>
    <row r="4525" spans="1:11" s="2" customFormat="1" x14ac:dyDescent="0.25">
      <c r="A4525" s="28" t="s">
        <v>6888</v>
      </c>
      <c r="B4525" s="29">
        <v>4</v>
      </c>
      <c r="C4525" s="28"/>
      <c r="D4525" s="28" t="s">
        <v>0</v>
      </c>
      <c r="E4525" s="3"/>
      <c r="H4525" s="7"/>
      <c r="K4525" s="30"/>
    </row>
    <row r="4526" spans="1:11" s="2" customFormat="1" x14ac:dyDescent="0.25">
      <c r="A4526" s="28" t="s">
        <v>6889</v>
      </c>
      <c r="B4526" s="29">
        <v>7</v>
      </c>
      <c r="C4526" s="28"/>
      <c r="D4526" s="28" t="s">
        <v>0</v>
      </c>
      <c r="E4526" s="3"/>
      <c r="H4526" s="7"/>
      <c r="K4526" s="30"/>
    </row>
    <row r="4527" spans="1:11" s="2" customFormat="1" x14ac:dyDescent="0.25">
      <c r="A4527" s="28" t="s">
        <v>6890</v>
      </c>
      <c r="B4527" s="29">
        <v>4</v>
      </c>
      <c r="C4527" s="28"/>
      <c r="D4527" s="28" t="s">
        <v>0</v>
      </c>
      <c r="E4527" s="3"/>
      <c r="H4527" s="7"/>
      <c r="K4527" s="30"/>
    </row>
    <row r="4528" spans="1:11" s="2" customFormat="1" x14ac:dyDescent="0.25">
      <c r="A4528" s="28" t="s">
        <v>6891</v>
      </c>
      <c r="B4528" s="29">
        <v>6</v>
      </c>
      <c r="C4528" s="28"/>
      <c r="D4528" s="28" t="s">
        <v>0</v>
      </c>
      <c r="E4528" s="3"/>
      <c r="H4528" s="7"/>
      <c r="K4528" s="30"/>
    </row>
    <row r="4529" spans="1:11" s="2" customFormat="1" x14ac:dyDescent="0.25">
      <c r="A4529" s="28" t="s">
        <v>6892</v>
      </c>
      <c r="B4529" s="29">
        <v>4</v>
      </c>
      <c r="C4529" s="28"/>
      <c r="D4529" s="28" t="s">
        <v>0</v>
      </c>
      <c r="E4529" s="3"/>
      <c r="H4529" s="7"/>
      <c r="K4529" s="30"/>
    </row>
    <row r="4530" spans="1:11" s="2" customFormat="1" x14ac:dyDescent="0.25">
      <c r="A4530" s="28" t="s">
        <v>6893</v>
      </c>
      <c r="B4530" s="29">
        <v>4</v>
      </c>
      <c r="C4530" s="28"/>
      <c r="D4530" s="28" t="s">
        <v>0</v>
      </c>
      <c r="E4530" s="3"/>
      <c r="H4530" s="7"/>
      <c r="K4530" s="30"/>
    </row>
    <row r="4531" spans="1:11" s="2" customFormat="1" x14ac:dyDescent="0.25">
      <c r="A4531" s="28" t="s">
        <v>6894</v>
      </c>
      <c r="B4531" s="29">
        <v>16</v>
      </c>
      <c r="C4531" s="28"/>
      <c r="D4531" s="28" t="s">
        <v>0</v>
      </c>
      <c r="E4531" s="3"/>
      <c r="H4531" s="7"/>
      <c r="K4531" s="30"/>
    </row>
    <row r="4532" spans="1:11" s="2" customFormat="1" x14ac:dyDescent="0.25">
      <c r="A4532" s="28" t="s">
        <v>6895</v>
      </c>
      <c r="B4532" s="29">
        <v>2</v>
      </c>
      <c r="C4532" s="28"/>
      <c r="D4532" s="28" t="s">
        <v>0</v>
      </c>
      <c r="E4532" s="3"/>
      <c r="H4532" s="7"/>
      <c r="K4532" s="30"/>
    </row>
    <row r="4533" spans="1:11" s="2" customFormat="1" x14ac:dyDescent="0.25">
      <c r="A4533" s="28" t="s">
        <v>6896</v>
      </c>
      <c r="B4533" s="29">
        <v>1</v>
      </c>
      <c r="C4533" s="28"/>
      <c r="D4533" s="28" t="s">
        <v>0</v>
      </c>
      <c r="E4533" s="3"/>
      <c r="H4533" s="7"/>
      <c r="K4533" s="30"/>
    </row>
    <row r="4534" spans="1:11" s="2" customFormat="1" x14ac:dyDescent="0.25">
      <c r="A4534" s="28" t="s">
        <v>6897</v>
      </c>
      <c r="B4534" s="29">
        <v>6</v>
      </c>
      <c r="C4534" s="28"/>
      <c r="D4534" s="28" t="s">
        <v>0</v>
      </c>
      <c r="E4534" s="3"/>
      <c r="H4534" s="7"/>
      <c r="K4534" s="30"/>
    </row>
    <row r="4535" spans="1:11" s="2" customFormat="1" x14ac:dyDescent="0.25">
      <c r="A4535" s="28" t="s">
        <v>6898</v>
      </c>
      <c r="B4535" s="29">
        <v>6</v>
      </c>
      <c r="C4535" s="28"/>
      <c r="D4535" s="28" t="s">
        <v>0</v>
      </c>
      <c r="E4535" s="3"/>
      <c r="H4535" s="7"/>
      <c r="K4535" s="30"/>
    </row>
    <row r="4536" spans="1:11" s="2" customFormat="1" x14ac:dyDescent="0.25">
      <c r="A4536" s="28" t="s">
        <v>6899</v>
      </c>
      <c r="B4536" s="29">
        <v>6</v>
      </c>
      <c r="C4536" s="28"/>
      <c r="D4536" s="28" t="s">
        <v>0</v>
      </c>
      <c r="E4536" s="3"/>
      <c r="H4536" s="7"/>
      <c r="K4536" s="30"/>
    </row>
    <row r="4537" spans="1:11" s="2" customFormat="1" x14ac:dyDescent="0.25">
      <c r="A4537" s="28" t="s">
        <v>200</v>
      </c>
      <c r="B4537" s="29">
        <v>4</v>
      </c>
      <c r="C4537" s="28"/>
      <c r="D4537" s="28" t="s">
        <v>0</v>
      </c>
      <c r="E4537" s="3"/>
      <c r="H4537" s="7"/>
      <c r="K4537" s="30"/>
    </row>
    <row r="4538" spans="1:11" s="2" customFormat="1" x14ac:dyDescent="0.25">
      <c r="A4538" s="28" t="s">
        <v>6900</v>
      </c>
      <c r="B4538" s="29">
        <v>4</v>
      </c>
      <c r="C4538" s="28"/>
      <c r="D4538" s="28" t="s">
        <v>0</v>
      </c>
      <c r="E4538" s="3"/>
      <c r="H4538" s="7"/>
      <c r="K4538" s="30"/>
    </row>
    <row r="4539" spans="1:11" s="2" customFormat="1" x14ac:dyDescent="0.25">
      <c r="A4539" s="28" t="s">
        <v>6901</v>
      </c>
      <c r="B4539" s="29">
        <v>6</v>
      </c>
      <c r="C4539" s="28"/>
      <c r="D4539" s="28" t="s">
        <v>0</v>
      </c>
      <c r="E4539" s="3"/>
      <c r="H4539" s="7"/>
      <c r="K4539" s="30"/>
    </row>
    <row r="4540" spans="1:11" s="2" customFormat="1" x14ac:dyDescent="0.25">
      <c r="A4540" s="28" t="s">
        <v>6902</v>
      </c>
      <c r="B4540" s="29">
        <v>6</v>
      </c>
      <c r="C4540" s="28"/>
      <c r="D4540" s="28" t="s">
        <v>0</v>
      </c>
      <c r="E4540" s="3"/>
      <c r="H4540" s="7"/>
      <c r="K4540" s="30"/>
    </row>
    <row r="4541" spans="1:11" s="2" customFormat="1" x14ac:dyDescent="0.25">
      <c r="A4541" s="28" t="s">
        <v>1299</v>
      </c>
      <c r="B4541" s="29">
        <v>5</v>
      </c>
      <c r="C4541" s="28"/>
      <c r="D4541" s="28" t="s">
        <v>0</v>
      </c>
      <c r="E4541" s="3"/>
      <c r="H4541" s="7"/>
      <c r="K4541" s="30"/>
    </row>
    <row r="4542" spans="1:11" s="2" customFormat="1" x14ac:dyDescent="0.25">
      <c r="A4542" s="28" t="s">
        <v>6903</v>
      </c>
      <c r="B4542" s="29">
        <v>12</v>
      </c>
      <c r="C4542" s="28"/>
      <c r="D4542" s="28" t="s">
        <v>0</v>
      </c>
      <c r="E4542" s="3"/>
      <c r="H4542" s="7"/>
      <c r="K4542" s="30"/>
    </row>
    <row r="4543" spans="1:11" s="2" customFormat="1" x14ac:dyDescent="0.25">
      <c r="A4543" s="28" t="s">
        <v>6904</v>
      </c>
      <c r="B4543" s="29">
        <v>15</v>
      </c>
      <c r="C4543" s="28"/>
      <c r="D4543" s="28" t="s">
        <v>0</v>
      </c>
      <c r="E4543" s="3"/>
      <c r="H4543" s="7"/>
      <c r="K4543" s="30"/>
    </row>
    <row r="4544" spans="1:11" s="2" customFormat="1" x14ac:dyDescent="0.25">
      <c r="A4544" s="28" t="s">
        <v>6905</v>
      </c>
      <c r="B4544" s="29">
        <v>3</v>
      </c>
      <c r="C4544" s="28"/>
      <c r="D4544" s="28" t="s">
        <v>0</v>
      </c>
      <c r="E4544" s="3"/>
      <c r="H4544" s="7"/>
      <c r="K4544" s="30"/>
    </row>
    <row r="4545" spans="1:11" s="2" customFormat="1" x14ac:dyDescent="0.25">
      <c r="A4545" s="28" t="s">
        <v>6906</v>
      </c>
      <c r="B4545" s="29">
        <v>6</v>
      </c>
      <c r="C4545" s="28"/>
      <c r="D4545" s="28" t="s">
        <v>0</v>
      </c>
      <c r="E4545" s="3"/>
      <c r="H4545" s="7"/>
      <c r="K4545" s="30"/>
    </row>
    <row r="4546" spans="1:11" s="2" customFormat="1" x14ac:dyDescent="0.25">
      <c r="A4546" s="28" t="s">
        <v>22</v>
      </c>
      <c r="B4546" s="29">
        <v>8</v>
      </c>
      <c r="C4546" s="28"/>
      <c r="D4546" s="28" t="s">
        <v>0</v>
      </c>
      <c r="E4546" s="3"/>
      <c r="H4546" s="7"/>
      <c r="K4546" s="30"/>
    </row>
    <row r="4547" spans="1:11" s="2" customFormat="1" x14ac:dyDescent="0.25">
      <c r="A4547" s="28" t="s">
        <v>6907</v>
      </c>
      <c r="B4547" s="29">
        <v>3</v>
      </c>
      <c r="C4547" s="28"/>
      <c r="D4547" s="28" t="s">
        <v>0</v>
      </c>
      <c r="E4547" s="3"/>
      <c r="H4547" s="7"/>
      <c r="K4547" s="30"/>
    </row>
    <row r="4548" spans="1:11" s="2" customFormat="1" x14ac:dyDescent="0.25">
      <c r="A4548" s="28" t="s">
        <v>6908</v>
      </c>
      <c r="B4548" s="29">
        <v>3</v>
      </c>
      <c r="C4548" s="28"/>
      <c r="D4548" s="28" t="s">
        <v>0</v>
      </c>
      <c r="E4548" s="3"/>
      <c r="H4548" s="7"/>
      <c r="K4548" s="30"/>
    </row>
    <row r="4549" spans="1:11" s="2" customFormat="1" x14ac:dyDescent="0.25">
      <c r="A4549" s="28" t="s">
        <v>197</v>
      </c>
      <c r="B4549" s="29">
        <v>3</v>
      </c>
      <c r="C4549" s="28"/>
      <c r="D4549" s="28" t="s">
        <v>0</v>
      </c>
      <c r="E4549" s="3"/>
      <c r="H4549" s="7"/>
      <c r="K4549" s="30"/>
    </row>
    <row r="4550" spans="1:11" s="2" customFormat="1" x14ac:dyDescent="0.25">
      <c r="A4550" s="28" t="s">
        <v>416</v>
      </c>
      <c r="B4550" s="29">
        <v>2</v>
      </c>
      <c r="C4550" s="28"/>
      <c r="D4550" s="28" t="s">
        <v>0</v>
      </c>
      <c r="E4550" s="3"/>
      <c r="H4550" s="7"/>
      <c r="K4550" s="30"/>
    </row>
    <row r="4551" spans="1:11" s="2" customFormat="1" x14ac:dyDescent="0.25">
      <c r="A4551" s="28" t="s">
        <v>6909</v>
      </c>
      <c r="B4551" s="29">
        <v>2</v>
      </c>
      <c r="C4551" s="28"/>
      <c r="D4551" s="28" t="s">
        <v>0</v>
      </c>
      <c r="E4551" s="3"/>
      <c r="H4551" s="7"/>
      <c r="K4551" s="30"/>
    </row>
    <row r="4552" spans="1:11" s="2" customFormat="1" x14ac:dyDescent="0.25">
      <c r="A4552" s="28" t="s">
        <v>6910</v>
      </c>
      <c r="B4552" s="29">
        <v>2</v>
      </c>
      <c r="C4552" s="28"/>
      <c r="D4552" s="28" t="s">
        <v>0</v>
      </c>
      <c r="E4552" s="3"/>
      <c r="H4552" s="7"/>
      <c r="K4552" s="30"/>
    </row>
    <row r="4553" spans="1:11" s="2" customFormat="1" x14ac:dyDescent="0.25">
      <c r="A4553" s="28" t="s">
        <v>379</v>
      </c>
      <c r="B4553" s="29">
        <v>2</v>
      </c>
      <c r="C4553" s="28"/>
      <c r="D4553" s="28" t="s">
        <v>0</v>
      </c>
      <c r="E4553" s="3"/>
      <c r="H4553" s="7"/>
      <c r="K4553" s="30"/>
    </row>
    <row r="4554" spans="1:11" s="2" customFormat="1" x14ac:dyDescent="0.25">
      <c r="A4554" s="28" t="s">
        <v>6911</v>
      </c>
      <c r="B4554" s="29">
        <v>1</v>
      </c>
      <c r="C4554" s="28"/>
      <c r="D4554" s="28" t="s">
        <v>0</v>
      </c>
      <c r="E4554" s="3"/>
      <c r="H4554" s="7"/>
      <c r="K4554" s="30"/>
    </row>
    <row r="4555" spans="1:11" s="2" customFormat="1" x14ac:dyDescent="0.25">
      <c r="A4555" s="28" t="s">
        <v>998</v>
      </c>
      <c r="B4555" s="29">
        <v>1</v>
      </c>
      <c r="C4555" s="28"/>
      <c r="D4555" s="28" t="s">
        <v>0</v>
      </c>
      <c r="E4555" s="3"/>
      <c r="H4555" s="7"/>
      <c r="K4555" s="30"/>
    </row>
    <row r="4556" spans="1:11" s="2" customFormat="1" x14ac:dyDescent="0.25">
      <c r="A4556" s="28" t="s">
        <v>6912</v>
      </c>
      <c r="B4556" s="29">
        <v>1</v>
      </c>
      <c r="C4556" s="28"/>
      <c r="D4556" s="28" t="s">
        <v>0</v>
      </c>
      <c r="E4556" s="3"/>
      <c r="H4556" s="7"/>
      <c r="K4556" s="30"/>
    </row>
    <row r="4557" spans="1:11" s="2" customFormat="1" x14ac:dyDescent="0.25">
      <c r="A4557" s="28" t="s">
        <v>6913</v>
      </c>
      <c r="B4557" s="29">
        <v>2</v>
      </c>
      <c r="C4557" s="28"/>
      <c r="D4557" s="28" t="s">
        <v>0</v>
      </c>
      <c r="E4557" s="3"/>
      <c r="H4557" s="7"/>
      <c r="K4557" s="30"/>
    </row>
    <row r="4558" spans="1:11" s="2" customFormat="1" x14ac:dyDescent="0.25">
      <c r="A4558" s="28" t="s">
        <v>6914</v>
      </c>
      <c r="B4558" s="29">
        <v>1</v>
      </c>
      <c r="C4558" s="28"/>
      <c r="D4558" s="28" t="s">
        <v>0</v>
      </c>
      <c r="E4558" s="3"/>
      <c r="H4558" s="7"/>
      <c r="K4558" s="30"/>
    </row>
    <row r="4559" spans="1:11" s="2" customFormat="1" x14ac:dyDescent="0.25">
      <c r="A4559" s="28" t="s">
        <v>6915</v>
      </c>
      <c r="B4559" s="29">
        <v>1</v>
      </c>
      <c r="C4559" s="28"/>
      <c r="D4559" s="28" t="s">
        <v>0</v>
      </c>
      <c r="E4559" s="3"/>
      <c r="H4559" s="7"/>
      <c r="K4559" s="30"/>
    </row>
    <row r="4560" spans="1:11" s="2" customFormat="1" x14ac:dyDescent="0.25">
      <c r="A4560" s="28" t="s">
        <v>6916</v>
      </c>
      <c r="B4560" s="29">
        <v>1</v>
      </c>
      <c r="C4560" s="28"/>
      <c r="D4560" s="28" t="s">
        <v>0</v>
      </c>
      <c r="E4560" s="3"/>
      <c r="H4560" s="7"/>
      <c r="K4560" s="30"/>
    </row>
    <row r="4561" spans="1:11" s="2" customFormat="1" x14ac:dyDescent="0.25">
      <c r="A4561" s="28" t="s">
        <v>961</v>
      </c>
      <c r="B4561" s="29">
        <v>500</v>
      </c>
      <c r="C4561" s="28"/>
      <c r="D4561" s="28" t="s">
        <v>6917</v>
      </c>
      <c r="E4561" s="3"/>
      <c r="H4561" s="7"/>
      <c r="K4561" s="30"/>
    </row>
    <row r="4562" spans="1:11" s="2" customFormat="1" x14ac:dyDescent="0.25">
      <c r="A4562" s="28" t="s">
        <v>6918</v>
      </c>
      <c r="B4562" s="29">
        <v>93</v>
      </c>
      <c r="C4562" s="28"/>
      <c r="D4562" s="28" t="s">
        <v>6919</v>
      </c>
      <c r="E4562" s="3"/>
      <c r="H4562" s="7"/>
      <c r="K4562" s="30"/>
    </row>
    <row r="4563" spans="1:11" s="2" customFormat="1" x14ac:dyDescent="0.25">
      <c r="A4563" s="28" t="s">
        <v>6920</v>
      </c>
      <c r="B4563" s="29">
        <v>9</v>
      </c>
      <c r="C4563" s="28"/>
      <c r="D4563" s="28" t="s">
        <v>6919</v>
      </c>
      <c r="E4563" s="3"/>
      <c r="H4563" s="7"/>
      <c r="K4563" s="30"/>
    </row>
    <row r="4564" spans="1:11" s="2" customFormat="1" x14ac:dyDescent="0.25">
      <c r="A4564" s="28" t="s">
        <v>6921</v>
      </c>
      <c r="B4564" s="29">
        <v>5</v>
      </c>
      <c r="C4564" s="28"/>
      <c r="D4564" s="28" t="s">
        <v>6922</v>
      </c>
      <c r="E4564" s="3"/>
      <c r="H4564" s="7"/>
      <c r="K4564" s="30"/>
    </row>
    <row r="4565" spans="1:11" s="2" customFormat="1" x14ac:dyDescent="0.25">
      <c r="A4565" s="28" t="s">
        <v>6923</v>
      </c>
      <c r="B4565" s="29">
        <v>7</v>
      </c>
      <c r="C4565" s="28"/>
      <c r="D4565" s="28" t="s">
        <v>6924</v>
      </c>
      <c r="E4565" s="3"/>
      <c r="H4565" s="7"/>
      <c r="K4565" s="30"/>
    </row>
    <row r="4566" spans="1:11" s="2" customFormat="1" x14ac:dyDescent="0.25">
      <c r="A4566" s="28" t="s">
        <v>6925</v>
      </c>
      <c r="B4566" s="29">
        <v>2952</v>
      </c>
      <c r="C4566" s="28"/>
      <c r="D4566" s="28" t="s">
        <v>6926</v>
      </c>
      <c r="E4566" s="3"/>
      <c r="H4566" s="7"/>
      <c r="K4566" s="30"/>
    </row>
    <row r="4567" spans="1:11" s="2" customFormat="1" x14ac:dyDescent="0.25">
      <c r="A4567" s="28" t="s">
        <v>6927</v>
      </c>
      <c r="B4567" s="29">
        <v>5</v>
      </c>
      <c r="C4567" s="28"/>
      <c r="D4567" s="28" t="s">
        <v>6928</v>
      </c>
      <c r="E4567" s="3"/>
      <c r="H4567" s="7"/>
      <c r="K4567" s="30"/>
    </row>
    <row r="4568" spans="1:11" s="2" customFormat="1" x14ac:dyDescent="0.25">
      <c r="A4568" s="28" t="s">
        <v>6929</v>
      </c>
      <c r="B4568" s="29">
        <v>1</v>
      </c>
      <c r="C4568" s="28"/>
      <c r="D4568" s="28" t="s">
        <v>6928</v>
      </c>
      <c r="E4568" s="3"/>
      <c r="H4568" s="7"/>
      <c r="K4568" s="30"/>
    </row>
    <row r="4569" spans="1:11" s="2" customFormat="1" x14ac:dyDescent="0.25">
      <c r="A4569" s="28" t="s">
        <v>6930</v>
      </c>
      <c r="B4569" s="29">
        <v>98</v>
      </c>
      <c r="C4569" s="28"/>
      <c r="D4569" s="28" t="s">
        <v>6928</v>
      </c>
      <c r="E4569" s="3"/>
      <c r="H4569" s="7"/>
      <c r="K4569" s="30"/>
    </row>
    <row r="4570" spans="1:11" s="2" customFormat="1" x14ac:dyDescent="0.25">
      <c r="A4570" s="28" t="s">
        <v>6931</v>
      </c>
      <c r="B4570" s="29">
        <v>3</v>
      </c>
      <c r="C4570" s="28"/>
      <c r="D4570" s="28" t="s">
        <v>6928</v>
      </c>
      <c r="E4570" s="3"/>
      <c r="H4570" s="7"/>
      <c r="K4570" s="30"/>
    </row>
    <row r="4571" spans="1:11" s="2" customFormat="1" x14ac:dyDescent="0.25">
      <c r="A4571" s="28" t="s">
        <v>6932</v>
      </c>
      <c r="B4571" s="29">
        <v>94</v>
      </c>
      <c r="C4571" s="28"/>
      <c r="D4571" s="28" t="s">
        <v>6928</v>
      </c>
      <c r="E4571" s="3"/>
      <c r="H4571" s="7"/>
      <c r="K4571" s="30"/>
    </row>
    <row r="4572" spans="1:11" s="2" customFormat="1" x14ac:dyDescent="0.25">
      <c r="A4572" s="28" t="s">
        <v>6933</v>
      </c>
      <c r="B4572" s="29">
        <v>1</v>
      </c>
      <c r="C4572" s="28"/>
      <c r="D4572" s="28" t="s">
        <v>6928</v>
      </c>
      <c r="E4572" s="3"/>
      <c r="H4572" s="7"/>
      <c r="K4572" s="30"/>
    </row>
    <row r="4573" spans="1:11" s="2" customFormat="1" x14ac:dyDescent="0.25">
      <c r="A4573" s="28" t="s">
        <v>6934</v>
      </c>
      <c r="B4573" s="29">
        <v>38</v>
      </c>
      <c r="C4573" s="28"/>
      <c r="D4573" s="28" t="s">
        <v>6928</v>
      </c>
      <c r="E4573" s="3"/>
      <c r="H4573" s="7"/>
      <c r="K4573" s="30"/>
    </row>
    <row r="4574" spans="1:11" s="2" customFormat="1" x14ac:dyDescent="0.25">
      <c r="A4574" s="28" t="s">
        <v>6935</v>
      </c>
      <c r="B4574" s="29">
        <v>7</v>
      </c>
      <c r="C4574" s="28"/>
      <c r="D4574" s="28" t="s">
        <v>6928</v>
      </c>
      <c r="E4574" s="3"/>
      <c r="H4574" s="7"/>
      <c r="K4574" s="30"/>
    </row>
    <row r="4575" spans="1:11" s="2" customFormat="1" x14ac:dyDescent="0.25">
      <c r="A4575" s="28" t="s">
        <v>6936</v>
      </c>
      <c r="B4575" s="29">
        <v>22</v>
      </c>
      <c r="C4575" s="28"/>
      <c r="D4575" s="28" t="s">
        <v>6928</v>
      </c>
      <c r="E4575" s="3"/>
      <c r="H4575" s="7"/>
      <c r="K4575" s="30"/>
    </row>
    <row r="4576" spans="1:11" s="2" customFormat="1" x14ac:dyDescent="0.25">
      <c r="A4576" s="28" t="s">
        <v>6937</v>
      </c>
      <c r="B4576" s="29">
        <v>7</v>
      </c>
      <c r="C4576" s="28"/>
      <c r="D4576" s="28" t="s">
        <v>6928</v>
      </c>
      <c r="E4576" s="3"/>
      <c r="H4576" s="7"/>
      <c r="K4576" s="30"/>
    </row>
    <row r="4577" spans="1:11" s="2" customFormat="1" x14ac:dyDescent="0.25">
      <c r="A4577" s="28" t="s">
        <v>6938</v>
      </c>
      <c r="B4577" s="29">
        <v>1</v>
      </c>
      <c r="C4577" s="28"/>
      <c r="D4577" s="28" t="s">
        <v>6928</v>
      </c>
      <c r="E4577" s="3"/>
      <c r="H4577" s="7"/>
      <c r="K4577" s="30"/>
    </row>
    <row r="4578" spans="1:11" s="2" customFormat="1" x14ac:dyDescent="0.25">
      <c r="A4578" s="28" t="s">
        <v>6939</v>
      </c>
      <c r="B4578" s="29">
        <v>637</v>
      </c>
      <c r="C4578" s="28"/>
      <c r="D4578" s="28" t="s">
        <v>6928</v>
      </c>
      <c r="E4578" s="3"/>
      <c r="H4578" s="7"/>
      <c r="K4578" s="30"/>
    </row>
    <row r="4579" spans="1:11" s="2" customFormat="1" x14ac:dyDescent="0.25">
      <c r="A4579" s="28" t="s">
        <v>6940</v>
      </c>
      <c r="B4579" s="29">
        <v>50</v>
      </c>
      <c r="C4579" s="28"/>
      <c r="D4579" s="28" t="s">
        <v>6928</v>
      </c>
      <c r="E4579" s="3"/>
      <c r="H4579" s="7"/>
      <c r="K4579" s="30"/>
    </row>
    <row r="4580" spans="1:11" s="2" customFormat="1" x14ac:dyDescent="0.25">
      <c r="A4580" s="28" t="s">
        <v>6941</v>
      </c>
      <c r="B4580" s="29">
        <v>24</v>
      </c>
      <c r="C4580" s="28"/>
      <c r="D4580" s="28" t="s">
        <v>6928</v>
      </c>
      <c r="E4580" s="3"/>
      <c r="H4580" s="7"/>
      <c r="K4580" s="30"/>
    </row>
    <row r="4581" spans="1:11" s="2" customFormat="1" x14ac:dyDescent="0.25">
      <c r="A4581" s="28" t="s">
        <v>6942</v>
      </c>
      <c r="B4581" s="29">
        <v>10</v>
      </c>
      <c r="C4581" s="28"/>
      <c r="D4581" s="28" t="s">
        <v>6928</v>
      </c>
      <c r="E4581" s="3"/>
      <c r="H4581" s="7"/>
      <c r="K4581" s="30"/>
    </row>
    <row r="4582" spans="1:11" s="2" customFormat="1" x14ac:dyDescent="0.25">
      <c r="A4582" s="28" t="s">
        <v>6943</v>
      </c>
      <c r="B4582" s="29">
        <v>6</v>
      </c>
      <c r="C4582" s="28"/>
      <c r="D4582" s="28" t="s">
        <v>6928</v>
      </c>
      <c r="E4582" s="3"/>
      <c r="H4582" s="7"/>
      <c r="K4582" s="30"/>
    </row>
    <row r="4583" spans="1:11" s="2" customFormat="1" x14ac:dyDescent="0.25">
      <c r="A4583" s="28" t="s">
        <v>6944</v>
      </c>
      <c r="B4583" s="29">
        <v>4</v>
      </c>
      <c r="C4583" s="28"/>
      <c r="D4583" s="28" t="s">
        <v>6928</v>
      </c>
      <c r="E4583" s="3"/>
      <c r="H4583" s="7"/>
      <c r="K4583" s="30"/>
    </row>
    <row r="4584" spans="1:11" s="2" customFormat="1" x14ac:dyDescent="0.25">
      <c r="A4584" s="28" t="s">
        <v>6945</v>
      </c>
      <c r="B4584" s="29">
        <v>86</v>
      </c>
      <c r="C4584" s="28"/>
      <c r="D4584" s="28" t="s">
        <v>6928</v>
      </c>
      <c r="E4584" s="3"/>
      <c r="H4584" s="7"/>
      <c r="K4584" s="30"/>
    </row>
    <row r="4585" spans="1:11" s="2" customFormat="1" x14ac:dyDescent="0.25">
      <c r="A4585" s="28" t="s">
        <v>6946</v>
      </c>
      <c r="B4585" s="29">
        <v>7</v>
      </c>
      <c r="C4585" s="28"/>
      <c r="D4585" s="28" t="s">
        <v>6928</v>
      </c>
      <c r="E4585" s="3"/>
      <c r="H4585" s="7"/>
      <c r="K4585" s="30"/>
    </row>
    <row r="4586" spans="1:11" s="2" customFormat="1" x14ac:dyDescent="0.25">
      <c r="A4586" s="28" t="s">
        <v>6947</v>
      </c>
      <c r="B4586" s="29">
        <v>34</v>
      </c>
      <c r="C4586" s="28"/>
      <c r="D4586" s="28" t="s">
        <v>6928</v>
      </c>
      <c r="E4586" s="3"/>
      <c r="H4586" s="7"/>
      <c r="K4586" s="30"/>
    </row>
    <row r="4587" spans="1:11" s="2" customFormat="1" x14ac:dyDescent="0.25">
      <c r="A4587" s="28" t="s">
        <v>6948</v>
      </c>
      <c r="B4587" s="29">
        <v>40</v>
      </c>
      <c r="C4587" s="28"/>
      <c r="D4587" s="28" t="s">
        <v>6928</v>
      </c>
      <c r="E4587" s="3"/>
      <c r="H4587" s="7"/>
      <c r="K4587" s="30"/>
    </row>
    <row r="4588" spans="1:11" s="2" customFormat="1" x14ac:dyDescent="0.25">
      <c r="A4588" s="28" t="s">
        <v>6949</v>
      </c>
      <c r="B4588" s="29">
        <v>900</v>
      </c>
      <c r="C4588" s="28"/>
      <c r="D4588" s="28" t="s">
        <v>6928</v>
      </c>
      <c r="E4588" s="3"/>
      <c r="H4588" s="7"/>
      <c r="K4588" s="30"/>
    </row>
    <row r="4589" spans="1:11" s="2" customFormat="1" x14ac:dyDescent="0.25">
      <c r="A4589" s="28" t="s">
        <v>6950</v>
      </c>
      <c r="B4589" s="29">
        <v>2</v>
      </c>
      <c r="C4589" s="28"/>
      <c r="D4589" s="28" t="s">
        <v>6928</v>
      </c>
      <c r="E4589" s="3"/>
      <c r="H4589" s="7"/>
      <c r="K4589" s="30"/>
    </row>
    <row r="4590" spans="1:11" s="2" customFormat="1" x14ac:dyDescent="0.25">
      <c r="A4590" s="28" t="s">
        <v>6951</v>
      </c>
      <c r="B4590" s="29">
        <v>30</v>
      </c>
      <c r="C4590" s="28"/>
      <c r="D4590" s="28" t="s">
        <v>6928</v>
      </c>
      <c r="E4590" s="3"/>
      <c r="H4590" s="7"/>
      <c r="K4590" s="30"/>
    </row>
    <row r="4591" spans="1:11" s="2" customFormat="1" x14ac:dyDescent="0.25">
      <c r="A4591" s="28" t="s">
        <v>6952</v>
      </c>
      <c r="B4591" s="29">
        <v>9</v>
      </c>
      <c r="C4591" s="28"/>
      <c r="D4591" s="28" t="s">
        <v>6928</v>
      </c>
      <c r="E4591" s="3"/>
      <c r="H4591" s="7"/>
      <c r="K4591" s="30"/>
    </row>
    <row r="4592" spans="1:11" s="2" customFormat="1" x14ac:dyDescent="0.25">
      <c r="A4592" s="28" t="s">
        <v>6953</v>
      </c>
      <c r="B4592" s="29">
        <v>56</v>
      </c>
      <c r="C4592" s="28"/>
      <c r="D4592" s="28" t="s">
        <v>6928</v>
      </c>
      <c r="E4592" s="3"/>
      <c r="H4592" s="7"/>
      <c r="K4592" s="30"/>
    </row>
    <row r="4593" spans="1:11" s="2" customFormat="1" x14ac:dyDescent="0.25">
      <c r="A4593" s="28" t="s">
        <v>6954</v>
      </c>
      <c r="B4593" s="29">
        <v>5</v>
      </c>
      <c r="C4593" s="28"/>
      <c r="D4593" s="28" t="s">
        <v>6928</v>
      </c>
      <c r="E4593" s="3"/>
      <c r="H4593" s="7"/>
      <c r="K4593" s="30"/>
    </row>
    <row r="4594" spans="1:11" s="2" customFormat="1" x14ac:dyDescent="0.25">
      <c r="A4594" s="28" t="s">
        <v>6955</v>
      </c>
      <c r="B4594" s="29">
        <v>41</v>
      </c>
      <c r="C4594" s="28"/>
      <c r="D4594" s="28" t="s">
        <v>6928</v>
      </c>
      <c r="E4594" s="3"/>
      <c r="H4594" s="7"/>
      <c r="K4594" s="30"/>
    </row>
    <row r="4595" spans="1:11" s="2" customFormat="1" x14ac:dyDescent="0.25">
      <c r="A4595" s="28" t="s">
        <v>6956</v>
      </c>
      <c r="B4595" s="29">
        <v>90</v>
      </c>
      <c r="C4595" s="28"/>
      <c r="D4595" s="28" t="s">
        <v>6928</v>
      </c>
      <c r="E4595" s="3"/>
      <c r="H4595" s="7"/>
      <c r="K4595" s="30"/>
    </row>
    <row r="4596" spans="1:11" s="2" customFormat="1" x14ac:dyDescent="0.25">
      <c r="A4596" s="28" t="s">
        <v>6957</v>
      </c>
      <c r="B4596" s="29">
        <v>5</v>
      </c>
      <c r="C4596" s="28"/>
      <c r="D4596" s="28" t="s">
        <v>6928</v>
      </c>
      <c r="E4596" s="3"/>
      <c r="H4596" s="7"/>
      <c r="K4596" s="30"/>
    </row>
    <row r="4597" spans="1:11" s="2" customFormat="1" x14ac:dyDescent="0.25">
      <c r="A4597" s="28" t="s">
        <v>6958</v>
      </c>
      <c r="B4597" s="29">
        <v>55</v>
      </c>
      <c r="C4597" s="28"/>
      <c r="D4597" s="28" t="s">
        <v>6928</v>
      </c>
      <c r="E4597" s="3"/>
      <c r="H4597" s="7"/>
      <c r="K4597" s="30"/>
    </row>
    <row r="4598" spans="1:11" s="2" customFormat="1" x14ac:dyDescent="0.25">
      <c r="A4598" s="28" t="s">
        <v>6959</v>
      </c>
      <c r="B4598" s="29">
        <v>1</v>
      </c>
      <c r="C4598" s="28"/>
      <c r="D4598" s="28" t="s">
        <v>6928</v>
      </c>
      <c r="E4598" s="3"/>
      <c r="H4598" s="7"/>
      <c r="K4598" s="30"/>
    </row>
    <row r="4599" spans="1:11" s="2" customFormat="1" x14ac:dyDescent="0.25">
      <c r="A4599" s="28" t="s">
        <v>6960</v>
      </c>
      <c r="B4599" s="29">
        <v>86</v>
      </c>
      <c r="C4599" s="28"/>
      <c r="D4599" s="28" t="s">
        <v>6928</v>
      </c>
      <c r="E4599" s="3"/>
      <c r="H4599" s="7"/>
      <c r="K4599" s="30"/>
    </row>
    <row r="4600" spans="1:11" s="2" customFormat="1" x14ac:dyDescent="0.25">
      <c r="A4600" s="28" t="s">
        <v>6961</v>
      </c>
      <c r="B4600" s="29">
        <v>8</v>
      </c>
      <c r="C4600" s="28"/>
      <c r="D4600" s="28" t="s">
        <v>6928</v>
      </c>
      <c r="E4600" s="3"/>
      <c r="H4600" s="7"/>
      <c r="K4600" s="30"/>
    </row>
    <row r="4601" spans="1:11" s="2" customFormat="1" x14ac:dyDescent="0.25">
      <c r="A4601" s="28" t="s">
        <v>6962</v>
      </c>
      <c r="B4601" s="29">
        <v>78</v>
      </c>
      <c r="C4601" s="28"/>
      <c r="D4601" s="28" t="s">
        <v>6928</v>
      </c>
      <c r="E4601" s="3"/>
      <c r="H4601" s="7"/>
      <c r="K4601" s="30"/>
    </row>
    <row r="4602" spans="1:11" s="2" customFormat="1" x14ac:dyDescent="0.25">
      <c r="A4602" s="28" t="s">
        <v>6963</v>
      </c>
      <c r="B4602" s="29">
        <v>5</v>
      </c>
      <c r="C4602" s="28"/>
      <c r="D4602" s="28" t="s">
        <v>6928</v>
      </c>
      <c r="E4602" s="3"/>
      <c r="H4602" s="7"/>
      <c r="K4602" s="30"/>
    </row>
    <row r="4603" spans="1:11" s="2" customFormat="1" x14ac:dyDescent="0.25">
      <c r="A4603" s="28" t="s">
        <v>6964</v>
      </c>
      <c r="B4603" s="29">
        <v>30</v>
      </c>
      <c r="C4603" s="28"/>
      <c r="D4603" s="28" t="s">
        <v>6928</v>
      </c>
      <c r="E4603" s="3"/>
      <c r="H4603" s="7"/>
      <c r="K4603" s="30"/>
    </row>
    <row r="4604" spans="1:11" s="2" customFormat="1" x14ac:dyDescent="0.25">
      <c r="A4604" s="28" t="s">
        <v>6965</v>
      </c>
      <c r="B4604" s="29">
        <v>42</v>
      </c>
      <c r="C4604" s="28"/>
      <c r="D4604" s="28" t="s">
        <v>6928</v>
      </c>
      <c r="E4604" s="3"/>
      <c r="H4604" s="7"/>
      <c r="K4604" s="30"/>
    </row>
    <row r="4605" spans="1:11" s="2" customFormat="1" x14ac:dyDescent="0.25">
      <c r="A4605" s="28" t="s">
        <v>6966</v>
      </c>
      <c r="B4605" s="29">
        <v>4</v>
      </c>
      <c r="C4605" s="28"/>
      <c r="D4605" s="28" t="s">
        <v>6928</v>
      </c>
      <c r="E4605" s="3"/>
      <c r="H4605" s="7"/>
      <c r="K4605" s="30"/>
    </row>
    <row r="4606" spans="1:11" s="2" customFormat="1" x14ac:dyDescent="0.25">
      <c r="A4606" s="28" t="s">
        <v>6967</v>
      </c>
      <c r="B4606" s="29">
        <v>2</v>
      </c>
      <c r="C4606" s="28"/>
      <c r="D4606" s="28" t="s">
        <v>6928</v>
      </c>
      <c r="E4606" s="3"/>
      <c r="H4606" s="7"/>
      <c r="K4606" s="30"/>
    </row>
    <row r="4607" spans="1:11" s="2" customFormat="1" x14ac:dyDescent="0.25">
      <c r="A4607" s="28" t="s">
        <v>6968</v>
      </c>
      <c r="B4607" s="29">
        <v>16</v>
      </c>
      <c r="C4607" s="28"/>
      <c r="D4607" s="28" t="s">
        <v>6928</v>
      </c>
      <c r="E4607" s="3"/>
      <c r="H4607" s="7"/>
      <c r="K4607" s="30"/>
    </row>
    <row r="4608" spans="1:11" s="2" customFormat="1" x14ac:dyDescent="0.25">
      <c r="A4608" s="28" t="s">
        <v>6969</v>
      </c>
      <c r="B4608" s="29">
        <v>10</v>
      </c>
      <c r="C4608" s="28"/>
      <c r="D4608" s="28" t="s">
        <v>6928</v>
      </c>
      <c r="E4608" s="3"/>
      <c r="H4608" s="7"/>
      <c r="K4608" s="30"/>
    </row>
    <row r="4609" spans="1:11" s="2" customFormat="1" x14ac:dyDescent="0.25">
      <c r="A4609" s="28" t="s">
        <v>6970</v>
      </c>
      <c r="B4609" s="29">
        <v>370</v>
      </c>
      <c r="C4609" s="28"/>
      <c r="D4609" s="28" t="s">
        <v>6928</v>
      </c>
      <c r="E4609" s="3"/>
      <c r="H4609" s="7"/>
      <c r="K4609" s="30"/>
    </row>
    <row r="4610" spans="1:11" s="2" customFormat="1" x14ac:dyDescent="0.25">
      <c r="A4610" s="28" t="s">
        <v>6971</v>
      </c>
      <c r="B4610" s="29">
        <v>3</v>
      </c>
      <c r="C4610" s="28"/>
      <c r="D4610" s="28" t="s">
        <v>6928</v>
      </c>
      <c r="E4610" s="3"/>
      <c r="H4610" s="7"/>
      <c r="K4610" s="30"/>
    </row>
    <row r="4611" spans="1:11" s="2" customFormat="1" x14ac:dyDescent="0.25">
      <c r="A4611" s="28" t="s">
        <v>6972</v>
      </c>
      <c r="B4611" s="29">
        <v>4</v>
      </c>
      <c r="C4611" s="28"/>
      <c r="D4611" s="28" t="s">
        <v>6928</v>
      </c>
      <c r="E4611" s="3"/>
      <c r="H4611" s="7"/>
      <c r="K4611" s="30"/>
    </row>
    <row r="4612" spans="1:11" s="2" customFormat="1" x14ac:dyDescent="0.25">
      <c r="A4612" s="28" t="s">
        <v>6973</v>
      </c>
      <c r="B4612" s="29">
        <v>8</v>
      </c>
      <c r="C4612" s="28"/>
      <c r="D4612" s="28" t="s">
        <v>6928</v>
      </c>
      <c r="E4612" s="3"/>
      <c r="H4612" s="7"/>
      <c r="K4612" s="30"/>
    </row>
    <row r="4613" spans="1:11" s="2" customFormat="1" x14ac:dyDescent="0.25">
      <c r="A4613" s="28" t="s">
        <v>6974</v>
      </c>
      <c r="B4613" s="29">
        <v>50</v>
      </c>
      <c r="C4613" s="28"/>
      <c r="D4613" s="28" t="s">
        <v>6928</v>
      </c>
      <c r="E4613" s="3"/>
      <c r="H4613" s="7"/>
      <c r="K4613" s="30"/>
    </row>
    <row r="4614" spans="1:11" s="2" customFormat="1" x14ac:dyDescent="0.25">
      <c r="A4614" s="28" t="s">
        <v>6975</v>
      </c>
      <c r="B4614" s="29">
        <v>6</v>
      </c>
      <c r="C4614" s="28"/>
      <c r="D4614" s="28" t="s">
        <v>6928</v>
      </c>
      <c r="E4614" s="3"/>
      <c r="H4614" s="7"/>
      <c r="K4614" s="30"/>
    </row>
    <row r="4615" spans="1:11" s="2" customFormat="1" x14ac:dyDescent="0.25">
      <c r="A4615" s="28" t="s">
        <v>6976</v>
      </c>
      <c r="B4615" s="29">
        <v>30</v>
      </c>
      <c r="C4615" s="28"/>
      <c r="D4615" s="28" t="s">
        <v>6928</v>
      </c>
      <c r="E4615" s="3"/>
      <c r="H4615" s="7"/>
      <c r="K4615" s="30"/>
    </row>
    <row r="4616" spans="1:11" s="2" customFormat="1" x14ac:dyDescent="0.25">
      <c r="A4616" s="28" t="s">
        <v>6977</v>
      </c>
      <c r="B4616" s="29">
        <v>9</v>
      </c>
      <c r="C4616" s="28"/>
      <c r="D4616" s="28" t="s">
        <v>6928</v>
      </c>
      <c r="E4616" s="3"/>
      <c r="H4616" s="7"/>
      <c r="K4616" s="30"/>
    </row>
    <row r="4617" spans="1:11" s="2" customFormat="1" x14ac:dyDescent="0.25">
      <c r="A4617" s="28" t="s">
        <v>6978</v>
      </c>
      <c r="B4617" s="29">
        <v>6</v>
      </c>
      <c r="C4617" s="28"/>
      <c r="D4617" s="28" t="s">
        <v>6928</v>
      </c>
      <c r="E4617" s="3"/>
      <c r="H4617" s="7"/>
      <c r="K4617" s="30"/>
    </row>
    <row r="4618" spans="1:11" s="2" customFormat="1" x14ac:dyDescent="0.25">
      <c r="A4618" s="28" t="s">
        <v>6979</v>
      </c>
      <c r="B4618" s="29">
        <v>6</v>
      </c>
      <c r="C4618" s="28"/>
      <c r="D4618" s="28" t="s">
        <v>6928</v>
      </c>
      <c r="E4618" s="3"/>
      <c r="H4618" s="7"/>
      <c r="K4618" s="30"/>
    </row>
    <row r="4619" spans="1:11" s="2" customFormat="1" x14ac:dyDescent="0.25">
      <c r="A4619" s="28" t="s">
        <v>6980</v>
      </c>
      <c r="B4619" s="29">
        <v>2</v>
      </c>
      <c r="C4619" s="28"/>
      <c r="D4619" s="28" t="s">
        <v>6928</v>
      </c>
      <c r="E4619" s="3"/>
      <c r="H4619" s="7"/>
      <c r="K4619" s="30"/>
    </row>
    <row r="4620" spans="1:11" s="2" customFormat="1" x14ac:dyDescent="0.25">
      <c r="A4620" s="28" t="s">
        <v>6981</v>
      </c>
      <c r="B4620" s="29">
        <v>2</v>
      </c>
      <c r="D4620" s="28" t="s">
        <v>6928</v>
      </c>
      <c r="E4620" s="3"/>
      <c r="H4620" s="7"/>
      <c r="K4620" s="30"/>
    </row>
    <row r="4621" spans="1:11" s="2" customFormat="1" x14ac:dyDescent="0.25">
      <c r="A4621" s="28" t="s">
        <v>6982</v>
      </c>
      <c r="B4621" s="29">
        <v>9</v>
      </c>
      <c r="D4621" s="28" t="s">
        <v>6928</v>
      </c>
      <c r="E4621" s="3"/>
      <c r="H4621" s="7"/>
      <c r="K4621" s="30"/>
    </row>
    <row r="4622" spans="1:11" s="2" customFormat="1" x14ac:dyDescent="0.25">
      <c r="A4622" s="28" t="s">
        <v>6983</v>
      </c>
      <c r="B4622" s="29">
        <v>53</v>
      </c>
      <c r="D4622" s="28" t="s">
        <v>6928</v>
      </c>
      <c r="E4622" s="3"/>
      <c r="H4622" s="7"/>
      <c r="K4622" s="30"/>
    </row>
    <row r="4623" spans="1:11" s="2" customFormat="1" x14ac:dyDescent="0.25">
      <c r="A4623" s="28" t="s">
        <v>6984</v>
      </c>
      <c r="B4623" s="29">
        <v>2</v>
      </c>
      <c r="D4623" s="28" t="s">
        <v>6928</v>
      </c>
      <c r="E4623" s="3"/>
      <c r="H4623" s="7"/>
      <c r="K4623" s="30"/>
    </row>
    <row r="4624" spans="1:11" s="2" customFormat="1" x14ac:dyDescent="0.25">
      <c r="A4624" s="28" t="s">
        <v>6985</v>
      </c>
      <c r="B4624" s="29">
        <v>5</v>
      </c>
      <c r="D4624" s="28" t="s">
        <v>6928</v>
      </c>
      <c r="E4624" s="3"/>
      <c r="H4624" s="7"/>
      <c r="K4624" s="30"/>
    </row>
    <row r="4625" spans="1:11" s="2" customFormat="1" x14ac:dyDescent="0.25">
      <c r="A4625" s="28" t="s">
        <v>6986</v>
      </c>
      <c r="B4625" s="29">
        <v>3</v>
      </c>
      <c r="D4625" s="28" t="s">
        <v>6928</v>
      </c>
      <c r="E4625" s="3"/>
      <c r="H4625" s="7"/>
      <c r="K4625" s="30"/>
    </row>
    <row r="4626" spans="1:11" s="2" customFormat="1" x14ac:dyDescent="0.25">
      <c r="A4626" s="28" t="s">
        <v>6987</v>
      </c>
      <c r="B4626" s="29">
        <v>10</v>
      </c>
      <c r="D4626" s="28" t="s">
        <v>6928</v>
      </c>
      <c r="E4626" s="3"/>
      <c r="H4626" s="7"/>
      <c r="K4626" s="30"/>
    </row>
    <row r="4627" spans="1:11" s="2" customFormat="1" x14ac:dyDescent="0.25">
      <c r="A4627" s="28" t="s">
        <v>6988</v>
      </c>
      <c r="B4627" s="29">
        <v>23</v>
      </c>
      <c r="D4627" s="28" t="s">
        <v>6928</v>
      </c>
      <c r="E4627" s="3"/>
      <c r="H4627" s="7"/>
      <c r="K4627" s="30"/>
    </row>
    <row r="4628" spans="1:11" s="2" customFormat="1" x14ac:dyDescent="0.25">
      <c r="A4628" s="28" t="s">
        <v>6989</v>
      </c>
      <c r="B4628" s="29">
        <v>1</v>
      </c>
      <c r="D4628" s="28" t="s">
        <v>6928</v>
      </c>
      <c r="E4628" s="3"/>
      <c r="H4628" s="7"/>
      <c r="K4628" s="30"/>
    </row>
    <row r="4629" spans="1:11" s="2" customFormat="1" x14ac:dyDescent="0.25">
      <c r="A4629" s="28" t="s">
        <v>6990</v>
      </c>
      <c r="B4629" s="29">
        <v>5</v>
      </c>
      <c r="D4629" s="28" t="s">
        <v>6928</v>
      </c>
      <c r="E4629" s="3"/>
      <c r="H4629" s="7"/>
      <c r="K4629" s="30"/>
    </row>
    <row r="4630" spans="1:11" s="2" customFormat="1" x14ac:dyDescent="0.25">
      <c r="A4630" s="28" t="s">
        <v>6991</v>
      </c>
      <c r="B4630" s="29">
        <v>3</v>
      </c>
      <c r="D4630" s="28" t="s">
        <v>6928</v>
      </c>
      <c r="E4630" s="3"/>
      <c r="H4630" s="7"/>
      <c r="K4630" s="30"/>
    </row>
    <row r="4631" spans="1:11" s="2" customFormat="1" x14ac:dyDescent="0.25">
      <c r="A4631" s="28" t="s">
        <v>6992</v>
      </c>
      <c r="B4631" s="29">
        <v>4</v>
      </c>
      <c r="D4631" s="28" t="s">
        <v>6928</v>
      </c>
      <c r="E4631" s="3"/>
      <c r="H4631" s="7"/>
      <c r="K4631" s="30"/>
    </row>
    <row r="4632" spans="1:11" s="2" customFormat="1" x14ac:dyDescent="0.25">
      <c r="A4632" s="28" t="s">
        <v>6993</v>
      </c>
      <c r="B4632" s="29">
        <v>1</v>
      </c>
      <c r="D4632" s="28" t="s">
        <v>6928</v>
      </c>
      <c r="E4632" s="3"/>
      <c r="H4632" s="7"/>
      <c r="K4632" s="30"/>
    </row>
    <row r="4633" spans="1:11" s="2" customFormat="1" x14ac:dyDescent="0.25">
      <c r="A4633" s="28" t="s">
        <v>6994</v>
      </c>
      <c r="B4633" s="29">
        <v>10</v>
      </c>
      <c r="D4633" s="28" t="s">
        <v>6928</v>
      </c>
      <c r="E4633" s="3"/>
      <c r="H4633" s="7"/>
      <c r="K4633" s="30"/>
    </row>
    <row r="4634" spans="1:11" s="2" customFormat="1" x14ac:dyDescent="0.25">
      <c r="B4634" s="3"/>
      <c r="C4634" s="3"/>
    </row>
    <row r="4635" spans="1:11" s="2" customFormat="1" x14ac:dyDescent="0.25">
      <c r="B4635" s="3"/>
      <c r="C4635" s="3"/>
    </row>
    <row r="4636" spans="1:11" s="2" customFormat="1" x14ac:dyDescent="0.25">
      <c r="B4636" s="3"/>
      <c r="C4636" s="3"/>
    </row>
  </sheetData>
  <sortState xmlns:xlrd2="http://schemas.microsoft.com/office/spreadsheetml/2017/richdata2" ref="A1:I105">
    <sortCondition ref="E393:E639"/>
  </sortState>
  <mergeCells count="1">
    <mergeCell ref="G423:H423"/>
  </mergeCells>
  <phoneticPr fontId="14" type="noConversion"/>
  <hyperlinks>
    <hyperlink ref="F220" r:id="rId1" xr:uid="{00000000-0004-0000-0000-000000000000}"/>
    <hyperlink ref="F15" r:id="rId2" xr:uid="{00000000-0004-0000-0000-000001000000}"/>
    <hyperlink ref="F81" r:id="rId3" xr:uid="{00000000-0004-0000-0000-000002000000}"/>
    <hyperlink ref="F465" r:id="rId4" xr:uid="{00000000-0004-0000-0000-000003000000}"/>
    <hyperlink ref="F159" r:id="rId5" xr:uid="{00000000-0004-0000-0000-000004000000}"/>
    <hyperlink ref="F696" r:id="rId6" xr:uid="{00000000-0004-0000-0000-000005000000}"/>
    <hyperlink ref="F79" r:id="rId7" xr:uid="{00000000-0004-0000-0000-000006000000}"/>
    <hyperlink ref="F457" r:id="rId8" xr:uid="{00000000-0004-0000-0000-000007000000}"/>
    <hyperlink ref="F92" r:id="rId9" xr:uid="{00000000-0004-0000-0000-000008000000}"/>
    <hyperlink ref="F610" r:id="rId10" xr:uid="{00000000-0004-0000-0000-000009000000}"/>
    <hyperlink ref="F206" r:id="rId11" xr:uid="{00000000-0004-0000-0000-00000A000000}"/>
    <hyperlink ref="F160" r:id="rId12" xr:uid="{00000000-0004-0000-0000-00000B000000}"/>
    <hyperlink ref="F546" r:id="rId13" xr:uid="{00000000-0004-0000-0000-00000C000000}"/>
    <hyperlink ref="F574" r:id="rId14" xr:uid="{00000000-0004-0000-0000-00000D000000}"/>
    <hyperlink ref="F569" r:id="rId15" xr:uid="{00000000-0004-0000-0000-00000E000000}"/>
    <hyperlink ref="F645" r:id="rId16" xr:uid="{00000000-0004-0000-0000-00000F000000}"/>
    <hyperlink ref="F540" r:id="rId17" xr:uid="{00000000-0004-0000-0000-000010000000}"/>
    <hyperlink ref="F156" r:id="rId18" xr:uid="{00000000-0004-0000-0000-000011000000}"/>
    <hyperlink ref="F427" r:id="rId19" xr:uid="{00000000-0004-0000-0000-000012000000}"/>
    <hyperlink ref="F528" r:id="rId20" xr:uid="{00000000-0004-0000-0000-000013000000}"/>
    <hyperlink ref="F221" r:id="rId21" xr:uid="{00000000-0004-0000-0000-000014000000}"/>
    <hyperlink ref="F655" r:id="rId22" xr:uid="{00000000-0004-0000-0000-000015000000}"/>
    <hyperlink ref="F223" r:id="rId23" xr:uid="{00000000-0004-0000-0000-000016000000}"/>
    <hyperlink ref="F213" r:id="rId24" xr:uid="{00000000-0004-0000-0000-000017000000}"/>
    <hyperlink ref="F216" r:id="rId25" xr:uid="{00000000-0004-0000-0000-000018000000}"/>
    <hyperlink ref="F401" r:id="rId26" xr:uid="{00000000-0004-0000-0000-000019000000}"/>
    <hyperlink ref="F628" r:id="rId27" xr:uid="{00000000-0004-0000-0000-00001A000000}"/>
    <hyperlink ref="F506" r:id="rId28" xr:uid="{00000000-0004-0000-0000-00001B000000}"/>
    <hyperlink ref="F38" r:id="rId29" xr:uid="{00000000-0004-0000-0000-00001C000000}"/>
    <hyperlink ref="F26" r:id="rId30" xr:uid="{00000000-0004-0000-0000-00001D000000}"/>
    <hyperlink ref="F209" r:id="rId31" xr:uid="{00000000-0004-0000-0000-00001E000000}"/>
    <hyperlink ref="F686" r:id="rId32" display="http://rohmfs.rohm.com/en/products/databook/datasheet/discrete/diode/zener/stz5.6n.pdf" xr:uid="{00000000-0004-0000-0000-00001F000000}"/>
    <hyperlink ref="F426" r:id="rId33" xr:uid="{00000000-0004-0000-0000-000020000000}"/>
    <hyperlink ref="F507" r:id="rId34" xr:uid="{00000000-0004-0000-0000-000021000000}"/>
    <hyperlink ref="F83" r:id="rId35" xr:uid="{00000000-0004-0000-0000-000022000000}"/>
    <hyperlink ref="F1422" r:id="rId36" xr:uid="{00000000-0004-0000-0000-000023000000}"/>
    <hyperlink ref="F98" r:id="rId37" xr:uid="{00000000-0004-0000-0000-000024000000}"/>
    <hyperlink ref="F437" r:id="rId38" xr:uid="{00000000-0004-0000-0000-000025000000}"/>
    <hyperlink ref="F212" r:id="rId39" xr:uid="{00000000-0004-0000-0000-000026000000}"/>
    <hyperlink ref="F487" r:id="rId40" xr:uid="{00000000-0004-0000-0000-000027000000}"/>
    <hyperlink ref="F419" r:id="rId41" xr:uid="{00000000-0004-0000-0000-000028000000}"/>
    <hyperlink ref="F226" r:id="rId42" xr:uid="{00000000-0004-0000-0000-000029000000}"/>
    <hyperlink ref="F425" r:id="rId43" xr:uid="{00000000-0004-0000-0000-00002A000000}"/>
    <hyperlink ref="F37" r:id="rId44" xr:uid="{00000000-0004-0000-0000-00002B000000}"/>
    <hyperlink ref="F571" r:id="rId45" xr:uid="{00000000-0004-0000-0000-00002C000000}"/>
    <hyperlink ref="F152" r:id="rId46" xr:uid="{00000000-0004-0000-0000-00002D000000}"/>
    <hyperlink ref="F624" r:id="rId47" xr:uid="{00000000-0004-0000-0000-00002E000000}"/>
    <hyperlink ref="F510" r:id="rId48" xr:uid="{00000000-0004-0000-0000-00002F000000}"/>
    <hyperlink ref="F244" r:id="rId49" xr:uid="{00000000-0004-0000-0000-000030000000}"/>
    <hyperlink ref="F557" r:id="rId50" xr:uid="{00000000-0004-0000-0000-000031000000}"/>
    <hyperlink ref="F651" r:id="rId51" xr:uid="{00000000-0004-0000-0000-000032000000}"/>
    <hyperlink ref="F654" r:id="rId52" xr:uid="{00000000-0004-0000-0000-000033000000}"/>
    <hyperlink ref="F369" r:id="rId53" xr:uid="{00000000-0004-0000-0000-000034000000}"/>
    <hyperlink ref="F415" r:id="rId54" xr:uid="{00000000-0004-0000-0000-000035000000}"/>
    <hyperlink ref="F711" r:id="rId55" xr:uid="{00000000-0004-0000-0000-000036000000}"/>
    <hyperlink ref="F250" r:id="rId56" xr:uid="{00000000-0004-0000-0000-000037000000}"/>
    <hyperlink ref="F84" r:id="rId57" xr:uid="{00000000-0004-0000-0000-000038000000}"/>
    <hyperlink ref="F375" r:id="rId58" xr:uid="{00000000-0004-0000-0000-000039000000}"/>
    <hyperlink ref="F434" r:id="rId59" xr:uid="{00000000-0004-0000-0000-00003A000000}"/>
    <hyperlink ref="F13" r:id="rId60" xr:uid="{00000000-0004-0000-0000-00003B000000}"/>
    <hyperlink ref="F664" r:id="rId61" xr:uid="{00000000-0004-0000-0000-00003C000000}"/>
    <hyperlink ref="F533" r:id="rId62" xr:uid="{00000000-0004-0000-0000-00003D000000}"/>
    <hyperlink ref="F716" r:id="rId63" xr:uid="{00000000-0004-0000-0000-00003E000000}"/>
    <hyperlink ref="F717" r:id="rId64" xr:uid="{00000000-0004-0000-0000-00003F000000}"/>
    <hyperlink ref="F733" r:id="rId65" xr:uid="{00000000-0004-0000-0000-000040000000}"/>
    <hyperlink ref="F638" r:id="rId66" xr:uid="{00000000-0004-0000-0000-000041000000}"/>
    <hyperlink ref="F24" r:id="rId67" xr:uid="{00000000-0004-0000-0000-000042000000}"/>
    <hyperlink ref="F356" r:id="rId68" xr:uid="{00000000-0004-0000-0000-000043000000}"/>
    <hyperlink ref="F357" r:id="rId69" xr:uid="{00000000-0004-0000-0000-000044000000}"/>
    <hyperlink ref="F358" r:id="rId70" display="https://api.e-components.ru/api/item/ds-1069-3-fcw/doc/0" xr:uid="{00000000-0004-0000-0000-000045000000}"/>
    <hyperlink ref="F431" r:id="rId71" xr:uid="{00000000-0004-0000-0000-000046000000}"/>
    <hyperlink ref="F637" r:id="rId72" xr:uid="{00000000-0004-0000-0000-000047000000}"/>
    <hyperlink ref="F462" r:id="rId73" xr:uid="{00000000-0004-0000-0000-000048000000}"/>
    <hyperlink ref="F224" r:id="rId74" xr:uid="{00000000-0004-0000-0000-000049000000}"/>
    <hyperlink ref="F701" r:id="rId75" xr:uid="{00000000-0004-0000-0000-00004A000000}"/>
    <hyperlink ref="F537" r:id="rId76" xr:uid="{00000000-0004-0000-0000-00004B000000}"/>
    <hyperlink ref="F782" r:id="rId77" xr:uid="{00000000-0004-0000-0000-00004C000000}"/>
    <hyperlink ref="F8" r:id="rId78" xr:uid="{00000000-0004-0000-0000-00004D000000}"/>
    <hyperlink ref="F565" r:id="rId79" xr:uid="{00000000-0004-0000-0000-00004E000000}"/>
    <hyperlink ref="F705" r:id="rId80" xr:uid="{00000000-0004-0000-0000-00004F000000}"/>
    <hyperlink ref="F552" r:id="rId81" xr:uid="{00000000-0004-0000-0000-000050000000}"/>
    <hyperlink ref="F1512" r:id="rId82" xr:uid="{00000000-0004-0000-0000-000051000000}"/>
    <hyperlink ref="F351" r:id="rId83" xr:uid="{00000000-0004-0000-0000-000052000000}"/>
    <hyperlink ref="F338" r:id="rId84" xr:uid="{00000000-0004-0000-0000-000053000000}"/>
    <hyperlink ref="F339" r:id="rId85" xr:uid="{00000000-0004-0000-0000-000054000000}"/>
    <hyperlink ref="F332" r:id="rId86" xr:uid="{00000000-0004-0000-0000-000055000000}"/>
    <hyperlink ref="F386" r:id="rId87" xr:uid="{00000000-0004-0000-0000-000056000000}"/>
    <hyperlink ref="F300" r:id="rId88" xr:uid="{00000000-0004-0000-0000-000057000000}"/>
    <hyperlink ref="F656" r:id="rId89" xr:uid="{00000000-0004-0000-0000-000058000000}"/>
    <hyperlink ref="F48" r:id="rId90" xr:uid="{00000000-0004-0000-0000-000059000000}"/>
    <hyperlink ref="F94" r:id="rId91" xr:uid="{00000000-0004-0000-0000-00005A000000}"/>
    <hyperlink ref="F11" r:id="rId92" xr:uid="{00000000-0004-0000-0000-00005B000000}"/>
    <hyperlink ref="F484" r:id="rId93" xr:uid="{00000000-0004-0000-0000-00005C000000}"/>
    <hyperlink ref="F485" r:id="rId94" xr:uid="{00000000-0004-0000-0000-00005D000000}"/>
    <hyperlink ref="F171" r:id="rId95" xr:uid="{00000000-0004-0000-0000-00005E000000}"/>
    <hyperlink ref="F677" r:id="rId96" xr:uid="{00000000-0004-0000-0000-00005F000000}"/>
    <hyperlink ref="F647" r:id="rId97" xr:uid="{00000000-0004-0000-0000-000060000000}"/>
    <hyperlink ref="F454" r:id="rId98" xr:uid="{00000000-0004-0000-0000-000061000000}"/>
    <hyperlink ref="F368" r:id="rId99" xr:uid="{00000000-0004-0000-0000-000062000000}"/>
    <hyperlink ref="F352" r:id="rId100" xr:uid="{00000000-0004-0000-0000-000063000000}"/>
    <hyperlink ref="F831" r:id="rId101" xr:uid="{00000000-0004-0000-0000-000064000000}"/>
    <hyperlink ref="F542" r:id="rId102" xr:uid="{00000000-0004-0000-0000-000065000000}"/>
    <hyperlink ref="F414" r:id="rId103" xr:uid="{00000000-0004-0000-0000-000066000000}"/>
    <hyperlink ref="F101" r:id="rId104" xr:uid="{00000000-0004-0000-0000-000067000000}"/>
    <hyperlink ref="F67" r:id="rId105" xr:uid="{00000000-0004-0000-0000-000068000000}"/>
    <hyperlink ref="F19" r:id="rId106" xr:uid="{00000000-0004-0000-0000-000069000000}"/>
    <hyperlink ref="F20" r:id="rId107" xr:uid="{00000000-0004-0000-0000-00006A000000}"/>
    <hyperlink ref="F662" r:id="rId108" xr:uid="{00000000-0004-0000-0000-00006B000000}"/>
    <hyperlink ref="F721" r:id="rId109" xr:uid="{00000000-0004-0000-0000-00006C000000}"/>
    <hyperlink ref="F660" r:id="rId110" xr:uid="{00000000-0004-0000-0000-00006D000000}"/>
    <hyperlink ref="F198" r:id="rId111" xr:uid="{00000000-0004-0000-0000-00006E000000}"/>
    <hyperlink ref="F93" r:id="rId112" xr:uid="{00000000-0004-0000-0000-00006F000000}"/>
    <hyperlink ref="F772" r:id="rId113" xr:uid="{00000000-0004-0000-0000-000070000000}"/>
    <hyperlink ref="F243" r:id="rId114" xr:uid="{00000000-0004-0000-0000-000071000000}"/>
    <hyperlink ref="F500" r:id="rId115" xr:uid="{00000000-0004-0000-0000-000072000000}"/>
    <hyperlink ref="F248" r:id="rId116" xr:uid="{00000000-0004-0000-0000-000073000000}"/>
    <hyperlink ref="F215" r:id="rId117" xr:uid="{00000000-0004-0000-0000-000074000000}"/>
    <hyperlink ref="F704" r:id="rId118" xr:uid="{00000000-0004-0000-0000-000075000000}"/>
    <hyperlink ref="F18" r:id="rId119" xr:uid="{00000000-0004-0000-0000-000076000000}"/>
    <hyperlink ref="F648" r:id="rId120" xr:uid="{00000000-0004-0000-0000-000077000000}"/>
    <hyperlink ref="F430" r:id="rId121" xr:uid="{00000000-0004-0000-0000-000078000000}"/>
    <hyperlink ref="F78" r:id="rId122" xr:uid="{00000000-0004-0000-0000-000079000000}"/>
    <hyperlink ref="F14" r:id="rId123" xr:uid="{00000000-0004-0000-0000-00007A000000}"/>
    <hyperlink ref="F64" r:id="rId124" xr:uid="{00000000-0004-0000-0000-00007B000000}"/>
    <hyperlink ref="F65" r:id="rId125" xr:uid="{00000000-0004-0000-0000-00007C000000}"/>
    <hyperlink ref="F720" r:id="rId126" xr:uid="{00000000-0004-0000-0000-00007D000000}"/>
    <hyperlink ref="F116" r:id="rId127" xr:uid="{00000000-0004-0000-0000-00007E000000}"/>
    <hyperlink ref="F740" r:id="rId128" xr:uid="{00000000-0004-0000-0000-00007F000000}"/>
    <hyperlink ref="F118" r:id="rId129" xr:uid="{00000000-0004-0000-0000-000080000000}"/>
    <hyperlink ref="F665" r:id="rId130" xr:uid="{00000000-0004-0000-0000-000081000000}"/>
    <hyperlink ref="F350" r:id="rId131" xr:uid="{00000000-0004-0000-0000-000082000000}"/>
    <hyperlink ref="F589" r:id="rId132" xr:uid="{00000000-0004-0000-0000-000083000000}"/>
    <hyperlink ref="F388" r:id="rId133" xr:uid="{00000000-0004-0000-0000-000084000000}"/>
    <hyperlink ref="F466" r:id="rId134" xr:uid="{00000000-0004-0000-0000-000085000000}"/>
    <hyperlink ref="F607" r:id="rId135" xr:uid="{00000000-0004-0000-0000-000086000000}"/>
    <hyperlink ref="F578" r:id="rId136" xr:uid="{00000000-0004-0000-0000-000087000000}"/>
    <hyperlink ref="F331" r:id="rId137" display="https://api.e-components.ru/api/item/ds-1021-2-40-sf11/doc/0" xr:uid="{00000000-0004-0000-0000-000088000000}"/>
    <hyperlink ref="F330" r:id="rId138" xr:uid="{00000000-0004-0000-0000-000089000000}"/>
    <hyperlink ref="F1522" r:id="rId139" xr:uid="{00000000-0004-0000-0000-00008A000000}"/>
    <hyperlink ref="F344" r:id="rId140" xr:uid="{00000000-0004-0000-0000-00008B000000}"/>
    <hyperlink ref="F280" r:id="rId141" xr:uid="{00000000-0004-0000-0000-00008C000000}"/>
    <hyperlink ref="F281" r:id="rId142" xr:uid="{00000000-0004-0000-0000-00008D000000}"/>
    <hyperlink ref="F282" r:id="rId143" xr:uid="{00000000-0004-0000-0000-00008E000000}"/>
    <hyperlink ref="F391" r:id="rId144" xr:uid="{00000000-0004-0000-0000-00008F000000}"/>
    <hyperlink ref="F476" r:id="rId145" xr:uid="{00000000-0004-0000-0000-000090000000}"/>
    <hyperlink ref="F397" r:id="rId146" xr:uid="{00000000-0004-0000-0000-000091000000}"/>
    <hyperlink ref="F593" r:id="rId147" xr:uid="{00000000-0004-0000-0000-000092000000}"/>
    <hyperlink ref="F591" r:id="rId148" xr:uid="{00000000-0004-0000-0000-000093000000}"/>
    <hyperlink ref="F594" r:id="rId149" xr:uid="{00000000-0004-0000-0000-000094000000}"/>
    <hyperlink ref="F592" r:id="rId150" xr:uid="{00000000-0004-0000-0000-000095000000}"/>
    <hyperlink ref="F561" r:id="rId151" xr:uid="{00000000-0004-0000-0000-000096000000}"/>
    <hyperlink ref="F464" r:id="rId152" xr:uid="{00000000-0004-0000-0000-000097000000}"/>
    <hyperlink ref="F702" r:id="rId153" xr:uid="{00000000-0004-0000-0000-000098000000}"/>
    <hyperlink ref="F432" r:id="rId154" xr:uid="{00000000-0004-0000-0000-000099000000}"/>
    <hyperlink ref="F42" r:id="rId155" xr:uid="{00000000-0004-0000-0000-00009A000000}"/>
    <hyperlink ref="F443" r:id="rId156" xr:uid="{00000000-0004-0000-0000-00009B000000}"/>
    <hyperlink ref="F734" r:id="rId157" xr:uid="{00000000-0004-0000-0000-00009C000000}"/>
    <hyperlink ref="F685" r:id="rId158" xr:uid="{00000000-0004-0000-0000-00009D000000}"/>
    <hyperlink ref="F521" r:id="rId159" xr:uid="{00000000-0004-0000-0000-00009E000000}"/>
    <hyperlink ref="F345" r:id="rId160" xr:uid="{00000000-0004-0000-0000-00009F000000}"/>
    <hyperlink ref="F343" r:id="rId161" xr:uid="{00000000-0004-0000-0000-0000A0000000}"/>
    <hyperlink ref="F346" r:id="rId162" xr:uid="{00000000-0004-0000-0000-0000A1000000}"/>
    <hyperlink ref="F503" r:id="rId163" xr:uid="{00000000-0004-0000-0000-0000A2000000}"/>
    <hyperlink ref="F736" r:id="rId164" xr:uid="{00000000-0004-0000-0000-0000A3000000}"/>
    <hyperlink ref="F155" r:id="rId165" xr:uid="{00000000-0004-0000-0000-0000A4000000}"/>
    <hyperlink ref="F87" r:id="rId166" xr:uid="{00000000-0004-0000-0000-0000A5000000}"/>
    <hyperlink ref="F348" r:id="rId167" xr:uid="{00000000-0004-0000-0000-0000A6000000}"/>
    <hyperlink ref="F355" r:id="rId168" xr:uid="{00000000-0004-0000-0000-0000A7000000}"/>
    <hyperlink ref="F1316" r:id="rId169" xr:uid="{00000000-0004-0000-0000-0000A8000000}"/>
    <hyperlink ref="F1223" r:id="rId170" xr:uid="{00000000-0004-0000-0000-0000A9000000}"/>
    <hyperlink ref="F1361" r:id="rId171" xr:uid="{00000000-0004-0000-0000-0000AA000000}"/>
    <hyperlink ref="F917" r:id="rId172" xr:uid="{00000000-0004-0000-0000-0000AB000000}"/>
    <hyperlink ref="F903" r:id="rId173" xr:uid="{00000000-0004-0000-0000-0000AC000000}"/>
    <hyperlink ref="F904" r:id="rId174" xr:uid="{00000000-0004-0000-0000-0000AD000000}"/>
    <hyperlink ref="F1146" r:id="rId175" xr:uid="{00000000-0004-0000-0000-0000AE000000}"/>
    <hyperlink ref="F983" r:id="rId176" xr:uid="{00000000-0004-0000-0000-0000AF000000}"/>
    <hyperlink ref="F1009" r:id="rId177" xr:uid="{00000000-0004-0000-0000-0000B0000000}"/>
    <hyperlink ref="F373" r:id="rId178" xr:uid="{00000000-0004-0000-0000-0000B1000000}"/>
    <hyperlink ref="F902" r:id="rId179" xr:uid="{00000000-0004-0000-0000-0000B2000000}"/>
    <hyperlink ref="F987" r:id="rId180" xr:uid="{00000000-0004-0000-0000-0000B3000000}"/>
    <hyperlink ref="F1254" r:id="rId181" xr:uid="{00000000-0004-0000-0000-0000B4000000}"/>
    <hyperlink ref="F1272" r:id="rId182" xr:uid="{00000000-0004-0000-0000-0000B5000000}"/>
    <hyperlink ref="F1283" r:id="rId183" xr:uid="{00000000-0004-0000-0000-0000B6000000}"/>
    <hyperlink ref="F1330" r:id="rId184" xr:uid="{00000000-0004-0000-0000-0000B7000000}"/>
    <hyperlink ref="F1345" r:id="rId185" xr:uid="{00000000-0004-0000-0000-0000B8000000}"/>
    <hyperlink ref="F1363" r:id="rId186" xr:uid="{00000000-0004-0000-0000-0000B9000000}"/>
    <hyperlink ref="F1221" r:id="rId187" xr:uid="{00000000-0004-0000-0000-0000BA000000}"/>
    <hyperlink ref="F1273" r:id="rId188" xr:uid="{00000000-0004-0000-0000-0000BB000000}"/>
    <hyperlink ref="F1289" r:id="rId189" xr:uid="{00000000-0004-0000-0000-0000BC000000}"/>
    <hyperlink ref="F1323" r:id="rId190" xr:uid="{00000000-0004-0000-0000-0000BD000000}"/>
    <hyperlink ref="F1332" r:id="rId191" xr:uid="{00000000-0004-0000-0000-0000BE000000}"/>
    <hyperlink ref="F1355" r:id="rId192" xr:uid="{00000000-0004-0000-0000-0000BF000000}"/>
    <hyperlink ref="F1362" r:id="rId193" xr:uid="{00000000-0004-0000-0000-0000C0000000}"/>
    <hyperlink ref="F1187" r:id="rId194" xr:uid="{00000000-0004-0000-0000-0000C1000000}"/>
    <hyperlink ref="F1196" r:id="rId195" xr:uid="{00000000-0004-0000-0000-0000C2000000}"/>
    <hyperlink ref="F1374" r:id="rId196" xr:uid="{00000000-0004-0000-0000-0000C3000000}"/>
    <hyperlink ref="F1216" r:id="rId197" xr:uid="{00000000-0004-0000-0000-0000C4000000}"/>
    <hyperlink ref="F1293" r:id="rId198" xr:uid="{00000000-0004-0000-0000-0000C5000000}"/>
    <hyperlink ref="F820" r:id="rId199" xr:uid="{00000000-0004-0000-0000-0000C6000000}"/>
    <hyperlink ref="F1190" r:id="rId200" xr:uid="{00000000-0004-0000-0000-0000C7000000}"/>
    <hyperlink ref="F1364" r:id="rId201" xr:uid="{00000000-0004-0000-0000-0000C8000000}"/>
    <hyperlink ref="F1284" r:id="rId202" xr:uid="{00000000-0004-0000-0000-0000C9000000}"/>
    <hyperlink ref="F1372" r:id="rId203" xr:uid="{00000000-0004-0000-0000-0000CA000000}"/>
    <hyperlink ref="F779" r:id="rId204" xr:uid="{00000000-0004-0000-0000-0000CB000000}"/>
    <hyperlink ref="F1359" r:id="rId205" xr:uid="{00000000-0004-0000-0000-0000CC000000}"/>
    <hyperlink ref="F1288" r:id="rId206" xr:uid="{00000000-0004-0000-0000-0000CD000000}"/>
    <hyperlink ref="F1232" r:id="rId207" xr:uid="{00000000-0004-0000-0000-0000CE000000}"/>
    <hyperlink ref="F1229" r:id="rId208" xr:uid="{00000000-0004-0000-0000-0000CF000000}"/>
    <hyperlink ref="F1231" r:id="rId209" xr:uid="{00000000-0004-0000-0000-0000D0000000}"/>
    <hyperlink ref="F890" r:id="rId210" xr:uid="{00000000-0004-0000-0000-0000D1000000}"/>
    <hyperlink ref="F1298" r:id="rId211" xr:uid="{00000000-0004-0000-0000-0000D2000000}"/>
    <hyperlink ref="F1225" r:id="rId212" xr:uid="{00000000-0004-0000-0000-0000D3000000}"/>
    <hyperlink ref="F1215" r:id="rId213" xr:uid="{00000000-0004-0000-0000-0000D4000000}"/>
    <hyperlink ref="F839" r:id="rId214" xr:uid="{00000000-0004-0000-0000-0000D5000000}"/>
    <hyperlink ref="F954" r:id="rId215" xr:uid="{00000000-0004-0000-0000-0000D6000000}"/>
    <hyperlink ref="F1303" r:id="rId216" xr:uid="{00000000-0004-0000-0000-0000D7000000}"/>
    <hyperlink ref="F1157" r:id="rId217" xr:uid="{00000000-0004-0000-0000-0000D8000000}"/>
    <hyperlink ref="F1175" r:id="rId218" xr:uid="{00000000-0004-0000-0000-0000D9000000}"/>
    <hyperlink ref="F919" r:id="rId219" xr:uid="{00000000-0004-0000-0000-0000DA000000}"/>
    <hyperlink ref="F1149" r:id="rId220" display="http://www.yageo.com.tw/exep/pages/download/literatures/PYu-R_INT-thick_7.pdf" xr:uid="{00000000-0004-0000-0000-0000DB000000}"/>
    <hyperlink ref="F1318" r:id="rId221" xr:uid="{00000000-0004-0000-0000-0000DC000000}"/>
    <hyperlink ref="F1291" r:id="rId222" xr:uid="{00000000-0004-0000-0000-0000DD000000}"/>
    <hyperlink ref="F1327" r:id="rId223" xr:uid="{00000000-0004-0000-0000-0000DE000000}"/>
    <hyperlink ref="F1420" r:id="rId224" xr:uid="{00000000-0004-0000-0000-0000DF000000}"/>
    <hyperlink ref="F1162" r:id="rId225" display="http://www.yageo.com.tw/exep/pages/download/literatures/PYu-R_INT-thick_7.pdf" xr:uid="{00000000-0004-0000-0000-0000E0000000}"/>
    <hyperlink ref="F914" r:id="rId226" xr:uid="{00000000-0004-0000-0000-0000E1000000}"/>
    <hyperlink ref="F895" r:id="rId227" xr:uid="{00000000-0004-0000-0000-0000E2000000}"/>
    <hyperlink ref="F1402" r:id="rId228" xr:uid="{00000000-0004-0000-0000-0000E3000000}"/>
    <hyperlink ref="F941" r:id="rId229" xr:uid="{00000000-0004-0000-0000-0000E4000000}"/>
    <hyperlink ref="F1020" r:id="rId230" xr:uid="{00000000-0004-0000-0000-0000E5000000}"/>
    <hyperlink ref="F1256" r:id="rId231" xr:uid="{00000000-0004-0000-0000-0000E6000000}"/>
    <hyperlink ref="F1257" r:id="rId232" xr:uid="{00000000-0004-0000-0000-0000E7000000}"/>
    <hyperlink ref="F1217" r:id="rId233" xr:uid="{00000000-0004-0000-0000-0000E8000000}"/>
    <hyperlink ref="F1259" r:id="rId234" xr:uid="{00000000-0004-0000-0000-0000E9000000}"/>
    <hyperlink ref="F1195" r:id="rId235" xr:uid="{00000000-0004-0000-0000-0000EA000000}"/>
    <hyperlink ref="F1270" r:id="rId236" xr:uid="{00000000-0004-0000-0000-0000EB000000}"/>
    <hyperlink ref="F1484" r:id="rId237" xr:uid="{00000000-0004-0000-0000-0000EC000000}"/>
    <hyperlink ref="F1148" r:id="rId238" display="http://www.yageo.com.tw/exep/pages/download/literatures/PYu-R_INT-thick_7.pdf" xr:uid="{00000000-0004-0000-0000-0000ED000000}"/>
    <hyperlink ref="F880" r:id="rId239" xr:uid="{00000000-0004-0000-0000-0000EE000000}"/>
    <hyperlink ref="F1165" r:id="rId240" display="http://www.yageo.com.tw/exep/pages/download/literatures/PYu-R_INT-thick_7.pdf" xr:uid="{00000000-0004-0000-0000-0000EF000000}"/>
    <hyperlink ref="F1220" r:id="rId241" xr:uid="{00000000-0004-0000-0000-0000F0000000}"/>
    <hyperlink ref="F1269" r:id="rId242" xr:uid="{00000000-0004-0000-0000-0000F1000000}"/>
    <hyperlink ref="F1297" r:id="rId243" xr:uid="{00000000-0004-0000-0000-0000F2000000}"/>
    <hyperlink ref="F1488" r:id="rId244" xr:uid="{00000000-0004-0000-0000-0000F3000000}"/>
    <hyperlink ref="F1485" r:id="rId245" xr:uid="{00000000-0004-0000-0000-0000F4000000}"/>
    <hyperlink ref="F1486" r:id="rId246" xr:uid="{00000000-0004-0000-0000-0000F5000000}"/>
    <hyperlink ref="F1280" r:id="rId247" xr:uid="{00000000-0004-0000-0000-0000F6000000}"/>
    <hyperlink ref="F787" r:id="rId248" xr:uid="{00000000-0004-0000-0000-0000F7000000}"/>
    <hyperlink ref="F1170" r:id="rId249" display="http://www.yageo.com.tw/exep/pages/download/literatures/PYu-R_INT-thick_7.pdf" xr:uid="{00000000-0004-0000-0000-0000F8000000}"/>
    <hyperlink ref="F1137" r:id="rId250" display="http://www.yageo.com.tw/exep/pages/download/literatures/PYu-R_INT-thick_7.pdf" xr:uid="{00000000-0004-0000-0000-0000F9000000}"/>
    <hyperlink ref="F1360" r:id="rId251" xr:uid="{00000000-0004-0000-0000-0000FA000000}"/>
    <hyperlink ref="F931" r:id="rId252" xr:uid="{00000000-0004-0000-0000-0000FB000000}"/>
    <hyperlink ref="F1088" r:id="rId253" xr:uid="{00000000-0004-0000-0000-0000FC000000}"/>
    <hyperlink ref="F1218" r:id="rId254" xr:uid="{00000000-0004-0000-0000-0000FD000000}"/>
    <hyperlink ref="F1240" r:id="rId255" xr:uid="{00000000-0004-0000-0000-0000FE000000}"/>
    <hyperlink ref="F1198" r:id="rId256" xr:uid="{00000000-0004-0000-0000-0000FF000000}"/>
    <hyperlink ref="F1255" r:id="rId257" xr:uid="{00000000-0004-0000-0000-000000010000}"/>
    <hyperlink ref="F1274" r:id="rId258" xr:uid="{00000000-0004-0000-0000-000001010000}"/>
    <hyperlink ref="F761" r:id="rId259" xr:uid="{00000000-0004-0000-0000-000002010000}"/>
    <hyperlink ref="F1011" r:id="rId260" xr:uid="{00000000-0004-0000-0000-000003010000}"/>
    <hyperlink ref="F1111" r:id="rId261" xr:uid="{00000000-0004-0000-0000-000004010000}"/>
    <hyperlink ref="F894" r:id="rId262" xr:uid="{00000000-0004-0000-0000-000005010000}"/>
    <hyperlink ref="F964" r:id="rId263" xr:uid="{00000000-0004-0000-0000-000006010000}"/>
    <hyperlink ref="F920" r:id="rId264" xr:uid="{00000000-0004-0000-0000-000007010000}"/>
    <hyperlink ref="F604" r:id="rId265" xr:uid="{00000000-0004-0000-0000-000008010000}"/>
    <hyperlink ref="F988" r:id="rId266" xr:uid="{00000000-0004-0000-0000-000009010000}"/>
    <hyperlink ref="F865" r:id="rId267" xr:uid="{00000000-0004-0000-0000-00000A010000}"/>
    <hyperlink ref="F960" r:id="rId268" xr:uid="{00000000-0004-0000-0000-00000B010000}"/>
    <hyperlink ref="F1209" r:id="rId269" display="http://www.yageo.com.tw/exep/pages/download/literatures/PYu-R_INT-thick_7.pdf" xr:uid="{00000000-0004-0000-0000-00000C010000}"/>
    <hyperlink ref="F1067" r:id="rId270" xr:uid="{00000000-0004-0000-0000-00000D010000}"/>
    <hyperlink ref="F1076" r:id="rId271" xr:uid="{00000000-0004-0000-0000-00000E010000}"/>
    <hyperlink ref="F876" r:id="rId272" xr:uid="{00000000-0004-0000-0000-00000F010000}"/>
    <hyperlink ref="F1034" r:id="rId273" xr:uid="{00000000-0004-0000-0000-000010010000}"/>
    <hyperlink ref="F1328" r:id="rId274" xr:uid="{00000000-0004-0000-0000-000011010000}"/>
    <hyperlink ref="F901" r:id="rId275" xr:uid="{00000000-0004-0000-0000-000012010000}"/>
    <hyperlink ref="F830" r:id="rId276" xr:uid="{00000000-0004-0000-0000-000013010000}"/>
    <hyperlink ref="F1271" r:id="rId277" xr:uid="{00000000-0004-0000-0000-000014010000}"/>
    <hyperlink ref="F1419" r:id="rId278" xr:uid="{00000000-0004-0000-0000-000015010000}"/>
    <hyperlink ref="F891" r:id="rId279" xr:uid="{00000000-0004-0000-0000-000016010000}"/>
    <hyperlink ref="F1121" r:id="rId280" xr:uid="{00000000-0004-0000-0000-000017010000}"/>
    <hyperlink ref="F884" r:id="rId281" xr:uid="{00000000-0004-0000-0000-000018010000}"/>
    <hyperlink ref="F812" r:id="rId282" xr:uid="{00000000-0004-0000-0000-000019010000}"/>
    <hyperlink ref="F1234" r:id="rId283" xr:uid="{00000000-0004-0000-0000-00001A010000}"/>
    <hyperlink ref="F1210" r:id="rId284" display="http://www.yageo.com.tw/exep/pages/download/literatures/PYu-R_INT-thick_7.pdf" xr:uid="{00000000-0004-0000-0000-00001B010000}"/>
    <hyperlink ref="F1299" r:id="rId285" xr:uid="{00000000-0004-0000-0000-00001C010000}"/>
    <hyperlink ref="F1490" r:id="rId286" xr:uid="{00000000-0004-0000-0000-00001D010000}"/>
    <hyperlink ref="F1171" r:id="rId287" display="http://www.yageo.com.tw/exep/pages/download/literatures/PYu-R_INT-thick_7.pdf" xr:uid="{00000000-0004-0000-0000-00001E010000}"/>
    <hyperlink ref="F826" r:id="rId288" xr:uid="{00000000-0004-0000-0000-00001F010000}"/>
    <hyperlink ref="F1233" r:id="rId289" xr:uid="{00000000-0004-0000-0000-000020010000}"/>
    <hyperlink ref="F1193" r:id="rId290" xr:uid="{00000000-0004-0000-0000-000021010000}"/>
    <hyperlink ref="F911" r:id="rId291" xr:uid="{00000000-0004-0000-0000-000022010000}"/>
    <hyperlink ref="F843" r:id="rId292" xr:uid="{00000000-0004-0000-0000-000023010000}"/>
    <hyperlink ref="F797" r:id="rId293" xr:uid="{00000000-0004-0000-0000-000024010000}"/>
    <hyperlink ref="F828" r:id="rId294" xr:uid="{00000000-0004-0000-0000-000025010000}"/>
    <hyperlink ref="F1019" r:id="rId295" xr:uid="{00000000-0004-0000-0000-000026010000}"/>
    <hyperlink ref="F858" r:id="rId296" xr:uid="{00000000-0004-0000-0000-000027010000}"/>
    <hyperlink ref="F856" r:id="rId297" xr:uid="{00000000-0004-0000-0000-000028010000}"/>
    <hyperlink ref="F1060" r:id="rId298" display="https://industrial.panasonic.com/ww/products/capacitors/aluminum-capacitors/aluminum-cap-lead/fc/EEUFC1H4R7B" xr:uid="{00000000-0004-0000-0000-000029010000}"/>
    <hyperlink ref="F1039" r:id="rId299" xr:uid="{00000000-0004-0000-0000-00002A010000}"/>
    <hyperlink ref="F1050" r:id="rId300" xr:uid="{00000000-0004-0000-0000-00002B010000}"/>
    <hyperlink ref="F1059" r:id="rId301" xr:uid="{00000000-0004-0000-0000-00002C010000}"/>
    <hyperlink ref="F883" r:id="rId302" xr:uid="{00000000-0004-0000-0000-00002D010000}"/>
    <hyperlink ref="F835" r:id="rId303" xr:uid="{00000000-0004-0000-0000-00002E010000}"/>
    <hyperlink ref="F824" r:id="rId304" xr:uid="{00000000-0004-0000-0000-00002F010000}"/>
    <hyperlink ref="F845" r:id="rId305" xr:uid="{00000000-0004-0000-0000-000030010000}"/>
    <hyperlink ref="F186" r:id="rId306" xr:uid="{00000000-0004-0000-0000-000031010000}"/>
    <hyperlink ref="F1063" r:id="rId307" xr:uid="{00000000-0004-0000-0000-000032010000}"/>
    <hyperlink ref="F1516" r:id="rId308" xr:uid="{00000000-0004-0000-0000-000033010000}"/>
    <hyperlink ref="F1055" r:id="rId309" xr:uid="{00000000-0004-0000-0000-000034010000}"/>
    <hyperlink ref="F1122" r:id="rId310" xr:uid="{00000000-0004-0000-0000-000035010000}"/>
    <hyperlink ref="F953" r:id="rId311" xr:uid="{00000000-0004-0000-0000-000036010000}"/>
    <hyperlink ref="F548" r:id="rId312" xr:uid="{00000000-0004-0000-0000-000037010000}"/>
    <hyperlink ref="F934" r:id="rId313" xr:uid="{00000000-0004-0000-0000-000038010000}"/>
    <hyperlink ref="F855" r:id="rId314" xr:uid="{00000000-0004-0000-0000-000039010000}"/>
    <hyperlink ref="F848" r:id="rId315" xr:uid="{00000000-0004-0000-0000-00003A010000}"/>
    <hyperlink ref="F1279" r:id="rId316" xr:uid="{00000000-0004-0000-0000-00003B010000}"/>
    <hyperlink ref="F1367" r:id="rId317" xr:uid="{00000000-0004-0000-0000-00003C010000}"/>
    <hyperlink ref="F1258" r:id="rId318" xr:uid="{00000000-0004-0000-0000-00003D010000}"/>
    <hyperlink ref="F1230" r:id="rId319" xr:uid="{00000000-0004-0000-0000-00003E010000}"/>
    <hyperlink ref="F1091" r:id="rId320" xr:uid="{00000000-0004-0000-0000-00003F010000}"/>
    <hyperlink ref="F1189" r:id="rId321" xr:uid="{00000000-0004-0000-0000-000040010000}"/>
    <hyperlink ref="F1068" r:id="rId322" xr:uid="{00000000-0004-0000-0000-000041010000}"/>
    <hyperlink ref="F937" r:id="rId323" xr:uid="{00000000-0004-0000-0000-000042010000}"/>
    <hyperlink ref="F896" r:id="rId324" xr:uid="{00000000-0004-0000-0000-000043010000}"/>
    <hyperlink ref="F897" r:id="rId325" xr:uid="{00000000-0004-0000-0000-000044010000}"/>
    <hyperlink ref="F928" r:id="rId326" xr:uid="{00000000-0004-0000-0000-000045010000}"/>
    <hyperlink ref="F980" r:id="rId327" xr:uid="{00000000-0004-0000-0000-000046010000}"/>
    <hyperlink ref="F1491" r:id="rId328" xr:uid="{00000000-0004-0000-0000-000047010000}"/>
    <hyperlink ref="F1079" r:id="rId329" xr:uid="{00000000-0004-0000-0000-000048010000}"/>
    <hyperlink ref="F1493" r:id="rId330" xr:uid="{00000000-0004-0000-0000-000049010000}"/>
    <hyperlink ref="F1168" r:id="rId331" display="http://www.yageo.com.tw/exep/pages/download/literatures/PYu-R_INT-thick_7.pdf" xr:uid="{00000000-0004-0000-0000-00004A010000}"/>
    <hyperlink ref="F1438" r:id="rId332" xr:uid="{00000000-0004-0000-0000-00004B010000}"/>
    <hyperlink ref="F905" r:id="rId333" xr:uid="{00000000-0004-0000-0000-00004C010000}"/>
    <hyperlink ref="F842" r:id="rId334" xr:uid="{00000000-0004-0000-0000-00004D010000}"/>
    <hyperlink ref="F961" r:id="rId335" xr:uid="{00000000-0004-0000-0000-00004E010000}"/>
    <hyperlink ref="F979" r:id="rId336" xr:uid="{00000000-0004-0000-0000-00004F010000}"/>
    <hyperlink ref="F972" r:id="rId337" xr:uid="{00000000-0004-0000-0000-000050010000}"/>
    <hyperlink ref="F991" r:id="rId338" xr:uid="{00000000-0004-0000-0000-000051010000}"/>
    <hyperlink ref="F1448" r:id="rId339" xr:uid="{00000000-0004-0000-0000-000052010000}"/>
    <hyperlink ref="F940" r:id="rId340" xr:uid="{00000000-0004-0000-0000-000053010000}"/>
    <hyperlink ref="F1134" r:id="rId341" display="http://www.yageo.com.tw/exep/pages/download/literatures/PYu-R_INT-thick_7.pdf" xr:uid="{00000000-0004-0000-0000-000054010000}"/>
    <hyperlink ref="F796" r:id="rId342" xr:uid="{00000000-0004-0000-0000-000055010000}"/>
    <hyperlink ref="F1120" r:id="rId343" xr:uid="{00000000-0004-0000-0000-000056010000}"/>
    <hyperlink ref="F1248" r:id="rId344" xr:uid="{00000000-0004-0000-0000-000057010000}"/>
    <hyperlink ref="F1244" r:id="rId345" xr:uid="{00000000-0004-0000-0000-000058010000}"/>
    <hyperlink ref="F1320" r:id="rId346" xr:uid="{00000000-0004-0000-0000-000059010000}"/>
    <hyperlink ref="F1075" r:id="rId347" xr:uid="{00000000-0004-0000-0000-00005A010000}"/>
    <hyperlink ref="F909" r:id="rId348" xr:uid="{00000000-0004-0000-0000-00005B010000}"/>
    <hyperlink ref="F276" r:id="rId349" xr:uid="{00000000-0004-0000-0000-00005C010000}"/>
    <hyperlink ref="F846" r:id="rId350" xr:uid="{00000000-0004-0000-0000-00005D010000}"/>
    <hyperlink ref="F798" r:id="rId351" xr:uid="{00000000-0004-0000-0000-00005E010000}"/>
    <hyperlink ref="F836" r:id="rId352" xr:uid="{00000000-0004-0000-0000-00005F010000}"/>
    <hyperlink ref="F817" r:id="rId353" xr:uid="{00000000-0004-0000-0000-000060010000}"/>
    <hyperlink ref="F1008" r:id="rId354" xr:uid="{00000000-0004-0000-0000-000061010000}"/>
    <hyperlink ref="F801" r:id="rId355" xr:uid="{00000000-0004-0000-0000-000062010000}"/>
    <hyperlink ref="F1090" r:id="rId356" xr:uid="{00000000-0004-0000-0000-000063010000}"/>
    <hyperlink ref="F802" r:id="rId357" xr:uid="{00000000-0004-0000-0000-000064010000}"/>
    <hyperlink ref="F1304" r:id="rId358" xr:uid="{00000000-0004-0000-0000-000065010000}"/>
    <hyperlink ref="F1239" r:id="rId359" xr:uid="{00000000-0004-0000-0000-000066010000}"/>
    <hyperlink ref="F1308" r:id="rId360" xr:uid="{00000000-0004-0000-0000-000067010000}"/>
    <hyperlink ref="F544" r:id="rId361" xr:uid="{00000000-0004-0000-0000-000068010000}"/>
    <hyperlink ref="F1105" r:id="rId362" xr:uid="{00000000-0004-0000-0000-000069010000}"/>
    <hyperlink ref="F461" r:id="rId363" xr:uid="{00000000-0004-0000-0000-00006A010000}"/>
    <hyperlink ref="F302" r:id="rId364" location="documentSection" xr:uid="{00000000-0004-0000-0000-00006B010000}"/>
    <hyperlink ref="F764" r:id="rId365" xr:uid="{00000000-0004-0000-0000-00006C010000}"/>
    <hyperlink ref="F840" r:id="rId366" xr:uid="{00000000-0004-0000-0000-00006D010000}"/>
    <hyperlink ref="F818" r:id="rId367" xr:uid="{00000000-0004-0000-0000-00006E010000}"/>
    <hyperlink ref="F763" r:id="rId368" xr:uid="{00000000-0004-0000-0000-00006F010000}"/>
    <hyperlink ref="F1184" r:id="rId369" xr:uid="{00000000-0004-0000-0000-000070010000}"/>
    <hyperlink ref="F1130" r:id="rId370" xr:uid="{00000000-0004-0000-0000-000071010000}"/>
    <hyperlink ref="F678" r:id="rId371" xr:uid="{00000000-0004-0000-0000-000072010000}"/>
    <hyperlink ref="F161" r:id="rId372" xr:uid="{00000000-0004-0000-0000-000073010000}"/>
    <hyperlink ref="F550" r:id="rId373" xr:uid="{00000000-0004-0000-0000-000074010000}"/>
    <hyperlink ref="F1022" r:id="rId374" xr:uid="{00000000-0004-0000-0000-000075010000}"/>
    <hyperlink ref="F1031" r:id="rId375" xr:uid="{00000000-0004-0000-0000-000076010000}"/>
    <hyperlink ref="F47" r:id="rId376" xr:uid="{00000000-0004-0000-0000-000077010000}"/>
    <hyperlink ref="F80" r:id="rId377" xr:uid="{00000000-0004-0000-0000-000078010000}"/>
    <hyperlink ref="F850" r:id="rId378" xr:uid="{00000000-0004-0000-0000-000079010000}"/>
    <hyperlink ref="F849" r:id="rId379" xr:uid="{00000000-0004-0000-0000-00007A010000}"/>
    <hyperlink ref="F900" r:id="rId380" xr:uid="{00000000-0004-0000-0000-00007B010000}"/>
    <hyperlink ref="F1085" r:id="rId381" xr:uid="{00000000-0004-0000-0000-00007C010000}"/>
    <hyperlink ref="F632" r:id="rId382" xr:uid="{00000000-0004-0000-0000-00007D010000}"/>
    <hyperlink ref="F633" r:id="rId383" xr:uid="{00000000-0004-0000-0000-00007E010000}"/>
    <hyperlink ref="F1040" r:id="rId384" xr:uid="{00000000-0004-0000-0000-00007F010000}"/>
    <hyperlink ref="F298" r:id="rId385" xr:uid="{00000000-0004-0000-0000-000080010000}"/>
    <hyperlink ref="F851" r:id="rId386" xr:uid="{00000000-0004-0000-0000-000081010000}"/>
    <hyperlink ref="F279" display="https://www.ti.com/lit/ds/symlink/cd74hc14.pdf?HQS=dis-dk-null-digikeymode-dsf-pf-null-wwe&amp;ts=1645194928427&amp;ref_url=https%253A%252F%252Fwww.ti.com%252Fgeneral%252Fdocs%252Fsuppproductinfo.tsp%253FdistId%253D10%2526gotoUrl%253Dhttps%253A%252F%252Fwww.ti.co" xr:uid="{00000000-0004-0000-0000-000082010000}"/>
    <hyperlink ref="F278" display="https://www.ti.com/lit/ds/symlink/cd74act240.pdf?HQS=dis-dk-null-digikeymode-dsf-pf-null-wwe&amp;ts=1645195099820&amp;ref_url=https%253A%252F%252Fwww.ti.com%252Fgeneral%252Fdocs%252Fsuppproductinfo.tsp%253FdistId%253D10%2526gotoUrl%253Dhttps%253A%252F%252Fwww.ti." xr:uid="{00000000-0004-0000-0000-000083010000}"/>
    <hyperlink ref="F1109" r:id="rId387" xr:uid="{00000000-0004-0000-0000-000084010000}"/>
    <hyperlink ref="F862" r:id="rId388" xr:uid="{00000000-0004-0000-0000-000085010000}"/>
    <hyperlink ref="F498" r:id="rId389" xr:uid="{00000000-0004-0000-0000-000086010000}"/>
    <hyperlink ref="F553" r:id="rId390" xr:uid="{00000000-0004-0000-0000-000087010000}"/>
    <hyperlink ref="F1237" r:id="rId391" xr:uid="{00000000-0004-0000-0000-000088010000}"/>
    <hyperlink ref="F1245" r:id="rId392" xr:uid="{00000000-0004-0000-0000-000089010000}"/>
    <hyperlink ref="F1317" r:id="rId393" xr:uid="{00000000-0004-0000-0000-00008A010000}"/>
    <hyperlink ref="F1319" r:id="rId394" xr:uid="{00000000-0004-0000-0000-00008B010000}"/>
    <hyperlink ref="F744" r:id="rId395" xr:uid="{00000000-0004-0000-0000-00008C010000}"/>
    <hyperlink ref="F61" r:id="rId396" xr:uid="{00000000-0004-0000-0000-00008D010000}"/>
    <hyperlink ref="F864" r:id="rId397" xr:uid="{00000000-0004-0000-0000-00008E010000}"/>
    <hyperlink ref="F743" r:id="rId398" xr:uid="{00000000-0004-0000-0000-00008F010000}"/>
    <hyperlink ref="F759" r:id="rId399" xr:uid="{00000000-0004-0000-0000-000090010000}"/>
    <hyperlink ref="F1030" r:id="rId400" xr:uid="{00000000-0004-0000-0000-000091010000}"/>
    <hyperlink ref="F745" r:id="rId401" xr:uid="{00000000-0004-0000-0000-000092010000}"/>
    <hyperlink ref="F230" r:id="rId402" xr:uid="{00000000-0004-0000-0000-000093010000}"/>
    <hyperlink ref="F246" r:id="rId403" xr:uid="{00000000-0004-0000-0000-000094010000}"/>
    <hyperlink ref="F878" r:id="rId404" xr:uid="{00000000-0004-0000-0000-000095010000}"/>
    <hyperlink ref="F1032" r:id="rId405" xr:uid="{00000000-0004-0000-0000-000096010000}"/>
    <hyperlink ref="F56" r:id="rId406" xr:uid="{00000000-0004-0000-0000-000097010000}"/>
    <hyperlink ref="F1023" r:id="rId407" xr:uid="{00000000-0004-0000-0000-000098010000}"/>
    <hyperlink ref="F1086" r:id="rId408" xr:uid="{00000000-0004-0000-0000-000099010000}"/>
    <hyperlink ref="F49" r:id="rId409" xr:uid="{00000000-0004-0000-0000-00009A010000}"/>
    <hyperlink ref="F50" r:id="rId410" xr:uid="{00000000-0004-0000-0000-00009B010000}"/>
    <hyperlink ref="F1125" r:id="rId411" xr:uid="{00000000-0004-0000-0000-00009C010000}"/>
    <hyperlink ref="F1124" r:id="rId412" xr:uid="{00000000-0004-0000-0000-00009D010000}"/>
    <hyperlink ref="F202" r:id="rId413" xr:uid="{00000000-0004-0000-0000-00009E010000}"/>
    <hyperlink ref="F438" r:id="rId414" xr:uid="{00000000-0004-0000-0000-00009F010000}"/>
    <hyperlink ref="F299" r:id="rId415" xr:uid="{00000000-0004-0000-0000-0000A0010000}"/>
    <hyperlink ref="F861" r:id="rId416" xr:uid="{00000000-0004-0000-0000-0000A1010000}"/>
    <hyperlink ref="F868" r:id="rId417" xr:uid="{00000000-0004-0000-0000-0000A2010000}"/>
    <hyperlink ref="F898" r:id="rId418" xr:uid="{00000000-0004-0000-0000-0000A3010000}"/>
    <hyperlink ref="F494" display="https://www.ti.com/lit/ds/symlink/lm2733.pdf?HQS=dis-dk-null-digikeymode-dsf-pf-null-wwe&amp;ts=1655126712126&amp;ref_url=https%253A%252F%252Fwww.ti.com%252Fgeneral%252Fdocs%252Fsuppproductinfo.tsp%253FdistId%253D10%2526gotoUrl%253Dhttps%253A%252F%252Fwww.ti.com%" xr:uid="{00000000-0004-0000-0000-0000A4010000}"/>
    <hyperlink ref="F1092" r:id="rId419" xr:uid="{00000000-0004-0000-0000-0000A5010000}"/>
    <hyperlink ref="F661" r:id="rId420" xr:uid="{00000000-0004-0000-0000-0000A6010000}"/>
    <hyperlink ref="F819" r:id="rId421" xr:uid="{00000000-0004-0000-0000-0000A7010000}"/>
    <hyperlink ref="F829" r:id="rId422" xr:uid="{00000000-0004-0000-0000-0000A8010000}"/>
    <hyperlink ref="F936" r:id="rId423" xr:uid="{00000000-0004-0000-0000-0000A9010000}"/>
    <hyperlink ref="F790" r:id="rId424" xr:uid="{00000000-0004-0000-0000-0000AA010000}"/>
    <hyperlink ref="F765" r:id="rId425" xr:uid="{00000000-0004-0000-0000-0000AB010000}"/>
    <hyperlink ref="F619" r:id="rId426" xr:uid="{00000000-0004-0000-0000-0000AC010000}"/>
    <hyperlink ref="F505" r:id="rId427" xr:uid="{00000000-0004-0000-0000-0000AD010000}"/>
    <hyperlink ref="F1227" r:id="rId428" xr:uid="{00000000-0004-0000-0000-0000AE010000}"/>
    <hyperlink ref="F718" r:id="rId429" xr:uid="{00000000-0004-0000-0000-0000AF010000}"/>
    <hyperlink ref="F377" r:id="rId430" xr:uid="{00000000-0004-0000-0000-0000B0010000}"/>
    <hyperlink ref="F57" r:id="rId431" xr:uid="{00000000-0004-0000-0000-0000B1010000}"/>
    <hyperlink ref="F58:F60" r:id="rId432" display="https://www.keyelco.com/userAssets/file/M65p56.pdf" xr:uid="{00000000-0004-0000-0000-0000B2010000}"/>
    <hyperlink ref="F1107" r:id="rId433" xr:uid="{00000000-0004-0000-0000-0000B3010000}"/>
    <hyperlink ref="F456" r:id="rId434" xr:uid="{00000000-0004-0000-0000-0000B4010000}"/>
    <hyperlink ref="F749" r:id="rId435" xr:uid="{00000000-0004-0000-0000-0000B5010000}"/>
    <hyperlink ref="F670" r:id="rId436" xr:uid="{00000000-0004-0000-0000-0000B6010000}"/>
    <hyperlink ref="F560" r:id="rId437" xr:uid="{00000000-0004-0000-0000-0000B7010000}"/>
    <hyperlink ref="F629" r:id="rId438" xr:uid="{00000000-0004-0000-0000-0000B8010000}"/>
    <hyperlink ref="F251" r:id="rId439" xr:uid="{00000000-0004-0000-0000-0000B9010000}"/>
    <hyperlink ref="F252" r:id="rId440" xr:uid="{00000000-0004-0000-0000-0000BA010000}"/>
    <hyperlink ref="F815" r:id="rId441" xr:uid="{00000000-0004-0000-0000-0000BB010000}"/>
    <hyperlink ref="F119" r:id="rId442" xr:uid="{00000000-0004-0000-0000-0000BC010000}"/>
    <hyperlink ref="F791" r:id="rId443" xr:uid="{00000000-0004-0000-0000-0000BD010000}"/>
    <hyperlink ref="F543" r:id="rId444" xr:uid="{00000000-0004-0000-0000-0000BE010000}"/>
    <hyperlink ref="F497" r:id="rId445" xr:uid="{00000000-0004-0000-0000-0000BF010000}"/>
    <hyperlink ref="F679" r:id="rId446" xr:uid="{00000000-0004-0000-0000-0000C0010000}"/>
    <hyperlink ref="F1133" r:id="rId447" xr:uid="{00000000-0004-0000-0000-0000C1010000}"/>
    <hyperlink ref="F512" r:id="rId448" xr:uid="{00000000-0004-0000-0000-0000C2010000}"/>
    <hyperlink ref="F1219" r:id="rId449" xr:uid="{00000000-0004-0000-0000-0000C3010000}"/>
    <hyperlink ref="F362" r:id="rId450" xr:uid="{00000000-0004-0000-0000-0000C4010000}"/>
    <hyperlink ref="F1045" r:id="rId451" xr:uid="{00000000-0004-0000-0000-0000C5010000}"/>
    <hyperlink ref="F1129" r:id="rId452" xr:uid="{00000000-0004-0000-0000-0000C6010000}"/>
    <hyperlink ref="F1131" r:id="rId453" xr:uid="{00000000-0004-0000-0000-0000C7010000}"/>
    <hyperlink ref="F1132" r:id="rId454" xr:uid="{00000000-0004-0000-0000-0000C8010000}"/>
    <hyperlink ref="F742" r:id="rId455" xr:uid="{00000000-0004-0000-0000-0000C9010000}"/>
    <hyperlink ref="F1325" r:id="rId456" xr:uid="{00000000-0004-0000-0000-0000CA010000}"/>
    <hyperlink ref="F1335" r:id="rId457" xr:uid="{00000000-0004-0000-0000-0000CB010000}"/>
    <hyperlink ref="F91" r:id="rId458" xr:uid="{00000000-0004-0000-0000-0000CC010000}"/>
    <hyperlink ref="F608" r:id="rId459" xr:uid="{00000000-0004-0000-0000-0000CD010000}"/>
    <hyperlink ref="F34" r:id="rId460" xr:uid="{00000000-0004-0000-0000-0000CE010000}"/>
    <hyperlink ref="F35" r:id="rId461" xr:uid="{00000000-0004-0000-0000-0000CF010000}"/>
    <hyperlink ref="F523" r:id="rId462" xr:uid="{00000000-0004-0000-0000-0000D0010000}"/>
    <hyperlink ref="F823" r:id="rId463" xr:uid="{00000000-0004-0000-0000-0000D1010000}"/>
    <hyperlink ref="F162" r:id="rId464" xr:uid="{00000000-0004-0000-0000-0000D2010000}"/>
    <hyperlink ref="F1300" r:id="rId465" xr:uid="{00000000-0004-0000-0000-0000D3010000}"/>
    <hyperlink ref="F148" r:id="rId466" xr:uid="{00000000-0004-0000-0000-0000D4010000}"/>
    <hyperlink ref="F441" r:id="rId467" xr:uid="{00000000-0004-0000-0000-0000D5010000}"/>
    <hyperlink ref="F627" r:id="rId468" xr:uid="{00000000-0004-0000-0000-0000D6010000}"/>
    <hyperlink ref="F524" r:id="rId469" xr:uid="{00000000-0004-0000-0000-0000D7010000}"/>
    <hyperlink ref="F622" r:id="rId470" xr:uid="{00000000-0004-0000-0000-0000D8010000}"/>
    <hyperlink ref="F138" r:id="rId471" xr:uid="{00000000-0004-0000-0000-0000D9010000}"/>
    <hyperlink ref="F475" r:id="rId472" xr:uid="{00000000-0004-0000-0000-0000DA010000}"/>
    <hyperlink ref="F474" r:id="rId473" xr:uid="{00000000-0004-0000-0000-0000DB010000}"/>
    <hyperlink ref="F473" r:id="rId474" xr:uid="{00000000-0004-0000-0000-0000DC010000}"/>
    <hyperlink ref="F762" r:id="rId475" xr:uid="{00000000-0004-0000-0000-0000DD010000}"/>
    <hyperlink ref="F737" r:id="rId476" xr:uid="{00000000-0004-0000-0000-0000DE010000}"/>
    <hyperlink ref="F788" r:id="rId477" xr:uid="{00000000-0004-0000-0000-0000DF010000}"/>
    <hyperlink ref="F871" r:id="rId478" xr:uid="{00000000-0004-0000-0000-0000E0010000}"/>
    <hyperlink ref="F875" r:id="rId479" xr:uid="{00000000-0004-0000-0000-0000E1010000}"/>
    <hyperlink ref="F36" r:id="rId480" xr:uid="{00000000-0004-0000-0000-0000E2010000}"/>
    <hyperlink ref="F805" r:id="rId481" xr:uid="{00000000-0004-0000-0000-0000E3010000}"/>
    <hyperlink ref="F1048" r:id="rId482" xr:uid="{00000000-0004-0000-0000-0000E4010000}"/>
    <hyperlink ref="F1397" r:id="rId483" xr:uid="{00000000-0004-0000-0000-0000E5010000}"/>
    <hyperlink ref="F692" r:id="rId484" xr:uid="{00000000-0004-0000-0000-0000E6010000}"/>
    <hyperlink ref="F488" r:id="rId485" xr:uid="{00000000-0004-0000-0000-0000E7010000}"/>
    <hyperlink ref="F518" r:id="rId486" xr:uid="{00000000-0004-0000-0000-0000E8010000}"/>
    <hyperlink ref="F1326" r:id="rId487" xr:uid="{00000000-0004-0000-0000-0000E9010000}"/>
    <hyperlink ref="F337" r:id="rId488" xr:uid="{00000000-0004-0000-0000-0000EA010000}"/>
    <hyperlink ref="F1235" r:id="rId489" xr:uid="{00000000-0004-0000-0000-0000EB010000}"/>
    <hyperlink ref="F690" r:id="rId490" xr:uid="{00000000-0004-0000-0000-0000EC010000}"/>
    <hyperlink ref="F1242" r:id="rId491" xr:uid="{00000000-0004-0000-0000-0000ED010000}"/>
    <hyperlink ref="F45" r:id="rId492" xr:uid="{00000000-0004-0000-0000-0000EE010000}"/>
    <hyperlink ref="F374" r:id="rId493" xr:uid="{00000000-0004-0000-0000-0000EF010000}"/>
    <hyperlink ref="F994" r:id="rId494" xr:uid="{00000000-0004-0000-0000-0000F0010000}"/>
    <hyperlink ref="F773" r:id="rId495" xr:uid="{00000000-0004-0000-0000-0000F1010000}"/>
    <hyperlink ref="F1026" r:id="rId496" xr:uid="{00000000-0004-0000-0000-0000F2010000}"/>
    <hyperlink ref="F1025" r:id="rId497" xr:uid="{00000000-0004-0000-0000-0000F3010000}"/>
    <hyperlink ref="F1035" r:id="rId498" xr:uid="{00000000-0004-0000-0000-0000F4010000}"/>
    <hyperlink ref="F978" r:id="rId499" xr:uid="{00000000-0004-0000-0000-0000F5010000}"/>
    <hyperlink ref="F1003" r:id="rId500" xr:uid="{00000000-0004-0000-0000-0000F6010000}"/>
    <hyperlink ref="F932" r:id="rId501" xr:uid="{00000000-0004-0000-0000-0000F7010000}"/>
    <hyperlink ref="F970" r:id="rId502" xr:uid="{00000000-0004-0000-0000-0000F8010000}"/>
    <hyperlink ref="F982" r:id="rId503" xr:uid="{00000000-0004-0000-0000-0000F9010000}"/>
    <hyperlink ref="F1017" r:id="rId504" xr:uid="{00000000-0004-0000-0000-0000FA010000}"/>
    <hyperlink ref="F1018" r:id="rId505" xr:uid="{00000000-0004-0000-0000-0000FB010000}"/>
    <hyperlink ref="F1016" r:id="rId506" xr:uid="{00000000-0004-0000-0000-0000FC010000}"/>
    <hyperlink ref="F1041" r:id="rId507" xr:uid="{00000000-0004-0000-0000-0000FD010000}"/>
    <hyperlink ref="F925" r:id="rId508" xr:uid="{00000000-0004-0000-0000-0000FE010000}"/>
    <hyperlink ref="F774" r:id="rId509" xr:uid="{00000000-0004-0000-0000-0000FF010000}"/>
    <hyperlink ref="F778" r:id="rId510" xr:uid="{00000000-0004-0000-0000-000000020000}"/>
    <hyperlink ref="F781" r:id="rId511" xr:uid="{00000000-0004-0000-0000-000001020000}"/>
    <hyperlink ref="F881" r:id="rId512" xr:uid="{00000000-0004-0000-0000-000002020000}"/>
    <hyperlink ref="F877" r:id="rId513" xr:uid="{00000000-0004-0000-0000-000003020000}"/>
    <hyperlink ref="F899" r:id="rId514" xr:uid="{00000000-0004-0000-0000-000004020000}"/>
    <hyperlink ref="F872" r:id="rId515" xr:uid="{00000000-0004-0000-0000-000005020000}"/>
    <hyperlink ref="F1027" r:id="rId516" xr:uid="{00000000-0004-0000-0000-000006020000}"/>
    <hyperlink ref="F806" r:id="rId517" xr:uid="{00000000-0004-0000-0000-000007020000}"/>
    <hyperlink ref="F766" r:id="rId518" xr:uid="{00000000-0004-0000-0000-000008020000}"/>
    <hyperlink ref="F1250" r:id="rId519" xr:uid="{00000000-0004-0000-0000-000009020000}"/>
    <hyperlink ref="F1200" r:id="rId520" xr:uid="{00000000-0004-0000-0000-00000A020000}"/>
    <hyperlink ref="F1000" r:id="rId521" xr:uid="{00000000-0004-0000-0000-00000B020000}"/>
    <hyperlink ref="F1309" r:id="rId522" xr:uid="{00000000-0004-0000-0000-00000C020000}"/>
    <hyperlink ref="F1312" r:id="rId523" xr:uid="{00000000-0004-0000-0000-00000D020000}"/>
    <hyperlink ref="F1433" r:id="rId524" xr:uid="{00000000-0004-0000-0000-00000E020000}"/>
    <hyperlink ref="F793" r:id="rId525" xr:uid="{00000000-0004-0000-0000-00000F020000}"/>
    <hyperlink ref="F993" r:id="rId526" xr:uid="{00000000-0004-0000-0000-000010020000}"/>
    <hyperlink ref="F807" r:id="rId527" xr:uid="{00000000-0004-0000-0000-000011020000}"/>
    <hyperlink ref="F1286" r:id="rId528" xr:uid="{00000000-0004-0000-0000-000012020000}"/>
    <hyperlink ref="F274" r:id="rId529" xr:uid="{00000000-0004-0000-0000-000013020000}"/>
    <hyperlink ref="F398" r:id="rId530" xr:uid="{00000000-0004-0000-0000-000014020000}"/>
    <hyperlink ref="F1074" r:id="rId531" xr:uid="{00000000-0004-0000-0000-000015020000}"/>
    <hyperlink ref="F1071" r:id="rId532" xr:uid="{00000000-0004-0000-0000-000016020000}"/>
    <hyperlink ref="F795" r:id="rId533" xr:uid="{00000000-0004-0000-0000-000017020000}"/>
    <hyperlink ref="F469" r:id="rId534" xr:uid="{00000000-0004-0000-0000-000018020000}"/>
    <hyperlink ref="F1141" r:id="rId535" display="http://www.yageo.com.tw/exep/pages/download/literatures/PYu-R_INT-thick_7.pdf" xr:uid="{00000000-0004-0000-0000-000019020000}"/>
    <hyperlink ref="F691" r:id="rId536" xr:uid="{00000000-0004-0000-0000-00001A020000}"/>
    <hyperlink ref="F89" r:id="rId537" xr:uid="{00000000-0004-0000-0000-00001B020000}"/>
    <hyperlink ref="F286" r:id="rId538" xr:uid="{00000000-0004-0000-0000-00001C020000}"/>
    <hyperlink ref="F287" r:id="rId539" xr:uid="{00000000-0004-0000-0000-00001D020000}"/>
    <hyperlink ref="F77" r:id="rId540" xr:uid="{00000000-0004-0000-0000-00001E020000}"/>
    <hyperlink ref="F921" r:id="rId541" xr:uid="{00000000-0004-0000-0000-00001F020000}"/>
    <hyperlink ref="F922" r:id="rId542" xr:uid="{00000000-0004-0000-0000-000020020000}"/>
    <hyperlink ref="F938" r:id="rId543" xr:uid="{00000000-0004-0000-0000-000021020000}"/>
    <hyperlink ref="F889" r:id="rId544" xr:uid="{00000000-0004-0000-0000-000022020000}"/>
    <hyperlink ref="F942" r:id="rId545" xr:uid="{00000000-0004-0000-0000-000023020000}"/>
    <hyperlink ref="F950" r:id="rId546" xr:uid="{00000000-0004-0000-0000-000024020000}"/>
    <hyperlink ref="F951" r:id="rId547" xr:uid="{00000000-0004-0000-0000-000025020000}"/>
    <hyperlink ref="F952" r:id="rId548" xr:uid="{00000000-0004-0000-0000-000026020000}"/>
    <hyperlink ref="F955" r:id="rId549" xr:uid="{00000000-0004-0000-0000-000027020000}"/>
    <hyperlink ref="F956" r:id="rId550" xr:uid="{00000000-0004-0000-0000-000028020000}"/>
    <hyperlink ref="F957" r:id="rId551" xr:uid="{00000000-0004-0000-0000-000029020000}"/>
    <hyperlink ref="F962" r:id="rId552" xr:uid="{00000000-0004-0000-0000-00002A020000}"/>
    <hyperlink ref="F967" r:id="rId553" xr:uid="{00000000-0004-0000-0000-00002B020000}"/>
    <hyperlink ref="F794" r:id="rId554" xr:uid="{00000000-0004-0000-0000-00002C020000}"/>
    <hyperlink ref="F965" r:id="rId555" xr:uid="{00000000-0004-0000-0000-00002D020000}"/>
    <hyperlink ref="F966" r:id="rId556" xr:uid="{00000000-0004-0000-0000-00002E020000}"/>
    <hyperlink ref="F976" r:id="rId557" xr:uid="{00000000-0004-0000-0000-00002F020000}"/>
    <hyperlink ref="F977" r:id="rId558" xr:uid="{00000000-0004-0000-0000-000030020000}"/>
    <hyperlink ref="F975" r:id="rId559" xr:uid="{00000000-0004-0000-0000-000031020000}"/>
    <hyperlink ref="F973" r:id="rId560" xr:uid="{00000000-0004-0000-0000-000032020000}"/>
    <hyperlink ref="F995" r:id="rId561" xr:uid="{00000000-0004-0000-0000-000033020000}"/>
    <hyperlink ref="F996" r:id="rId562" xr:uid="{00000000-0004-0000-0000-000034020000}"/>
    <hyperlink ref="F992" r:id="rId563" xr:uid="{00000000-0004-0000-0000-000035020000}"/>
    <hyperlink ref="F1002" r:id="rId564" xr:uid="{00000000-0004-0000-0000-000036020000}"/>
    <hyperlink ref="F933" r:id="rId565" xr:uid="{00000000-0004-0000-0000-000037020000}"/>
    <hyperlink ref="F963" r:id="rId566" xr:uid="{00000000-0004-0000-0000-000038020000}"/>
    <hyperlink ref="F218" r:id="rId567" xr:uid="{00000000-0004-0000-0000-000039020000}"/>
    <hyperlink ref="F935" r:id="rId568" xr:uid="{00000000-0004-0000-0000-00003A020000}"/>
    <hyperlink ref="F90" r:id="rId569" xr:uid="{00000000-0004-0000-0000-00003B020000}"/>
    <hyperlink ref="F590" r:id="rId570" xr:uid="{00000000-0004-0000-0000-00003C020000}"/>
    <hyperlink ref="F680" r:id="rId571" xr:uid="{00000000-0004-0000-0000-00003D020000}"/>
    <hyperlink ref="F729" r:id="rId572" xr:uid="{00000000-0004-0000-0000-00003E020000}"/>
    <hyperlink ref="F1046" r:id="rId573" xr:uid="{00000000-0004-0000-0000-00003F020000}"/>
    <hyperlink ref="F1097" r:id="rId574" xr:uid="{00000000-0004-0000-0000-000040020000}"/>
    <hyperlink ref="F1078" r:id="rId575" xr:uid="{00000000-0004-0000-0000-000041020000}"/>
    <hyperlink ref="F1077" r:id="rId576" xr:uid="{00000000-0004-0000-0000-000042020000}"/>
    <hyperlink ref="F1414" r:id="rId577" xr:uid="{00000000-0004-0000-0000-000043020000}"/>
    <hyperlink ref="F1413" r:id="rId578" xr:uid="{00000000-0004-0000-0000-000044020000}"/>
    <hyperlink ref="F1406" r:id="rId579" xr:uid="{00000000-0004-0000-0000-000045020000}"/>
    <hyperlink ref="F1439" r:id="rId580" xr:uid="{00000000-0004-0000-0000-000046020000}"/>
    <hyperlink ref="F998" r:id="rId581" xr:uid="{00000000-0004-0000-0000-000047020000}"/>
    <hyperlink ref="F1251" r:id="rId582" xr:uid="{00000000-0004-0000-0000-000048020000}"/>
    <hyperlink ref="F1226" r:id="rId583" xr:uid="{00000000-0004-0000-0000-000049020000}"/>
    <hyperlink ref="F1260" r:id="rId584" xr:uid="{00000000-0004-0000-0000-00004A020000}"/>
    <hyperlink ref="F1411" r:id="rId585" xr:uid="{00000000-0004-0000-0000-00004B020000}"/>
    <hyperlink ref="F1243" r:id="rId586" xr:uid="{00000000-0004-0000-0000-00004C020000}"/>
    <hyperlink ref="F1241" r:id="rId587" xr:uid="{00000000-0004-0000-0000-00004D020000}"/>
    <hyperlink ref="F1037" r:id="rId588" xr:uid="{00000000-0004-0000-0000-00004E020000}"/>
    <hyperlink ref="F1038" r:id="rId589" xr:uid="{00000000-0004-0000-0000-00004F020000}"/>
    <hyperlink ref="F958" r:id="rId590" xr:uid="{00000000-0004-0000-0000-000050020000}"/>
    <hyperlink ref="F997" r:id="rId591" xr:uid="{00000000-0004-0000-0000-000051020000}"/>
    <hyperlink ref="F999" r:id="rId592" xr:uid="{00000000-0004-0000-0000-000052020000}"/>
    <hyperlink ref="F132" r:id="rId593" xr:uid="{00000000-0004-0000-0000-000053020000}"/>
    <hyperlink ref="F158" r:id="rId594" xr:uid="{00000000-0004-0000-0000-000054020000}"/>
    <hyperlink ref="F688" r:id="rId595" xr:uid="{00000000-0004-0000-0000-000055020000}"/>
    <hyperlink ref="F693" r:id="rId596" xr:uid="{00000000-0004-0000-0000-000056020000}"/>
    <hyperlink ref="F267" r:id="rId597" xr:uid="{00000000-0004-0000-0000-000057020000}"/>
    <hyperlink ref="F609" r:id="rId598" xr:uid="{00000000-0004-0000-0000-000058020000}"/>
    <hyperlink ref="F1407" r:id="rId599" xr:uid="{00000000-0004-0000-0000-000059020000}"/>
    <hyperlink ref="F617" r:id="rId600" xr:uid="{00000000-0004-0000-0000-00005A020000}"/>
    <hyperlink ref="F529" r:id="rId601" xr:uid="{00000000-0004-0000-0000-00005B020000}"/>
    <hyperlink ref="F863" r:id="rId602" xr:uid="{00000000-0004-0000-0000-00005C020000}"/>
    <hyperlink ref="F1489" r:id="rId603" xr:uid="{00000000-0004-0000-0000-00005D020000}"/>
    <hyperlink ref="F25" r:id="rId604" xr:uid="{00000000-0004-0000-0000-00005E020000}"/>
    <hyperlink ref="F857" r:id="rId605" xr:uid="{00000000-0004-0000-0000-00005F020000}"/>
    <hyperlink ref="F471" r:id="rId606" xr:uid="{00000000-0004-0000-0000-000060020000}"/>
    <hyperlink ref="F1070" r:id="rId607" xr:uid="{00000000-0004-0000-0000-000061020000}"/>
    <hyperlink ref="F1001" r:id="rId608" xr:uid="{00000000-0004-0000-0000-000062020000}"/>
    <hyperlink ref="F732" r:id="rId609" xr:uid="{00000000-0004-0000-0000-000063020000}"/>
    <hyperlink ref="F520" r:id="rId610" xr:uid="{00000000-0004-0000-0000-000064020000}"/>
    <hyperlink ref="F1036" r:id="rId611" xr:uid="{00000000-0004-0000-0000-000065020000}"/>
    <hyperlink ref="F1081" r:id="rId612" xr:uid="{00000000-0004-0000-0000-000066020000}"/>
    <hyperlink ref="F525" r:id="rId613" xr:uid="{00000000-0004-0000-0000-000067020000}"/>
    <hyperlink ref="F930" r:id="rId614" xr:uid="{00000000-0004-0000-0000-000068020000}"/>
    <hyperlink ref="F490" r:id="rId615" xr:uid="{00000000-0004-0000-0000-000069020000}"/>
    <hyperlink ref="F245" r:id="rId616" xr:uid="{00000000-0004-0000-0000-00006A020000}"/>
    <hyperlink ref="F501" r:id="rId617" xr:uid="{00000000-0004-0000-0000-00006B020000}"/>
    <hyperlink ref="F424" r:id="rId618" xr:uid="{00000000-0004-0000-0000-00006C020000}"/>
    <hyperlink ref="F340" r:id="rId619" xr:uid="{00000000-0004-0000-0000-00006D020000}"/>
    <hyperlink ref="F1265" r:id="rId620" xr:uid="{00000000-0004-0000-0000-00006E020000}"/>
    <hyperlink ref="F1098" r:id="rId621" xr:uid="{00000000-0004-0000-0000-00006F020000}"/>
    <hyperlink ref="F1082" r:id="rId622" xr:uid="{00000000-0004-0000-0000-000070020000}"/>
    <hyperlink ref="F689" r:id="rId623" xr:uid="{00000000-0004-0000-0000-000071020000}"/>
    <hyperlink ref="F556" r:id="rId624" xr:uid="{00000000-0004-0000-0000-000072020000}"/>
    <hyperlink ref="F615" r:id="rId625" xr:uid="{00000000-0004-0000-0000-000073020000}"/>
    <hyperlink ref="F1080" r:id="rId626" xr:uid="{00000000-0004-0000-0000-000074020000}"/>
    <hyperlink ref="F1083" r:id="rId627" xr:uid="{00000000-0004-0000-0000-000075020000}"/>
    <hyperlink ref="F1199" r:id="rId628" xr:uid="{00000000-0004-0000-0000-000076020000}"/>
    <hyperlink ref="F1262" r:id="rId629" xr:uid="{00000000-0004-0000-0000-000077020000}"/>
    <hyperlink ref="F913" r:id="rId630" xr:uid="{00000000-0004-0000-0000-000078020000}"/>
    <hyperlink ref="F984" r:id="rId631" xr:uid="{00000000-0004-0000-0000-000079020000}"/>
    <hyperlink ref="F283" r:id="rId632" xr:uid="{00000000-0004-0000-0000-00007A020000}"/>
    <hyperlink ref="F612" r:id="rId633" xr:uid="{00000000-0004-0000-0000-00007B020000}"/>
    <hyperlink ref="F1465" r:id="rId634" xr:uid="{00000000-0004-0000-0000-00007C020000}"/>
    <hyperlink ref="F606" r:id="rId635" xr:uid="{00000000-0004-0000-0000-00007D020000}"/>
    <hyperlink ref="F536" r:id="rId636" xr:uid="{00000000-0004-0000-0000-00007E020000}"/>
    <hyperlink ref="F1087" r:id="rId637" xr:uid="{00000000-0004-0000-0000-00007F020000}"/>
    <hyperlink ref="F697" r:id="rId638" xr:uid="{00000000-0004-0000-0000-000080020000}"/>
    <hyperlink ref="F40" r:id="rId639" xr:uid="{00000000-0004-0000-0000-000081020000}"/>
    <hyperlink ref="F453" r:id="rId640" xr:uid="{00000000-0004-0000-0000-000082020000}"/>
    <hyperlink ref="F7" r:id="rId641" xr:uid="{00000000-0004-0000-0000-000083020000}"/>
    <hyperlink ref="F852" r:id="rId642" xr:uid="{00000000-0004-0000-0000-000084020000}"/>
    <hyperlink ref="F100" r:id="rId643" xr:uid="{00000000-0004-0000-0000-000085020000}"/>
    <hyperlink ref="F177" r:id="rId644" xr:uid="{00000000-0004-0000-0000-000086020000}"/>
    <hyperlink ref="F277" r:id="rId645" xr:uid="{00000000-0004-0000-0000-000087020000}"/>
    <hyperlink ref="F694" r:id="rId646" xr:uid="{00000000-0004-0000-0000-000088020000}"/>
    <hyperlink ref="F1049" r:id="rId647" xr:uid="{00000000-0004-0000-0000-000089020000}"/>
    <hyperlink ref="F1047" r:id="rId648" xr:uid="{00000000-0004-0000-0000-00008A020000}"/>
    <hyperlink ref="F493" r:id="rId649" xr:uid="{00000000-0004-0000-0000-00008B020000}"/>
    <hyperlink ref="F620" r:id="rId650" xr:uid="{00000000-0004-0000-0000-00008C020000}"/>
    <hyperlink ref="F657" r:id="rId651" xr:uid="{00000000-0004-0000-0000-00008D020000}"/>
    <hyperlink ref="F853" r:id="rId652" xr:uid="{00000000-0004-0000-0000-00008E020000}"/>
    <hyperlink ref="F167" r:id="rId653" xr:uid="{00000000-0004-0000-0000-00008F020000}"/>
    <hyperlink ref="F599" r:id="rId654" xr:uid="{00000000-0004-0000-0000-000090020000}"/>
    <hyperlink ref="F189" r:id="rId655" xr:uid="{00000000-0004-0000-0000-000091020000}"/>
    <hyperlink ref="F1236" r:id="rId656" xr:uid="{00000000-0004-0000-0000-000092020000}"/>
    <hyperlink ref="F663" display="https://www.ti.com/lit/ds/symlink/sn74lvc74a.pdf?HQS=dis-dk-null-digikeymode-dsf-pf-null-wwe&amp;ts=1679513883170&amp;ref_url=https%253A%252F%252Fwww.ti.com%252Fgeneral%252Fdocs%252Fsuppproductinfo.tsp%253FdistId%253D10%2526gotoUrl%253Dhttps%253A%252F%252Fwww.ti." xr:uid="{00000000-0004-0000-0000-000093020000}"/>
    <hyperlink ref="F625" r:id="rId657" xr:uid="{00000000-0004-0000-0000-000094020000}"/>
    <hyperlink ref="F874" r:id="rId658" xr:uid="{00000000-0004-0000-0000-000095020000}"/>
    <hyperlink ref="F1065" r:id="rId659" xr:uid="{00000000-0004-0000-0000-000096020000}"/>
    <hyperlink ref="F104" r:id="rId660" xr:uid="{00000000-0004-0000-0000-000097020000}"/>
    <hyperlink ref="F879" r:id="rId661" xr:uid="{00000000-0004-0000-0000-000098020000}"/>
    <hyperlink ref="F929" r:id="rId662" xr:uid="{00000000-0004-0000-0000-000099020000}"/>
    <hyperlink ref="F636" r:id="rId663" xr:uid="{00000000-0004-0000-0000-00009A020000}"/>
    <hyperlink ref="F354" r:id="rId664" xr:uid="{00000000-0004-0000-0000-00009B020000}"/>
    <hyperlink ref="F349" r:id="rId665" xr:uid="{00000000-0004-0000-0000-00009C020000}"/>
    <hyperlink ref="F873" r:id="rId666" xr:uid="{00000000-0004-0000-0000-00009D020000}"/>
    <hyperlink ref="F926" r:id="rId667" xr:uid="{00000000-0004-0000-0000-00009E020000}"/>
    <hyperlink ref="F131" r:id="rId668" xr:uid="{00000000-0004-0000-0000-00009F020000}"/>
    <hyperlink ref="F1101" r:id="rId669" xr:uid="{00000000-0004-0000-0000-0000A0020000}"/>
    <hyperlink ref="F910" r:id="rId670" xr:uid="{00000000-0004-0000-0000-0000A1020000}"/>
    <hyperlink ref="F405" r:id="rId671" xr:uid="{00000000-0004-0000-0000-0000A2020000}"/>
    <hyperlink ref="F404" r:id="rId672" xr:uid="{00000000-0004-0000-0000-0000A3020000}"/>
    <hyperlink ref="F303" r:id="rId673" location="documentSection" xr:uid="{00000000-0004-0000-0000-0000A4020000}"/>
    <hyperlink ref="F837" r:id="rId674" xr:uid="{00000000-0004-0000-0000-0000A5020000}"/>
    <hyperlink ref="F175" r:id="rId675" xr:uid="{00000000-0004-0000-0000-0000A6020000}"/>
    <hyperlink ref="F832" r:id="rId676" xr:uid="{00000000-0004-0000-0000-0000A7020000}"/>
    <hyperlink ref="F738" r:id="rId677" xr:uid="{00000000-0004-0000-0000-0000A8020000}"/>
    <hyperlink ref="F667" r:id="rId678" xr:uid="{00000000-0004-0000-0000-0000A9020000}"/>
    <hyperlink ref="F121" r:id="rId679" xr:uid="{00000000-0004-0000-0000-0000AA020000}"/>
    <hyperlink ref="F421" r:id="rId680" xr:uid="{00000000-0004-0000-0000-0000AB020000}"/>
    <hyperlink ref="F440" r:id="rId681" xr:uid="{00000000-0004-0000-0000-0000AC020000}"/>
    <hyperlink ref="F971" r:id="rId682" xr:uid="{00000000-0004-0000-0000-0000AD020000}"/>
    <hyperlink ref="F517" r:id="rId683" xr:uid="{00000000-0004-0000-0000-0000AE020000}"/>
    <hyperlink ref="F838" r:id="rId684" xr:uid="{00000000-0004-0000-0000-0000AF020000}"/>
    <hyperlink ref="F810" r:id="rId685" xr:uid="{00000000-0004-0000-0000-0000B0020000}"/>
    <hyperlink ref="F681" r:id="rId686" xr:uid="{00000000-0004-0000-0000-0000B1020000}"/>
    <hyperlink ref="F477" r:id="rId687" xr:uid="{00000000-0004-0000-0000-0000B2020000}"/>
    <hyperlink ref="F989" r:id="rId688" xr:uid="{00000000-0004-0000-0000-0000B3020000}"/>
    <hyperlink ref="F288" r:id="rId689" xr:uid="{00000000-0004-0000-0000-0000B4020000}"/>
    <hyperlink ref="F799" r:id="rId690" xr:uid="{00000000-0004-0000-0000-0000B5020000}"/>
    <hyperlink ref="F808" r:id="rId691" xr:uid="{00000000-0004-0000-0000-0000B6020000}"/>
    <hyperlink ref="F722" r:id="rId692" xr:uid="{00000000-0004-0000-0000-0000B7020000}"/>
    <hyperlink ref="F309" r:id="rId693" xr:uid="{00000000-0004-0000-0000-0000B8020000}"/>
    <hyperlink ref="F1166" r:id="rId694" display="http://www.yageo.com.tw/exep/pages/download/literatures/PYu-R_INT-thick_7.pdf" xr:uid="{00000000-0004-0000-0000-0000B9020000}"/>
    <hyperlink ref="F1167" r:id="rId695" xr:uid="{00000000-0004-0000-0000-0000BA020000}"/>
    <hyperlink ref="F284" r:id="rId696" xr:uid="{00000000-0004-0000-0000-0000BB020000}"/>
    <hyperlink ref="F1051" r:id="rId697" xr:uid="{00000000-0004-0000-0000-0000BC020000}"/>
    <hyperlink ref="F417" r:id="rId698" xr:uid="{00000000-0004-0000-0000-0000BD020000}"/>
    <hyperlink ref="F1415" r:id="rId699" xr:uid="{00000000-0004-0000-0000-0000BE020000}"/>
    <hyperlink ref="F860" r:id="rId700" xr:uid="{00000000-0004-0000-0000-0000BF020000}"/>
    <hyperlink ref="F757" r:id="rId701" xr:uid="{00000000-0004-0000-0000-0000C0020000}"/>
    <hyperlink ref="F32" r:id="rId702" xr:uid="{00000000-0004-0000-0000-0000C1020000}"/>
    <hyperlink ref="F1043" r:id="rId703" xr:uid="{00000000-0004-0000-0000-0000C2020000}"/>
    <hyperlink ref="F631" r:id="rId704" xr:uid="{00000000-0004-0000-0000-0000C3020000}"/>
    <hyperlink ref="F423" r:id="rId705" xr:uid="{00000000-0004-0000-0000-0000C4020000}"/>
    <hyperlink ref="F178" r:id="rId706" xr:uid="{00000000-0004-0000-0000-0000C5020000}"/>
    <hyperlink ref="F833" r:id="rId707" xr:uid="{00000000-0004-0000-0000-0000C6020000}"/>
    <hyperlink ref="F1261" r:id="rId708" xr:uid="{00000000-0004-0000-0000-0000C7020000}"/>
    <hyperlink ref="F1492" r:id="rId709" xr:uid="{00000000-0004-0000-0000-0000C8020000}"/>
    <hyperlink ref="F534" r:id="rId710" xr:uid="{00000000-0004-0000-0000-0000C9020000}"/>
    <hyperlink ref="F372" display="https://www.ti.com/lit/ds/symlink/esd204.pdf?HQS=dis-dk-null-digikeymode-dsf-pf-null-wwe&amp;ts=1686323246649&amp;ref_url=https%253A%252F%252Fwww.ti.com%252Fgeneral%252Fdocs%252Fsuppproductinfo.tsp%253FdistId%253D10%2526gotoUrl%253Dhttps%253A%252F%252Fwww.ti.com%" xr:uid="{00000000-0004-0000-0000-0000CA020000}"/>
    <hyperlink ref="F365" display="https://www.ti.com/lit/ds/symlink/ds90lt012aq-q1.pdf?HQS=dis-dk-null-digikeymode-dsf-pf-null-wwe&amp;ts=1686583238231&amp;ref_url=https%253A%252F%252Fwww.ti.com%252Fgeneral%252Fdocs%252Fsuppproductinfo.tsp%253FdistId%253D10%2526gotoUrl%253Dhttps%253A%252F%252Fwww" xr:uid="{00000000-0004-0000-0000-0000CB020000}"/>
    <hyperlink ref="F706" display="https://www.ti.com/lit/ds/symlink/tlv758p.pdf?HQS=dis-dk-null-digikeymode-dsf-pf-null-wwe&amp;ts=1686596096287&amp;ref_url=https%253A%252F%252Fwww.ti.com%252Fgeneral%252Fdocs%252Fsuppproductinfo.tsp%253FdistId%253D10%2526gotoUrl%253Dhttps%253A%252F%252Fwww.ti.com" xr:uid="{00000000-0004-0000-0000-0000CC020000}"/>
    <hyperlink ref="F719" r:id="rId711" xr:uid="{00000000-0004-0000-0000-0000CD020000}"/>
    <hyperlink ref="F946" r:id="rId712" xr:uid="{00000000-0004-0000-0000-0000CE020000}"/>
    <hyperlink ref="F1093" r:id="rId713" xr:uid="{00000000-0004-0000-0000-0000CF020000}"/>
    <hyperlink ref="F746" r:id="rId714" xr:uid="{00000000-0004-0000-0000-0000D0020000}"/>
    <hyperlink ref="F275" r:id="rId715" xr:uid="{00000000-0004-0000-0000-0000D1020000}"/>
    <hyperlink ref="F231" r:id="rId716" xr:uid="{00000000-0004-0000-0000-0000D2020000}"/>
    <hyperlink ref="F1247" r:id="rId717" xr:uid="{00000000-0004-0000-0000-0000D3020000}"/>
    <hyperlink ref="F1053" r:id="rId718" xr:uid="{00000000-0004-0000-0000-0000D4020000}"/>
    <hyperlink ref="F113" r:id="rId719" xr:uid="{00000000-0004-0000-0000-0000D5020000}"/>
    <hyperlink ref="F535" r:id="rId720" xr:uid="{00000000-0004-0000-0000-0000D6020000}"/>
    <hyperlink ref="F1294" r:id="rId721" xr:uid="{00000000-0004-0000-0000-0000D7020000}"/>
    <hyperlink ref="F305" r:id="rId722" xr:uid="{00000000-0004-0000-0000-0000D8020000}"/>
    <hyperlink ref="F1324" r:id="rId723" xr:uid="{00000000-0004-0000-0000-0000D9020000}"/>
    <hyperlink ref="F554" r:id="rId724" xr:uid="{00000000-0004-0000-0000-0000DA020000}"/>
    <hyperlink ref="F1263" r:id="rId725" xr:uid="{00000000-0004-0000-0000-0000DB020000}"/>
    <hyperlink ref="F1228" r:id="rId726" xr:uid="{00000000-0004-0000-0000-0000DC020000}"/>
    <hyperlink ref="F480" r:id="rId727" xr:uid="{00000000-0004-0000-0000-0000DD020000}"/>
    <hyperlink ref="F479" r:id="rId728" xr:uid="{00000000-0004-0000-0000-0000DE020000}"/>
    <hyperlink ref="F478" r:id="rId729" xr:uid="{00000000-0004-0000-0000-0000DF020000}"/>
    <hyperlink ref="F308" r:id="rId730" xr:uid="{00000000-0004-0000-0000-0000E0020000}"/>
    <hyperlink ref="F1057" r:id="rId731" xr:uid="{00000000-0004-0000-0000-0000E1020000}"/>
    <hyperlink ref="F260" r:id="rId732" xr:uid="{00000000-0004-0000-0000-0000E2020000}"/>
    <hyperlink ref="F568" r:id="rId733" xr:uid="{00000000-0004-0000-0000-0000E3020000}"/>
    <hyperlink ref="F555" r:id="rId734" xr:uid="{00000000-0004-0000-0000-0000E4020000}"/>
    <hyperlink ref="F418" r:id="rId735" xr:uid="{00000000-0004-0000-0000-0000E5020000}"/>
    <hyperlink ref="F360" r:id="rId736" xr:uid="{00000000-0004-0000-0000-0000E6020000}"/>
    <hyperlink ref="F31" r:id="rId737" xr:uid="{00000000-0004-0000-0000-0000E7020000}"/>
    <hyperlink ref="F1052" r:id="rId738" xr:uid="{00000000-0004-0000-0000-0000E8020000}"/>
    <hyperlink ref="F106" r:id="rId739" xr:uid="{00000000-0004-0000-0000-0000E9020000}"/>
    <hyperlink ref="F109" r:id="rId740" xr:uid="{00000000-0004-0000-0000-0000EA020000}"/>
    <hyperlink ref="F111" r:id="rId741" xr:uid="{00000000-0004-0000-0000-0000EB020000}"/>
    <hyperlink ref="F1044" r:id="rId742" xr:uid="{00000000-0004-0000-0000-0000EC020000}"/>
    <hyperlink ref="F1061" r:id="rId743" xr:uid="{00000000-0004-0000-0000-0000ED020000}"/>
    <hyperlink ref="F1062" r:id="rId744" xr:uid="{00000000-0004-0000-0000-0000EE020000}"/>
    <hyperlink ref="F450" r:id="rId745" xr:uid="{00000000-0004-0000-0000-0000EF020000}"/>
    <hyperlink ref="F195" r:id="rId746" xr:uid="{00000000-0004-0000-0000-0000F0020000}"/>
    <hyperlink ref="F1191" r:id="rId747" xr:uid="{00000000-0004-0000-0000-0000F1020000}"/>
    <hyperlink ref="F229" r:id="rId748" xr:uid="{00000000-0004-0000-0000-0000F2020000}"/>
    <hyperlink ref="F86" r:id="rId749" xr:uid="{00000000-0004-0000-0000-0000F3020000}"/>
    <hyperlink ref="F85" r:id="rId750" xr:uid="{00000000-0004-0000-0000-0000F4020000}"/>
    <hyperlink ref="F892" r:id="rId751" xr:uid="{00000000-0004-0000-0000-0000F5020000}"/>
    <hyperlink ref="F445" r:id="rId752" xr:uid="{00000000-0004-0000-0000-0000F6020000}"/>
    <hyperlink ref="F948" r:id="rId753" xr:uid="{00000000-0004-0000-0000-0000F7020000}"/>
    <hyperlink ref="F947" r:id="rId754" xr:uid="{00000000-0004-0000-0000-0000F8020000}"/>
    <hyperlink ref="F129" r:id="rId755" xr:uid="{00000000-0004-0000-0000-0000F9020000}"/>
    <hyperlink ref="F526" r:id="rId756" xr:uid="{00000000-0004-0000-0000-0000FA020000}"/>
    <hyperlink ref="F16" r:id="rId757" xr:uid="{00000000-0004-0000-0000-0000FB020000}"/>
    <hyperlink ref="F640" r:id="rId758" xr:uid="{00000000-0004-0000-0000-0000FC020000}"/>
    <hyperlink ref="F641" r:id="rId759" xr:uid="{00000000-0004-0000-0000-0000FD020000}"/>
    <hyperlink ref="F907" r:id="rId760" xr:uid="{00000000-0004-0000-0000-0000FE020000}"/>
    <hyperlink ref="F1264" r:id="rId761" xr:uid="{00000000-0004-0000-0000-0000FF020000}"/>
    <hyperlink ref="F728" r:id="rId762" xr:uid="{00000000-0004-0000-0000-000000030000}"/>
    <hyperlink ref="F149" r:id="rId763" xr:uid="{00000000-0004-0000-0000-000001030000}"/>
    <hyperlink ref="F183" r:id="rId764" xr:uid="{00000000-0004-0000-0000-000002030000}"/>
    <hyperlink ref="F575" r:id="rId765" xr:uid="{00000000-0004-0000-0000-000003030000}"/>
    <hyperlink ref="F174" r:id="rId766" xr:uid="{00000000-0004-0000-0000-000004030000}"/>
    <hyperlink ref="F173" r:id="rId767" xr:uid="{00000000-0004-0000-0000-000005030000}"/>
    <hyperlink ref="F172" r:id="rId768" xr:uid="{00000000-0004-0000-0000-000006030000}"/>
    <hyperlink ref="F587" r:id="rId769" xr:uid="{00000000-0004-0000-0000-000007030000}"/>
    <hyperlink ref="F1104" r:id="rId770" xr:uid="{00000000-0004-0000-0000-000008030000}"/>
    <hyperlink ref="F463" r:id="rId771" xr:uid="{00000000-0004-0000-0000-000009030000}"/>
    <hyperlink ref="F974" r:id="rId772" xr:uid="{00000000-0004-0000-0000-00000A030000}"/>
    <hyperlink ref="F508" r:id="rId773" xr:uid="{00000000-0004-0000-0000-00000B030000}"/>
    <hyperlink ref="F822" r:id="rId774" xr:uid="{00000000-0004-0000-0000-00000C030000}"/>
    <hyperlink ref="F71" r:id="rId775" xr:uid="{00000000-0004-0000-0000-00000D030000}"/>
    <hyperlink ref="F588" r:id="rId776" xr:uid="{00000000-0004-0000-0000-00000E030000}"/>
    <hyperlink ref="F125" r:id="rId777" xr:uid="{00000000-0004-0000-0000-00000F030000}"/>
    <hyperlink ref="F21" r:id="rId778" xr:uid="{00000000-0004-0000-0000-000010030000}"/>
    <hyperlink ref="F70" r:id="rId779" xr:uid="{00000000-0004-0000-0000-000011030000}"/>
    <hyperlink ref="F644" r:id="rId780" xr:uid="{00000000-0004-0000-0000-000012030000}"/>
    <hyperlink ref="F731" r:id="rId781" xr:uid="{00000000-0004-0000-0000-000013030000}"/>
    <hyperlink ref="F577" r:id="rId782" xr:uid="{00000000-0004-0000-0000-000014030000}"/>
    <hyperlink ref="F492" display="https://www.ti.com/lit/ds/symlink/lm1815.pdf?HQS=dis-dk-null-digikeymode-dsf-pf-null-wwe&amp;ts=1700233275754&amp;ref_url=https%253A%252F%252Fwww.ti.com%252Fgeneral%252Fdocs%252Fsuppproductinfo.tsp%253FdistId%253D10%2526gotoUrl%253Dhttps%253A%252F%252Fwww.ti.com%" xr:uid="{00000000-0004-0000-0000-000015030000}"/>
    <hyperlink ref="F247" r:id="rId783" xr:uid="{00000000-0004-0000-0000-000016030000}"/>
    <hyperlink ref="F785" r:id="rId784" xr:uid="{00000000-0004-0000-0000-000017030000}"/>
    <hyperlink ref="F906" r:id="rId785" xr:uid="{00000000-0004-0000-0000-000018030000}"/>
    <hyperlink ref="F981" r:id="rId786" xr:uid="{00000000-0004-0000-0000-000019030000}"/>
    <hyperlink ref="F887" r:id="rId787" xr:uid="{00000000-0004-0000-0000-00001A030000}"/>
    <hyperlink ref="F1021" r:id="rId788" xr:uid="{00000000-0004-0000-0000-00001B030000}"/>
    <hyperlink ref="F885" r:id="rId789" xr:uid="{00000000-0004-0000-0000-00001C030000}"/>
    <hyperlink ref="F1012" r:id="rId790" xr:uid="{00000000-0004-0000-0000-00001D030000}"/>
    <hyperlink ref="F1013" r:id="rId791" xr:uid="{00000000-0004-0000-0000-00001E030000}"/>
    <hyperlink ref="F605" r:id="rId792" xr:uid="{00000000-0004-0000-0000-00001F030000}"/>
    <hyperlink ref="F204" r:id="rId793" xr:uid="{00000000-0004-0000-0000-000020030000}"/>
    <hyperlink ref="F1144" r:id="rId794" xr:uid="{00000000-0004-0000-0000-000021030000}"/>
    <hyperlink ref="F72" r:id="rId795" xr:uid="{00000000-0004-0000-0000-000022030000}"/>
    <hyperlink ref="F1164" r:id="rId796" xr:uid="{00000000-0004-0000-0000-000023030000}"/>
    <hyperlink ref="F1126" r:id="rId797" xr:uid="{00000000-0004-0000-0000-000024030000}"/>
    <hyperlink ref="F1123" r:id="rId798" xr:uid="{00000000-0004-0000-0000-000025030000}"/>
    <hyperlink ref="F222" r:id="rId799" xr:uid="{00000000-0004-0000-0000-000026030000}"/>
    <hyperlink ref="F249" r:id="rId800" xr:uid="{00000000-0004-0000-0000-000027030000}"/>
    <hyperlink ref="F789" r:id="rId801" xr:uid="{00000000-0004-0000-0000-000028030000}"/>
    <hyperlink ref="F750" r:id="rId802" xr:uid="{00000000-0004-0000-0000-000029030000}"/>
    <hyperlink ref="F564" r:id="rId803" xr:uid="{00000000-0004-0000-0000-00002A030000}"/>
    <hyperlink ref="F139" r:id="rId804" xr:uid="{00000000-0004-0000-0000-00002B030000}"/>
    <hyperlink ref="F381" r:id="rId805" xr:uid="{00000000-0004-0000-0000-00002C030000}"/>
    <hyperlink ref="F395" r:id="rId806" xr:uid="{00000000-0004-0000-0000-00002D030000}"/>
    <hyperlink ref="F522" r:id="rId807" xr:uid="{00000000-0004-0000-0000-00002E030000}"/>
    <hyperlink ref="F270" r:id="rId808" xr:uid="{00000000-0004-0000-0000-00002F030000}"/>
    <hyperlink ref="F530" r:id="rId809" xr:uid="{00000000-0004-0000-0000-000030030000}"/>
    <hyperlink ref="F396" r:id="rId810" xr:uid="{00000000-0004-0000-0000-000031030000}"/>
    <hyperlink ref="F854" r:id="rId811" xr:uid="{00000000-0004-0000-0000-000032030000}"/>
    <hyperlink ref="F1006" r:id="rId812" xr:uid="{00000000-0004-0000-0000-000033030000}"/>
    <hyperlink ref="F1007" r:id="rId813" xr:uid="{00000000-0004-0000-0000-000034030000}"/>
    <hyperlink ref="F435" r:id="rId814" xr:uid="{00000000-0004-0000-0000-000035030000}"/>
    <hyperlink ref="F403" r:id="rId815" xr:uid="{00000000-0004-0000-0000-000036030000}"/>
    <hyperlink ref="F1010" r:id="rId816" xr:uid="{00000000-0004-0000-0000-000037030000}"/>
    <hyperlink ref="F205" r:id="rId817" xr:uid="{00000000-0004-0000-0000-000038030000}"/>
    <hyperlink ref="F1058" r:id="rId818" xr:uid="{00000000-0004-0000-0000-000039030000}"/>
    <hyperlink ref="F514" r:id="rId819" xr:uid="{00000000-0004-0000-0000-00003A030000}"/>
    <hyperlink ref="F748" r:id="rId820" xr:uid="{00000000-0004-0000-0000-00003B030000}"/>
    <hyperlink ref="F1005" r:id="rId821" xr:uid="{00000000-0004-0000-0000-00003C030000}"/>
    <hyperlink ref="F366" display="https://www.ti.com/lit/ds/symlink/ds91c176.pdf?HQS=dis-dk-null-digikeymode-dsf-pf-null-wwe&amp;ts=1710173070360&amp;ref_url=https%253A%252F%252Fwww.ti.com%252Fgeneral%252Fdocs%252Fsuppproductinfo.tsp%253FdistId%253D10%2526gotoUrl%253Dhttps%253A%252F%252Fwww.ti.co" xr:uid="{00000000-0004-0000-0000-00003D030000}"/>
    <hyperlink ref="F144" r:id="rId822" xr:uid="{00000000-0004-0000-0000-00003E030000}"/>
    <hyperlink ref="F383" r:id="rId823" xr:uid="{00000000-0004-0000-0000-00003F030000}"/>
    <hyperlink ref="F382" r:id="rId824" xr:uid="{00000000-0004-0000-0000-000040030000}"/>
    <hyperlink ref="F268" r:id="rId825" xr:uid="{00000000-0004-0000-0000-000041030000}"/>
    <hyperlink ref="F269" r:id="rId826" xr:uid="{00000000-0004-0000-0000-000042030000}"/>
    <hyperlink ref="F866" r:id="rId827" xr:uid="{00000000-0004-0000-0000-000043030000}"/>
    <hyperlink ref="F570" r:id="rId828" xr:uid="{00000000-0004-0000-0000-000044030000}"/>
    <hyperlink ref="F140" r:id="rId829" xr:uid="{00000000-0004-0000-0000-000045030000}"/>
    <hyperlink ref="F626" r:id="rId830" xr:uid="{00000000-0004-0000-0000-000046030000}"/>
    <hyperlink ref="F301" r:id="rId831" xr:uid="{00000000-0004-0000-0000-000047030000}"/>
    <hyperlink ref="F73" r:id="rId832" xr:uid="{00000000-0004-0000-0000-000048030000}"/>
    <hyperlink ref="F304" r:id="rId833" location="documentSection" xr:uid="{00000000-0004-0000-0000-000049030000}"/>
    <hyperlink ref="F1197" r:id="rId834" xr:uid="{00000000-0004-0000-0000-00004A030000}"/>
    <hyperlink ref="F1396" r:id="rId835" xr:uid="{00000000-0004-0000-0000-00004B030000}"/>
    <hyperlink ref="F509" r:id="rId836" xr:uid="{00000000-0004-0000-0000-00004C030000}"/>
    <hyperlink ref="F234" r:id="rId837" xr:uid="{00000000-0004-0000-0000-00004D030000}"/>
    <hyperlink ref="F923" r:id="rId838" xr:uid="{00000000-0004-0000-0000-00004E030000}"/>
    <hyperlink ref="F367" display="https://www.ti.com/lit/ds/symlink/ds91c176.pdf?HQS=dis-dk-null-digikeymode-dsf-pf-null-wwe&amp;ts=1710173070360&amp;ref_url=https%253A%252F%252Fwww.ti.com%252Fgeneral%252Fdocs%252Fsuppproductinfo.tsp%253FdistId%253D10%2526gotoUrl%253Dhttps%253A%252F%252Fwww.ti.co" xr:uid="{00000000-0004-0000-0000-00004F030000}"/>
    <hyperlink ref="F112" r:id="rId839" xr:uid="{00000000-0004-0000-0000-000050030000}"/>
    <hyperlink ref="F1" r:id="rId840" xr:uid="{00000000-0004-0000-0000-000051030000}"/>
    <hyperlink ref="F46" r:id="rId841" xr:uid="{00000000-0004-0000-0000-000052030000}"/>
    <hyperlink ref="F741" r:id="rId842" xr:uid="{00000000-0004-0000-0000-000053030000}"/>
    <hyperlink ref="F124" r:id="rId843" xr:uid="{00000000-0004-0000-0000-000054030000}"/>
    <hyperlink ref="F567" r:id="rId844" xr:uid="{00000000-0004-0000-0000-000055030000}"/>
    <hyperlink ref="F814" r:id="rId845" xr:uid="{00000000-0004-0000-0000-000056030000}"/>
    <hyperlink ref="F1201" r:id="rId846" xr:uid="{00000000-0004-0000-0000-000057030000}"/>
    <hyperlink ref="F1311" r:id="rId847" xr:uid="{00000000-0004-0000-0000-000058030000}"/>
    <hyperlink ref="F107" r:id="rId848" xr:uid="{00000000-0004-0000-0000-000059030000}"/>
    <hyperlink ref="F110" r:id="rId849" xr:uid="{00000000-0004-0000-0000-00005A030000}"/>
    <hyperlink ref="F1136" r:id="rId850" xr:uid="{00000000-0004-0000-0000-00005B030000}"/>
    <hyperlink ref="F1252" r:id="rId851" xr:uid="{00000000-0004-0000-0000-00005C030000}"/>
    <hyperlink ref="F1313" r:id="rId852" xr:uid="{00000000-0004-0000-0000-00005D030000}"/>
    <hyperlink ref="F203" r:id="rId853" xr:uid="{00000000-0004-0000-0000-00005E030000}"/>
    <hyperlink ref="F867" r:id="rId854" xr:uid="{00000000-0004-0000-0000-00005F030000}"/>
    <hyperlink ref="F1147" r:id="rId855" xr:uid="{00000000-0004-0000-0000-000060030000}"/>
    <hyperlink ref="F1169" r:id="rId856" xr:uid="{00000000-0004-0000-0000-000061030000}"/>
    <hyperlink ref="F1206" r:id="rId857" xr:uid="{00000000-0004-0000-0000-000062030000}"/>
    <hyperlink ref="F1222" r:id="rId858" xr:uid="{00000000-0004-0000-0000-000063030000}"/>
    <hyperlink ref="F1306" r:id="rId859" xr:uid="{00000000-0004-0000-0000-000064030000}"/>
    <hyperlink ref="F1322" r:id="rId860" xr:uid="{00000000-0004-0000-0000-000065030000}"/>
    <hyperlink ref="F1357" r:id="rId861" xr:uid="{00000000-0004-0000-0000-000066030000}"/>
    <hyperlink ref="F1344" r:id="rId862" xr:uid="{00000000-0004-0000-0000-000067030000}"/>
    <hyperlink ref="F1336" r:id="rId863" xr:uid="{00000000-0004-0000-0000-000068030000}"/>
    <hyperlink ref="F698" r:id="rId864" xr:uid="{00000000-0004-0000-0000-000069030000}"/>
    <hyperlink ref="F959" r:id="rId865" xr:uid="{00000000-0004-0000-0000-00006A030000}"/>
    <hyperlink ref="F1202" r:id="rId866" xr:uid="{00000000-0004-0000-0000-00006B030000}"/>
    <hyperlink ref="F1400" r:id="rId867" xr:uid="{00000000-0004-0000-0000-00006C030000}"/>
    <hyperlink ref="F1434" r:id="rId868" xr:uid="{00000000-0004-0000-0000-00006D030000}"/>
    <hyperlink ref="F1310" r:id="rId869" xr:uid="{00000000-0004-0000-0000-00006E030000}"/>
    <hyperlink ref="F551" r:id="rId870" xr:uid="{00000000-0004-0000-0000-00006F030000}"/>
    <hyperlink ref="F151" r:id="rId871" xr:uid="{00000000-0004-0000-0000-000070030000}"/>
    <hyperlink ref="F1128" r:id="rId872" xr:uid="{00000000-0004-0000-0000-000071030000}"/>
    <hyperlink ref="F1127" r:id="rId873" xr:uid="{00000000-0004-0000-0000-000072030000}"/>
    <hyperlink ref="F643" r:id="rId874" xr:uid="{00000000-0004-0000-0000-000073030000}"/>
    <hyperlink ref="F642" r:id="rId875" xr:uid="{00000000-0004-0000-0000-000074030000}"/>
    <hyperlink ref="F472" r:id="rId876" xr:uid="{00000000-0004-0000-0000-000075030000}"/>
    <hyperlink ref="F399" r:id="rId877" xr:uid="{00000000-0004-0000-0000-000076030000}"/>
    <hyperlink ref="F986" r:id="rId878" xr:uid="{00000000-0004-0000-0000-000077030000}"/>
    <hyperlink ref="F985" r:id="rId879" xr:uid="{00000000-0004-0000-0000-000078030000}"/>
    <hyperlink ref="F1301" r:id="rId880" xr:uid="{00000000-0004-0000-0000-000079030000}"/>
    <hyperlink ref="F1295" r:id="rId881" xr:uid="{00000000-0004-0000-0000-00007A030000}"/>
    <hyperlink ref="F1307" r:id="rId882" xr:uid="{00000000-0004-0000-0000-00007B030000}"/>
    <hyperlink ref="F1337" r:id="rId883" xr:uid="{00000000-0004-0000-0000-00007C030000}"/>
    <hyperlink ref="F1321" r:id="rId884" xr:uid="{00000000-0004-0000-0000-00007D030000}"/>
    <hyperlink ref="F1416" r:id="rId885" xr:uid="{00000000-0004-0000-0000-00007E030000}"/>
    <hyperlink ref="F1343" r:id="rId886" xr:uid="{00000000-0004-0000-0000-00007F030000}"/>
    <hyperlink ref="F1253" r:id="rId887" xr:uid="{00000000-0004-0000-0000-000080030000}"/>
    <hyperlink ref="F468" r:id="rId888" xr:uid="{00000000-0004-0000-0000-000081030000}"/>
    <hyperlink ref="F141" r:id="rId889" xr:uid="{00000000-0004-0000-0000-000082030000}"/>
    <hyperlink ref="F527" r:id="rId890" xr:uid="{00000000-0004-0000-0000-000083030000}"/>
    <hyperlink ref="F389" r:id="rId891" xr:uid="{00000000-0004-0000-0000-000084030000}"/>
    <hyperlink ref="F390" r:id="rId892" xr:uid="{00000000-0004-0000-0000-000085030000}"/>
    <hyperlink ref="F499" display="https://www.ti.com/lit/ds/symlink/lmh6551.pdf?HQS=dis-dk-null-digikeymode-dsf-pf-null-wwe&amp;ts=1716913320145&amp;ref_url=https%253A%252F%252Fwww.ti.com%252Fgeneral%252Fdocs%252Fsuppproductinfo.tsp%253FdistId%253D10%2526gotoUrl%253Dhttps%253A%252F%252Fwww.ti.com" xr:uid="{00000000-0004-0000-0000-000086030000}"/>
    <hyperlink ref="F137" r:id="rId893" xr:uid="{00000000-0004-0000-0000-000087030000}"/>
    <hyperlink ref="F1172" r:id="rId894" display="http://www.yageo.com.tw/exep/pages/download/literatures/PYu-R_INT-thick_7.pdf" xr:uid="{00000000-0004-0000-0000-000088030000}"/>
    <hyperlink ref="F726" r:id="rId895" xr:uid="{00000000-0004-0000-0000-000089030000}"/>
    <hyperlink ref="F586" r:id="rId896" xr:uid="{00000000-0004-0000-0000-00008A030000}"/>
    <hyperlink ref="F420" r:id="rId897" xr:uid="{00000000-0004-0000-0000-00008B030000}"/>
    <hyperlink ref="F436" r:id="rId898" xr:uid="{00000000-0004-0000-0000-00008C030000}"/>
    <hyperlink ref="F210" r:id="rId899" xr:uid="{00000000-0004-0000-0000-00008D030000}"/>
    <hyperlink ref="F9" r:id="rId900" xr:uid="{00000000-0004-0000-0000-00008E030000}"/>
    <hyperlink ref="F62" r:id="rId901" xr:uid="{00000000-0004-0000-0000-00008F030000}"/>
    <hyperlink ref="F579" r:id="rId902" xr:uid="{00000000-0004-0000-0000-000090030000}"/>
    <hyperlink ref="F232" r:id="rId903" xr:uid="{00000000-0004-0000-0000-000091030000}"/>
    <hyperlink ref="F329" r:id="rId904" xr:uid="{00000000-0004-0000-0000-000092030000}"/>
    <hyperlink ref="F516" r:id="rId905" xr:uid="{00000000-0004-0000-0000-000093030000}"/>
    <hyperlink ref="F294" r:id="rId906" xr:uid="{00000000-0004-0000-0000-000094030000}"/>
    <hyperlink ref="F712" display="https://www.ti.com/lit/ds/symlink/tps51100.pdf?HQS=dis-dk-null-digikeymode-dsf-pf-null-wwe&amp;ts=1718031371949&amp;ref_url=https%253A%252F%252Fwww.ti.com%252Fgeneral%252Fdocs%252Fsuppproductinfo.tsp%253FdistId%253D10%2526gotoUrl%253Dhttps%253A%252F%252Fwww.ti.co" xr:uid="{00000000-0004-0000-0000-000095030000}"/>
    <hyperlink ref="F511" r:id="rId907" xr:uid="{00000000-0004-0000-0000-000096030000}"/>
    <hyperlink ref="F924" r:id="rId908" xr:uid="{00000000-0004-0000-0000-000097030000}"/>
    <hyperlink ref="F893" r:id="rId909" xr:uid="{00000000-0004-0000-0000-000098030000}"/>
    <hyperlink ref="F102" r:id="rId910" xr:uid="{00000000-0004-0000-0000-000099030000}"/>
    <hyperlink ref="F1028" r:id="rId911" xr:uid="{00000000-0004-0000-0000-00009A030000}"/>
    <hyperlink ref="F758" r:id="rId912" xr:uid="{00000000-0004-0000-0000-00009B030000}"/>
    <hyperlink ref="F990" r:id="rId913" xr:uid="{00000000-0004-0000-0000-00009C030000}"/>
    <hyperlink ref="F504" r:id="rId914" xr:uid="{00000000-0004-0000-0000-00009D030000}"/>
    <hyperlink ref="F43" r:id="rId915" xr:uid="{00000000-0004-0000-0000-00009E030000}"/>
    <hyperlink ref="F28" r:id="rId916" xr:uid="{00000000-0004-0000-0000-00009F030000}"/>
    <hyperlink ref="F146" r:id="rId917" xr:uid="{00000000-0004-0000-0000-0000A0030000}"/>
    <hyperlink ref="F235" r:id="rId918" xr:uid="{00000000-0004-0000-0000-0000A1030000}"/>
    <hyperlink ref="F912" r:id="rId919" xr:uid="{00000000-0004-0000-0000-0000A2030000}"/>
    <hyperlink ref="F211" r:id="rId920" xr:uid="{00000000-0004-0000-0000-0000A3030000}"/>
    <hyperlink ref="F669" r:id="rId921" xr:uid="{00000000-0004-0000-0000-0000A4030000}"/>
    <hyperlink ref="F29" r:id="rId922" xr:uid="{00000000-0004-0000-0000-0000A5030000}"/>
    <hyperlink ref="F703" r:id="rId923" xr:uid="{00000000-0004-0000-0000-0000A6030000}"/>
    <hyperlink ref="F134" r:id="rId924" xr:uid="{00000000-0004-0000-0000-0000A7030000}"/>
    <hyperlink ref="F4" r:id="rId925" xr:uid="{00000000-0004-0000-0000-0000A8030000}"/>
    <hyperlink ref="F585" r:id="rId926" xr:uid="{00000000-0004-0000-0000-0000A9030000}"/>
    <hyperlink ref="F402" r:id="rId927" xr:uid="{00000000-0004-0000-0000-0000AA030000}"/>
    <hyperlink ref="F187" r:id="rId928" xr:uid="{00000000-0004-0000-0000-0000AB030000}"/>
    <hyperlink ref="F1305" r:id="rId929" xr:uid="{00000000-0004-0000-0000-0000AC030000}"/>
    <hyperlink ref="F1266" r:id="rId930" xr:uid="{00000000-0004-0000-0000-0000AD030000}"/>
    <hyperlink ref="F916" r:id="rId931" xr:uid="{00000000-0004-0000-0000-0000AE030000}"/>
    <hyperlink ref="F915" r:id="rId932" xr:uid="{00000000-0004-0000-0000-0000AF030000}"/>
    <hyperlink ref="F1106" r:id="rId933" xr:uid="{00000000-0004-0000-0000-0000B0030000}"/>
    <hyperlink ref="F120" r:id="rId934" xr:uid="{00000000-0004-0000-0000-0000B1030000}"/>
    <hyperlink ref="F88" r:id="rId935" xr:uid="{00000000-0004-0000-0000-0000B2030000}"/>
    <hyperlink ref="F103" r:id="rId936" xr:uid="{00000000-0004-0000-0000-0000B3030000}"/>
    <hyperlink ref="F165" r:id="rId937" xr:uid="{00000000-0004-0000-0000-0000B4030000}"/>
    <hyperlink ref="F170" r:id="rId938" xr:uid="{00000000-0004-0000-0000-0000B5030000}"/>
    <hyperlink ref="F135" r:id="rId939" xr:uid="{00000000-0004-0000-0000-0000B6030000}"/>
    <hyperlink ref="F182" r:id="rId940" xr:uid="{00000000-0004-0000-0000-0000B7030000}"/>
    <hyperlink ref="F142" r:id="rId941" xr:uid="{00000000-0004-0000-0000-0000B8030000}"/>
    <hyperlink ref="F563" r:id="rId942" xr:uid="{00000000-0004-0000-0000-0000B9030000}"/>
    <hyperlink ref="F217" r:id="rId943" xr:uid="{00000000-0004-0000-0000-0000BA030000}"/>
    <hyperlink ref="F52" r:id="rId944" xr:uid="{00000000-0004-0000-0000-0000BB030000}"/>
    <hyperlink ref="F1095" r:id="rId945" xr:uid="{00000000-0004-0000-0000-0000BC030000}"/>
    <hyperlink ref="F147" r:id="rId946" xr:uid="{00000000-0004-0000-0000-0000BD030000}"/>
    <hyperlink ref="F725" r:id="rId947" xr:uid="{00000000-0004-0000-0000-0000BE030000}"/>
    <hyperlink ref="F219" r:id="rId948" xr:uid="{00000000-0004-0000-0000-0000BF030000}"/>
    <hyperlink ref="F1066" r:id="rId949" xr:uid="{00000000-0004-0000-0000-0000C0030000}"/>
    <hyperlink ref="F886" r:id="rId950" xr:uid="{00000000-0004-0000-0000-0000C1030000}"/>
    <hyperlink ref="F1094" r:id="rId951" xr:uid="{00000000-0004-0000-0000-0000C2030000}"/>
    <hyperlink ref="F105" r:id="rId952" xr:uid="{00000000-0004-0000-0000-0000C3030000}"/>
    <hyperlink ref="F99" r:id="rId953" xr:uid="{00000000-0004-0000-0000-0000C4030000}"/>
    <hyperlink ref="F1029" r:id="rId954" xr:uid="{00000000-0004-0000-0000-0000C5030000}"/>
    <hyperlink ref="F710" display="https://www.ti.com/lit/ds/symlink/tpd6f003.pdf?HQS=dis-dk-null-digikeymode-dsf-pf-null-wwe&amp;ts=1727191012799&amp;ref_url=https%253A%252F%252Fwww.ti.com%252Fgeneral%252Fdocs%252Fsuppproductinfo.tsp%253FdistId%253D10%2526gotoUrl%253Dhttps%253A%252F%252Fwww.ti.co" xr:uid="{00000000-0004-0000-0000-0000C6030000}"/>
    <hyperlink ref="F821" r:id="rId955" xr:uid="{00000000-0004-0000-0000-0000C7030000}"/>
    <hyperlink ref="F467" r:id="rId956" xr:uid="{00000000-0004-0000-0000-0000C8030000}"/>
    <hyperlink ref="F1042" r:id="rId957" xr:uid="{00000000-0004-0000-0000-0000C9030000}"/>
    <hyperlink ref="F136" r:id="rId958" xr:uid="{00000000-0004-0000-0000-0000CA030000}"/>
    <hyperlink ref="F422" r:id="rId959" xr:uid="{00000000-0004-0000-0000-0000CB030000}"/>
    <hyperlink ref="F133" r:id="rId960" xr:uid="{00000000-0004-0000-0000-0000CC030000}"/>
    <hyperlink ref="F562" r:id="rId961" xr:uid="{00000000-0004-0000-0000-0000CD030000}"/>
    <hyperlink ref="F168" r:id="rId962" xr:uid="{00000000-0004-0000-0000-0000CE030000}"/>
    <hyperlink ref="F193" r:id="rId963" xr:uid="{00000000-0004-0000-0000-0000CF030000}"/>
    <hyperlink ref="F519" r:id="rId964" xr:uid="{00000000-0004-0000-0000-0000D0030000}"/>
    <hyperlink ref="F584" r:id="rId965" xr:uid="{00000000-0004-0000-0000-0000D1030000}"/>
    <hyperlink ref="F1099" r:id="rId966" xr:uid="{00000000-0004-0000-0000-0000D2030000}"/>
    <hyperlink ref="F1100" r:id="rId967" xr:uid="{00000000-0004-0000-0000-0000D3030000}"/>
    <hyperlink ref="F12" r:id="rId968" xr:uid="{00000000-0004-0000-0000-0000D4030000}"/>
    <hyperlink ref="F180" r:id="rId969" xr:uid="{00000000-0004-0000-0000-0000D5030000}"/>
    <hyperlink ref="F184" r:id="rId970" xr:uid="{00000000-0004-0000-0000-0000D6030000}"/>
    <hyperlink ref="F709" r:id="rId971" xr:uid="{00000000-0004-0000-0000-0000D7030000}"/>
    <hyperlink ref="F1069" r:id="rId972" xr:uid="{00000000-0004-0000-0000-0000D8030000}"/>
    <hyperlink ref="F1089" r:id="rId973" xr:uid="{00000000-0004-0000-0000-0000D9030000}"/>
    <hyperlink ref="F2" r:id="rId974" xr:uid="{00000000-0004-0000-0000-0000DA030000}"/>
    <hyperlink ref="F3" r:id="rId975" xr:uid="{00000000-0004-0000-0000-0000DB030000}"/>
    <hyperlink ref="F385" r:id="rId976" xr:uid="{00000000-0004-0000-0000-0000DC030000}"/>
    <hyperlink ref="F359" r:id="rId977" xr:uid="{00000000-0004-0000-0000-0000DD030000}"/>
    <hyperlink ref="F39" r:id="rId978" xr:uid="{00000000-0004-0000-0000-0000DE030000}"/>
    <hyperlink ref="F1238" r:id="rId979" xr:uid="{00000000-0004-0000-0000-0000DF030000}"/>
    <hyperlink ref="F227" r:id="rId980" xr:uid="{00000000-0004-0000-0000-0000E0030000}"/>
    <hyperlink ref="F495" display="https://www.ti.com/lit/ds/symlink/lm2904v.pdf?HQS=dis-dk-null-digikeymode-dsf-pf-null-wwe&amp;ts=1732504367670&amp;ref_url=https%253A%252F%252Fwww.ti.com%252Fgeneral%252Fdocs%252Fsuppproductinfo.tsp%253FdistId%253D10%2526gotoUrl%253Dhttps%253A%252F%252Fwww.ti.com" xr:uid="{00000000-0004-0000-0000-0000E1030000}"/>
    <hyperlink ref="F918" r:id="rId981" xr:uid="{00000000-0004-0000-0000-0000E2030000}"/>
    <hyperlink ref="F51" r:id="rId982" xr:uid="{00000000-0004-0000-0000-0000E3030000}"/>
    <hyperlink ref="F194" r:id="rId983" xr:uid="{00000000-0004-0000-0000-0000E4030000}"/>
    <hyperlink ref="F825" r:id="rId984" xr:uid="{00000000-0004-0000-0000-0000E5030000}"/>
    <hyperlink ref="F384" r:id="rId985" xr:uid="{00000000-0004-0000-0000-0000E6030000}"/>
    <hyperlink ref="F400" r:id="rId986" xr:uid="{00000000-0004-0000-0000-0000E7030000}"/>
    <hyperlink ref="F115" r:id="rId987" xr:uid="{00000000-0004-0000-0000-0000E8030000}"/>
    <hyperlink ref="F792" r:id="rId988" xr:uid="{00000000-0004-0000-0000-0000E9030000}"/>
    <hyperlink ref="F576" r:id="rId989" xr:uid="{00000000-0004-0000-0000-0000EA030000}"/>
    <hyperlink ref="F185" r:id="rId990" xr:uid="{00000000-0004-0000-0000-0000EB030000}"/>
    <hyperlink ref="F672" r:id="rId991" xr:uid="{00000000-0004-0000-0000-0000EC030000}"/>
    <hyperlink ref="F200" r:id="rId992" xr:uid="{00000000-0004-0000-0000-0000ED030000}"/>
    <hyperlink ref="F199" r:id="rId993" xr:uid="{00000000-0004-0000-0000-0000EE030000}"/>
    <hyperlink ref="F297" r:id="rId994" xr:uid="{00000000-0004-0000-0000-0000EF030000}"/>
    <hyperlink ref="F1056" r:id="rId995" xr:uid="{00000000-0004-0000-0000-0000F0030000}"/>
    <hyperlink ref="F271" r:id="rId996" xr:uid="{00000000-0004-0000-0000-0000F1030000}"/>
    <hyperlink ref="E295" r:id="rId997" xr:uid="{00000000-0004-0000-0000-0000F2030000}"/>
    <hyperlink ref="F295" r:id="rId998" xr:uid="{00000000-0004-0000-0000-0000F3030000}"/>
    <hyperlink ref="F164" r:id="rId999" xr:uid="{00000000-0004-0000-0000-0000F4030000}"/>
    <hyperlink ref="F166" r:id="rId1000" xr:uid="{00000000-0004-0000-0000-0000F5030000}"/>
    <hyperlink ref="F69" r:id="rId1001" xr:uid="{00000000-0004-0000-0000-0000F6030000}"/>
    <hyperlink ref="F272" r:id="rId1002" xr:uid="{00000000-0004-0000-0000-0000F7030000}"/>
    <hyperlink ref="F410" r:id="rId1003" xr:uid="{00000000-0004-0000-0000-0000F8030000}"/>
    <hyperlink ref="F169" r:id="rId1004" xr:uid="{00000000-0004-0000-0000-0000F9030000}"/>
    <hyperlink ref="F176" r:id="rId1005" xr:uid="{00000000-0004-0000-0000-0000FA030000}"/>
    <hyperlink ref="F66" r:id="rId1006" xr:uid="{00000000-0004-0000-0000-0000FB030000}"/>
    <hyperlink ref="F515" r:id="rId1007" xr:uid="{00000000-0004-0000-0000-0000FC030000}"/>
    <hyperlink ref="F44" r:id="rId1008" xr:uid="{00000000-0004-0000-0000-0000FD030000}"/>
    <hyperlink ref="F333" r:id="rId1009" xr:uid="{00000000-0004-0000-0000-0000FE030000}"/>
    <hyperlink ref="F1084" r:id="rId1010" xr:uid="{00000000-0004-0000-0000-0000FF030000}"/>
    <hyperlink ref="F181" r:id="rId1011" xr:uid="{00000000-0004-0000-0000-000000040000}"/>
    <hyperlink ref="F444" r:id="rId1012" xr:uid="{00000000-0004-0000-0000-000001040000}"/>
    <hyperlink ref="F580" r:id="rId1013" xr:uid="{00000000-0004-0000-0000-000002040000}"/>
    <hyperlink ref="F780" r:id="rId1014" xr:uid="{00000000-0004-0000-0000-000003040000}"/>
    <hyperlink ref="F491" r:id="rId1015" xr:uid="{00000000-0004-0000-0000-000004040000}"/>
    <hyperlink ref="F411" r:id="rId1016" xr:uid="{00000000-0004-0000-0000-000005040000}"/>
    <hyperlink ref="F412" r:id="rId1017" xr:uid="{00000000-0004-0000-0000-000006040000}"/>
    <hyperlink ref="F257" r:id="rId1018" xr:uid="{00000000-0004-0000-0000-000007040000}"/>
    <hyperlink ref="F547" r:id="rId1019" xr:uid="{00000000-0004-0000-0000-000008040000}"/>
    <hyperlink ref="F1096" r:id="rId1020" xr:uid="{00000000-0004-0000-0000-000009040000}"/>
    <hyperlink ref="F927" r:id="rId1021" xr:uid="{00000000-0004-0000-0000-00000A040000}"/>
    <hyperlink ref="F583" r:id="rId1022" xr:uid="{00000000-0004-0000-0000-00000B040000}"/>
    <hyperlink ref="F150" r:id="rId1023" xr:uid="{00000000-0004-0000-0000-00000C040000}"/>
    <hyperlink ref="F460" r:id="rId1024" xr:uid="{00000000-0004-0000-0000-00000D040000}"/>
    <hyperlink ref="F114" r:id="rId1025" xr:uid="{00000000-0004-0000-0000-00000E040000}"/>
    <hyperlink ref="F1246" r:id="rId1026" xr:uid="{00000000-0004-0000-0000-00000F040000}"/>
    <hyperlink ref="F1292" r:id="rId1027" xr:uid="{00000000-0004-0000-0000-000010040000}"/>
    <hyperlink ref="F55" r:id="rId1028" xr:uid="{00000000-0004-0000-0000-000011040000}"/>
    <hyperlink ref="F572" r:id="rId1029" xr:uid="{00000000-0004-0000-0000-000012040000}"/>
    <hyperlink ref="F63" r:id="rId1030" xr:uid="{00000000-0004-0000-0000-000013040000}"/>
    <hyperlink ref="F387" r:id="rId1031" xr:uid="{00000000-0004-0000-0000-000014040000}"/>
    <hyperlink ref="F157" r:id="rId1032" xr:uid="{00000000-0004-0000-0000-000015040000}"/>
    <hyperlink ref="F163" r:id="rId1033" xr:uid="{00000000-0004-0000-0000-000016040000}"/>
    <hyperlink ref="F1192" r:id="rId1034" xr:uid="{00000000-0004-0000-0000-000017040000}"/>
    <hyperlink ref="F1267" r:id="rId1035" xr:uid="{00000000-0004-0000-0000-000018040000}"/>
    <hyperlink ref="F1296" r:id="rId1036" xr:uid="{00000000-0004-0000-0000-000019040000}"/>
    <hyperlink ref="F1302" r:id="rId1037" xr:uid="{00000000-0004-0000-0000-00001A040000}"/>
    <hyperlink ref="F117" r:id="rId1038" xr:uid="{00000000-0004-0000-0000-00001B040000}"/>
    <hyperlink ref="F834" r:id="rId1039" xr:uid="{00000000-0004-0000-0000-00001C040000}"/>
    <hyperlink ref="F306" r:id="rId1040" xr:uid="{00000000-0004-0000-0000-00001D040000}"/>
    <hyperlink ref="F130" r:id="rId1041" xr:uid="{00000000-0004-0000-0000-00001E040000}"/>
    <hyperlink ref="F143" r:id="rId1042" xr:uid="{00000000-0004-0000-0000-00001F040000}"/>
    <hyperlink ref="F713" display="https://www.ti.com/lit/ds/symlink/tps61220.pdf?HQS=dis-dk-null-digikeymode-dsf-pf-null-wwe&amp;ts=1749038515923&amp;ref_url=https%253A%252F%252Fwww.ti.com%252Fgeneral%252Fdocs%252Fsuppproductinfo.tsp%253FdistId%253D10%2526gotoUrl%253Dhttps%253A%252F%252Fwww.ti.co" xr:uid="{00000000-0004-0000-0000-000020040000}"/>
    <hyperlink ref="F347" r:id="rId1043" xr:uid="{00000000-0004-0000-0000-000021040000}"/>
    <hyperlink ref="F816" r:id="rId1044" xr:uid="{00000000-0004-0000-0000-000022040000}"/>
    <hyperlink ref="F844" r:id="rId1045" xr:uid="{00000000-0004-0000-0000-000023040000}"/>
    <hyperlink ref="F258" r:id="rId1046" xr:uid="{00000000-0004-0000-0000-000024040000}"/>
    <hyperlink ref="F671" r:id="rId1047" xr:uid="{00000000-0004-0000-0000-000025040000}"/>
    <hyperlink ref="F17" r:id="rId1048" xr:uid="{00000000-0004-0000-0000-000026040000}"/>
    <hyperlink ref="F714" display="https://www.ti.com/lit/ds/symlink/tps61220.pdf?HQS=dis-dk-null-digikeymode-dsf-pf-null-wwe&amp;ts=1749038515923&amp;ref_url=https%253A%252F%252Fwww.ti.com%252Fgeneral%252Fdocs%252Fsuppproductinfo.tsp%253FdistId%253D10%2526gotoUrl%253Dhttps%253A%252F%252Fwww.ti.co" xr:uid="{00000000-0004-0000-0000-000027040000}"/>
    <hyperlink ref="F1494" r:id="rId1049" xr:uid="{00000000-0004-0000-0000-000028040000}"/>
    <hyperlink ref="F266" r:id="rId1050" xr:uid="{00000000-0004-0000-0000-000029040000}"/>
    <hyperlink ref="F392" r:id="rId1051" xr:uid="{00000000-0004-0000-0000-00002A040000}"/>
    <hyperlink ref="F1004" r:id="rId1052" xr:uid="{00000000-0004-0000-0000-00002B040000}"/>
  </hyperlinks>
  <pageMargins left="0" right="0" top="0.06" bottom="0" header="0.05" footer="0.05"/>
  <pageSetup paperSize="9" scale="32" fitToHeight="0" orientation="landscape" r:id="rId1053"/>
  <legacyDrawing r:id="rId10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Наличие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2025-06-23T09:44:45Z</dcterms:modified>
</cp:coreProperties>
</file>